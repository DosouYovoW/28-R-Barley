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Vermilion/"/>
    </mc:Choice>
  </mc:AlternateContent>
  <xr:revisionPtr revIDLastSave="48" documentId="8_{514561DF-E87F-4B2C-BECA-D79971BAA371}" xr6:coauthVersionLast="47" xr6:coauthVersionMax="47" xr10:uidLastSave="{EB69A4CC-A668-4383-857B-01742DF623FF}"/>
  <bookViews>
    <workbookView xWindow="57480" yWindow="-120" windowWidth="29040" windowHeight="15720" xr2:uid="{924E7E8B-A962-4A8E-91CF-3479B3CAC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1" l="1"/>
  <c r="A94" i="1"/>
  <c r="A125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<sst xmlns="http://schemas.openxmlformats.org/spreadsheetml/2006/main" count="6" uniqueCount="6">
  <si>
    <t>Date</t>
  </si>
  <si>
    <t>Air Temp. Min. (°C)</t>
  </si>
  <si>
    <t>Air Temp. Max. (°C)</t>
  </si>
  <si>
    <t>Air Temp. Avg. (°C)</t>
  </si>
  <si>
    <t>Relative Humidity Avg. (%)</t>
  </si>
  <si>
    <t>Precip.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</si>
</sst>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7270-6817-42EF-9A12-2C516187D94A}">
  <dimension ref="A1:F154"/>
  <sheetViews>
    <sheetView tabSelected="1" topLeftCell="A64" workbookViewId="0">
      <selection activeCell="B94" sqref="B94:D94"/>
    </sheetView>
  </sheetViews>
  <sheetFormatPr defaultRowHeight="14.4" x14ac:dyDescent="0.3"/>
  <cols>
    <col min="1" max="1" width="13.109375" customWidth="1"/>
    <col min="2" max="2" width="22.109375" customWidth="1"/>
    <col min="3" max="3" width="20.5546875" customWidth="1"/>
    <col min="4" max="4" width="17.88671875" customWidth="1"/>
    <col min="5" max="5" width="20.88671875" customWidth="1"/>
    <col min="6" max="6" width="12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f>DATE(2024,5,1)</f>
        <v>45413</v>
      </c>
      <c r="B2">
        <v>2.8</v>
      </c>
      <c r="C2">
        <v>11.2</v>
      </c>
      <c r="D2">
        <v>6.4</v>
      </c>
      <c r="E2">
        <v>79.8</v>
      </c>
      <c r="F2">
        <v>5.0999999999999996</v>
      </c>
    </row>
    <row r="3" spans="1:6" x14ac:dyDescent="0.3">
      <c r="A3" s="1">
        <f>DATE(2024,5,2)</f>
        <v>45414</v>
      </c>
      <c r="B3">
        <v>1</v>
      </c>
      <c r="C3">
        <v>3.3</v>
      </c>
      <c r="D3">
        <v>2</v>
      </c>
      <c r="E3">
        <v>81.900000000000006</v>
      </c>
      <c r="F3">
        <v>0.6</v>
      </c>
    </row>
    <row r="4" spans="1:6" x14ac:dyDescent="0.3">
      <c r="A4" s="1">
        <f>DATE(2024,5,3)</f>
        <v>45415</v>
      </c>
      <c r="B4">
        <v>-0.3</v>
      </c>
      <c r="C4">
        <v>7.1</v>
      </c>
      <c r="D4">
        <v>3</v>
      </c>
      <c r="E4">
        <v>80.400000000000006</v>
      </c>
      <c r="F4">
        <v>0.3</v>
      </c>
    </row>
    <row r="5" spans="1:6" x14ac:dyDescent="0.3">
      <c r="A5" s="1">
        <f>DATE(2024,5,4)</f>
        <v>45416</v>
      </c>
      <c r="B5">
        <v>-0.2</v>
      </c>
      <c r="C5">
        <v>11.9</v>
      </c>
      <c r="D5">
        <v>5.4</v>
      </c>
      <c r="E5">
        <v>70.900000000000006</v>
      </c>
      <c r="F5">
        <v>0</v>
      </c>
    </row>
    <row r="6" spans="1:6" x14ac:dyDescent="0.3">
      <c r="A6" s="1">
        <f>DATE(2024,5,5)</f>
        <v>45417</v>
      </c>
      <c r="B6">
        <v>0.6</v>
      </c>
      <c r="C6">
        <v>17.8</v>
      </c>
      <c r="D6">
        <v>9.9</v>
      </c>
      <c r="E6">
        <v>56.3</v>
      </c>
      <c r="F6">
        <v>0</v>
      </c>
    </row>
    <row r="7" spans="1:6" x14ac:dyDescent="0.3">
      <c r="A7" s="1">
        <f>DATE(2024,5,6)</f>
        <v>45418</v>
      </c>
      <c r="B7">
        <v>8.4</v>
      </c>
      <c r="C7">
        <v>16.3</v>
      </c>
      <c r="D7">
        <v>10.7</v>
      </c>
      <c r="E7">
        <v>78</v>
      </c>
      <c r="F7">
        <v>1.8</v>
      </c>
    </row>
    <row r="8" spans="1:6" x14ac:dyDescent="0.3">
      <c r="A8" s="1">
        <f>DATE(2024,5,7)</f>
        <v>45419</v>
      </c>
      <c r="B8">
        <v>7.9</v>
      </c>
      <c r="C8">
        <v>9.6</v>
      </c>
      <c r="D8">
        <v>8.9</v>
      </c>
      <c r="E8">
        <v>97.5</v>
      </c>
      <c r="F8">
        <v>43</v>
      </c>
    </row>
    <row r="9" spans="1:6" x14ac:dyDescent="0.3">
      <c r="A9" s="1">
        <f>DATE(2024,5,8)</f>
        <v>45420</v>
      </c>
      <c r="B9">
        <v>6.3</v>
      </c>
      <c r="C9">
        <v>17.2</v>
      </c>
      <c r="D9">
        <v>10.9</v>
      </c>
      <c r="E9">
        <v>69.8</v>
      </c>
      <c r="F9">
        <v>0</v>
      </c>
    </row>
    <row r="10" spans="1:6" x14ac:dyDescent="0.3">
      <c r="A10" s="1">
        <f>DATE(2024,5,9)</f>
        <v>45421</v>
      </c>
      <c r="B10">
        <v>2.8</v>
      </c>
      <c r="C10">
        <v>19.899999999999999</v>
      </c>
      <c r="D10">
        <v>12.3</v>
      </c>
      <c r="E10">
        <v>48.4</v>
      </c>
      <c r="F10">
        <v>0</v>
      </c>
    </row>
    <row r="11" spans="1:6" x14ac:dyDescent="0.3">
      <c r="A11" s="1">
        <f>DATE(2024,5,10)</f>
        <v>45422</v>
      </c>
      <c r="B11">
        <v>3.3</v>
      </c>
      <c r="C11">
        <v>25.6</v>
      </c>
      <c r="D11">
        <v>16.600000000000001</v>
      </c>
      <c r="E11">
        <v>45.8</v>
      </c>
      <c r="F11">
        <v>0.2</v>
      </c>
    </row>
    <row r="12" spans="1:6" x14ac:dyDescent="0.3">
      <c r="A12" s="1">
        <f>DATE(2024,5,11)</f>
        <v>45423</v>
      </c>
      <c r="B12">
        <v>4.4000000000000004</v>
      </c>
      <c r="C12">
        <v>19.5</v>
      </c>
      <c r="D12">
        <v>15</v>
      </c>
      <c r="E12">
        <v>35.1</v>
      </c>
      <c r="F12">
        <v>0</v>
      </c>
    </row>
    <row r="13" spans="1:6" x14ac:dyDescent="0.3">
      <c r="A13" s="1">
        <f>DATE(2024,5,12)</f>
        <v>45424</v>
      </c>
      <c r="B13">
        <v>1</v>
      </c>
      <c r="C13">
        <v>17.2</v>
      </c>
      <c r="D13">
        <v>9.9</v>
      </c>
      <c r="E13">
        <v>59.8</v>
      </c>
      <c r="F13">
        <v>3</v>
      </c>
    </row>
    <row r="14" spans="1:6" x14ac:dyDescent="0.3">
      <c r="A14" s="1">
        <f>DATE(2024,5,13)</f>
        <v>45425</v>
      </c>
      <c r="B14">
        <v>2.6</v>
      </c>
      <c r="C14">
        <v>13.2</v>
      </c>
      <c r="D14">
        <v>8.6</v>
      </c>
      <c r="E14">
        <v>86.8</v>
      </c>
      <c r="F14">
        <v>1.8</v>
      </c>
    </row>
    <row r="15" spans="1:6" x14ac:dyDescent="0.3">
      <c r="A15" s="1">
        <f>DATE(2024,5,14)</f>
        <v>45426</v>
      </c>
      <c r="B15">
        <v>6.2</v>
      </c>
      <c r="C15">
        <v>20.2</v>
      </c>
      <c r="D15">
        <v>13.5</v>
      </c>
      <c r="E15">
        <v>60.9</v>
      </c>
      <c r="F15">
        <v>0</v>
      </c>
    </row>
    <row r="16" spans="1:6" x14ac:dyDescent="0.3">
      <c r="A16" s="1">
        <f>DATE(2024,5,15)</f>
        <v>45427</v>
      </c>
      <c r="B16">
        <v>8.5</v>
      </c>
      <c r="C16">
        <v>17.3</v>
      </c>
      <c r="D16">
        <v>12.3</v>
      </c>
      <c r="E16">
        <v>65.599999999999994</v>
      </c>
      <c r="F16">
        <v>0.2</v>
      </c>
    </row>
    <row r="17" spans="1:6" x14ac:dyDescent="0.3">
      <c r="A17" s="1">
        <f>DATE(2024,5,16)</f>
        <v>45428</v>
      </c>
      <c r="B17">
        <v>2.9</v>
      </c>
      <c r="C17">
        <v>13.4</v>
      </c>
      <c r="D17">
        <v>9.1</v>
      </c>
      <c r="E17">
        <v>84.8</v>
      </c>
      <c r="F17">
        <v>6.1</v>
      </c>
    </row>
    <row r="18" spans="1:6" x14ac:dyDescent="0.3">
      <c r="A18" s="1">
        <f>DATE(2024,5,17)</f>
        <v>45429</v>
      </c>
      <c r="B18">
        <v>5.2</v>
      </c>
      <c r="C18">
        <v>11.6</v>
      </c>
      <c r="D18">
        <v>7.8</v>
      </c>
      <c r="E18">
        <v>78.099999999999994</v>
      </c>
      <c r="F18">
        <v>0.1</v>
      </c>
    </row>
    <row r="19" spans="1:6" x14ac:dyDescent="0.3">
      <c r="A19" s="1">
        <f>DATE(2024,5,18)</f>
        <v>45430</v>
      </c>
      <c r="B19">
        <v>2.7</v>
      </c>
      <c r="C19">
        <v>11.2</v>
      </c>
      <c r="D19">
        <v>6.3</v>
      </c>
      <c r="E19">
        <v>69.2</v>
      </c>
      <c r="F19">
        <v>0</v>
      </c>
    </row>
    <row r="20" spans="1:6" x14ac:dyDescent="0.3">
      <c r="A20" s="1">
        <f>DATE(2024,5,19)</f>
        <v>45431</v>
      </c>
      <c r="B20">
        <v>4.2</v>
      </c>
      <c r="C20">
        <v>8.6</v>
      </c>
      <c r="D20">
        <v>6.4</v>
      </c>
      <c r="E20">
        <v>82.5</v>
      </c>
      <c r="F20">
        <v>4.9000000000000004</v>
      </c>
    </row>
    <row r="21" spans="1:6" x14ac:dyDescent="0.3">
      <c r="A21" s="1">
        <f>DATE(2024,5,20)</f>
        <v>45432</v>
      </c>
      <c r="B21">
        <v>3.6</v>
      </c>
      <c r="C21">
        <v>9.6999999999999993</v>
      </c>
      <c r="D21">
        <v>5.9</v>
      </c>
      <c r="E21">
        <v>87.1</v>
      </c>
      <c r="F21">
        <v>7.3</v>
      </c>
    </row>
    <row r="22" spans="1:6" x14ac:dyDescent="0.3">
      <c r="A22" s="1">
        <f>DATE(2024,5,21)</f>
        <v>45433</v>
      </c>
      <c r="B22">
        <v>1.6</v>
      </c>
      <c r="C22">
        <v>13.2</v>
      </c>
      <c r="D22">
        <v>7.8</v>
      </c>
      <c r="E22">
        <v>76.7</v>
      </c>
      <c r="F22">
        <v>0.3</v>
      </c>
    </row>
    <row r="23" spans="1:6" x14ac:dyDescent="0.3">
      <c r="A23" s="1">
        <f>DATE(2024,5,22)</f>
        <v>45434</v>
      </c>
      <c r="B23">
        <v>4.3</v>
      </c>
      <c r="C23">
        <v>12.6</v>
      </c>
      <c r="D23">
        <v>8.3000000000000007</v>
      </c>
      <c r="E23">
        <v>80.099999999999994</v>
      </c>
      <c r="F23">
        <v>1.9</v>
      </c>
    </row>
    <row r="24" spans="1:6" x14ac:dyDescent="0.3">
      <c r="A24" s="1">
        <f>DATE(2024,5,23)</f>
        <v>45435</v>
      </c>
      <c r="B24">
        <v>5</v>
      </c>
      <c r="C24">
        <v>12.4</v>
      </c>
      <c r="D24">
        <v>8</v>
      </c>
      <c r="E24">
        <v>79.7</v>
      </c>
      <c r="F24">
        <v>7.6</v>
      </c>
    </row>
    <row r="25" spans="1:6" x14ac:dyDescent="0.3">
      <c r="A25" s="1">
        <f>DATE(2024,5,24)</f>
        <v>45436</v>
      </c>
      <c r="B25">
        <v>4.3</v>
      </c>
      <c r="C25">
        <v>12.8</v>
      </c>
      <c r="D25">
        <v>8.1999999999999993</v>
      </c>
      <c r="E25">
        <v>84.3</v>
      </c>
      <c r="F25">
        <v>0</v>
      </c>
    </row>
    <row r="26" spans="1:6" x14ac:dyDescent="0.3">
      <c r="A26" s="1">
        <f>DATE(2024,5,25)</f>
        <v>45437</v>
      </c>
      <c r="B26">
        <v>4.2</v>
      </c>
      <c r="C26">
        <v>16.100000000000001</v>
      </c>
      <c r="D26">
        <v>10.3</v>
      </c>
      <c r="E26">
        <v>75.599999999999994</v>
      </c>
      <c r="F26">
        <v>0</v>
      </c>
    </row>
    <row r="27" spans="1:6" x14ac:dyDescent="0.3">
      <c r="A27" s="1">
        <f>DATE(2024,5,26)</f>
        <v>45438</v>
      </c>
      <c r="B27">
        <v>2.8</v>
      </c>
      <c r="C27">
        <v>19.7</v>
      </c>
      <c r="D27">
        <v>12.5</v>
      </c>
      <c r="E27">
        <v>62.8</v>
      </c>
      <c r="F27">
        <v>0</v>
      </c>
    </row>
    <row r="28" spans="1:6" x14ac:dyDescent="0.3">
      <c r="A28" s="1">
        <f>DATE(2024,5,27)</f>
        <v>45439</v>
      </c>
      <c r="B28">
        <v>7.8</v>
      </c>
      <c r="C28">
        <v>21.7</v>
      </c>
      <c r="D28">
        <v>15.4</v>
      </c>
      <c r="E28">
        <v>64</v>
      </c>
      <c r="F28">
        <v>0</v>
      </c>
    </row>
    <row r="29" spans="1:6" x14ac:dyDescent="0.3">
      <c r="A29" s="1">
        <f>DATE(2024,5,28)</f>
        <v>45440</v>
      </c>
      <c r="B29">
        <v>8.3000000000000007</v>
      </c>
      <c r="C29">
        <v>25.4</v>
      </c>
      <c r="D29">
        <v>17.600000000000001</v>
      </c>
      <c r="E29">
        <v>51.8</v>
      </c>
      <c r="F29">
        <v>0</v>
      </c>
    </row>
    <row r="30" spans="1:6" x14ac:dyDescent="0.3">
      <c r="A30" s="1">
        <f>DATE(2024,5,29)</f>
        <v>45441</v>
      </c>
      <c r="B30">
        <v>9</v>
      </c>
      <c r="C30">
        <v>20.7</v>
      </c>
      <c r="D30">
        <v>16</v>
      </c>
      <c r="E30">
        <v>57.7</v>
      </c>
      <c r="F30">
        <v>1.7</v>
      </c>
    </row>
    <row r="31" spans="1:6" x14ac:dyDescent="0.3">
      <c r="A31" s="1">
        <f>DATE(2024,5,30)</f>
        <v>45442</v>
      </c>
      <c r="B31">
        <v>6.8</v>
      </c>
      <c r="C31">
        <v>14.6</v>
      </c>
      <c r="D31">
        <v>9.3000000000000007</v>
      </c>
      <c r="E31">
        <v>78.400000000000006</v>
      </c>
      <c r="F31">
        <v>2.6</v>
      </c>
    </row>
    <row r="32" spans="1:6" x14ac:dyDescent="0.3">
      <c r="A32" s="1">
        <f>DATE(2024,5,31)</f>
        <v>45443</v>
      </c>
      <c r="B32">
        <v>6.8</v>
      </c>
      <c r="C32">
        <v>16.2</v>
      </c>
      <c r="D32">
        <v>11.6</v>
      </c>
      <c r="E32">
        <v>53.5</v>
      </c>
      <c r="F32">
        <v>0</v>
      </c>
    </row>
    <row r="33" spans="1:6" x14ac:dyDescent="0.3">
      <c r="A33" s="1"/>
      <c r="B33">
        <v>5.9</v>
      </c>
      <c r="C33">
        <v>20.5</v>
      </c>
      <c r="D33">
        <v>13.6</v>
      </c>
      <c r="E33">
        <v>48.8</v>
      </c>
      <c r="F33">
        <v>0</v>
      </c>
    </row>
    <row r="34" spans="1:6" x14ac:dyDescent="0.3">
      <c r="A34" s="1"/>
      <c r="B34">
        <v>5.5</v>
      </c>
      <c r="C34">
        <v>19.7</v>
      </c>
      <c r="D34">
        <v>13.2</v>
      </c>
      <c r="E34">
        <v>52.1</v>
      </c>
      <c r="F34">
        <v>0</v>
      </c>
    </row>
    <row r="35" spans="1:6" x14ac:dyDescent="0.3">
      <c r="A35" s="1"/>
      <c r="B35">
        <v>9.9</v>
      </c>
      <c r="C35">
        <v>14.3</v>
      </c>
      <c r="D35">
        <v>11.9</v>
      </c>
      <c r="E35">
        <v>77.5</v>
      </c>
      <c r="F35">
        <v>4.2</v>
      </c>
    </row>
    <row r="36" spans="1:6" x14ac:dyDescent="0.3">
      <c r="A36" s="1"/>
      <c r="B36">
        <v>9.5</v>
      </c>
      <c r="C36">
        <v>15.7</v>
      </c>
      <c r="D36">
        <v>12.2</v>
      </c>
      <c r="E36">
        <v>90</v>
      </c>
      <c r="F36">
        <v>7.5</v>
      </c>
    </row>
    <row r="37" spans="1:6" x14ac:dyDescent="0.3">
      <c r="B37">
        <v>7.5</v>
      </c>
      <c r="C37">
        <v>19.3</v>
      </c>
      <c r="D37">
        <v>12.9</v>
      </c>
      <c r="E37">
        <v>62</v>
      </c>
      <c r="F37">
        <v>0.1</v>
      </c>
    </row>
    <row r="38" spans="1:6" x14ac:dyDescent="0.3">
      <c r="B38">
        <v>6.2</v>
      </c>
      <c r="C38">
        <v>19.600000000000001</v>
      </c>
      <c r="D38">
        <v>13.4</v>
      </c>
      <c r="E38">
        <v>44.2</v>
      </c>
      <c r="F38">
        <v>0</v>
      </c>
    </row>
    <row r="39" spans="1:6" x14ac:dyDescent="0.3">
      <c r="B39">
        <v>6.2</v>
      </c>
      <c r="C39">
        <v>20.5</v>
      </c>
      <c r="D39">
        <v>12.7</v>
      </c>
      <c r="E39">
        <v>51.9</v>
      </c>
      <c r="F39">
        <v>0</v>
      </c>
    </row>
    <row r="40" spans="1:6" x14ac:dyDescent="0.3">
      <c r="B40">
        <v>3.4</v>
      </c>
      <c r="C40">
        <v>12.4</v>
      </c>
      <c r="D40">
        <v>7</v>
      </c>
      <c r="E40">
        <v>76.7</v>
      </c>
      <c r="F40">
        <v>1.6</v>
      </c>
    </row>
    <row r="41" spans="1:6" x14ac:dyDescent="0.3">
      <c r="B41">
        <v>1.2</v>
      </c>
      <c r="C41">
        <v>15.6</v>
      </c>
      <c r="D41">
        <v>9.9</v>
      </c>
      <c r="E41">
        <v>68.900000000000006</v>
      </c>
      <c r="F41">
        <v>0</v>
      </c>
    </row>
    <row r="42" spans="1:6" x14ac:dyDescent="0.3">
      <c r="B42">
        <v>7.4</v>
      </c>
      <c r="C42">
        <v>20.6</v>
      </c>
      <c r="D42">
        <v>13.3</v>
      </c>
      <c r="E42">
        <v>68</v>
      </c>
      <c r="F42">
        <v>1</v>
      </c>
    </row>
    <row r="43" spans="1:6" x14ac:dyDescent="0.3">
      <c r="B43">
        <v>8</v>
      </c>
      <c r="C43">
        <v>25.1</v>
      </c>
      <c r="D43">
        <v>16.3</v>
      </c>
      <c r="E43">
        <v>63.6</v>
      </c>
      <c r="F43">
        <v>4.3</v>
      </c>
    </row>
    <row r="44" spans="1:6" x14ac:dyDescent="0.3">
      <c r="B44">
        <v>10</v>
      </c>
      <c r="C44">
        <v>12.3</v>
      </c>
      <c r="D44">
        <v>11.1</v>
      </c>
      <c r="E44">
        <v>93</v>
      </c>
      <c r="F44">
        <v>8.6999999999999993</v>
      </c>
    </row>
    <row r="45" spans="1:6" x14ac:dyDescent="0.3">
      <c r="B45">
        <v>10.199999999999999</v>
      </c>
      <c r="C45">
        <v>20</v>
      </c>
      <c r="D45">
        <v>14.2</v>
      </c>
      <c r="E45">
        <v>77.5</v>
      </c>
      <c r="F45">
        <v>1.9</v>
      </c>
    </row>
    <row r="46" spans="1:6" x14ac:dyDescent="0.3">
      <c r="B46">
        <v>7.8</v>
      </c>
      <c r="C46">
        <v>22.2</v>
      </c>
      <c r="D46">
        <v>13.9</v>
      </c>
      <c r="E46">
        <v>76.3</v>
      </c>
      <c r="F46">
        <v>2.8</v>
      </c>
    </row>
    <row r="47" spans="1:6" x14ac:dyDescent="0.3">
      <c r="B47">
        <v>6.7</v>
      </c>
      <c r="C47">
        <v>18.7</v>
      </c>
      <c r="D47">
        <v>13.1</v>
      </c>
      <c r="E47">
        <v>73.5</v>
      </c>
      <c r="F47">
        <v>1.2</v>
      </c>
    </row>
    <row r="48" spans="1:6" x14ac:dyDescent="0.3">
      <c r="B48">
        <v>7.1</v>
      </c>
      <c r="C48">
        <v>15.5</v>
      </c>
      <c r="D48">
        <v>11.5</v>
      </c>
      <c r="E48">
        <v>63.7</v>
      </c>
      <c r="F48">
        <v>0.4</v>
      </c>
    </row>
    <row r="49" spans="1:6" x14ac:dyDescent="0.3">
      <c r="B49">
        <v>3.4</v>
      </c>
      <c r="C49">
        <v>15.2</v>
      </c>
      <c r="D49">
        <v>9.6999999999999993</v>
      </c>
      <c r="E49">
        <v>58.9</v>
      </c>
      <c r="F49">
        <v>0.2</v>
      </c>
    </row>
    <row r="50" spans="1:6" x14ac:dyDescent="0.3">
      <c r="B50">
        <v>0.7</v>
      </c>
      <c r="C50">
        <v>13.4</v>
      </c>
      <c r="D50">
        <v>8</v>
      </c>
      <c r="E50">
        <v>65</v>
      </c>
      <c r="F50">
        <v>0</v>
      </c>
    </row>
    <row r="51" spans="1:6" x14ac:dyDescent="0.3">
      <c r="B51">
        <v>3</v>
      </c>
      <c r="C51">
        <v>17.8</v>
      </c>
      <c r="D51">
        <v>11.6</v>
      </c>
      <c r="E51">
        <v>56</v>
      </c>
      <c r="F51">
        <v>0</v>
      </c>
    </row>
    <row r="52" spans="1:6" x14ac:dyDescent="0.3">
      <c r="B52">
        <v>2.2999999999999998</v>
      </c>
      <c r="C52">
        <v>21.3</v>
      </c>
      <c r="D52">
        <v>13.8</v>
      </c>
      <c r="E52">
        <v>56.5</v>
      </c>
      <c r="F52">
        <v>0</v>
      </c>
    </row>
    <row r="53" spans="1:6" x14ac:dyDescent="0.3">
      <c r="B53">
        <v>6.6</v>
      </c>
      <c r="C53">
        <v>23.1</v>
      </c>
      <c r="D53">
        <v>15.5</v>
      </c>
      <c r="E53">
        <v>60.3</v>
      </c>
      <c r="F53">
        <v>0</v>
      </c>
    </row>
    <row r="54" spans="1:6" x14ac:dyDescent="0.3">
      <c r="B54">
        <v>5.7</v>
      </c>
      <c r="C54">
        <v>24.2</v>
      </c>
      <c r="D54">
        <v>16.8</v>
      </c>
      <c r="E54">
        <v>59.5</v>
      </c>
      <c r="F54">
        <v>0</v>
      </c>
    </row>
    <row r="55" spans="1:6" x14ac:dyDescent="0.3">
      <c r="B55">
        <v>12.8</v>
      </c>
      <c r="C55">
        <v>27.5</v>
      </c>
      <c r="D55">
        <v>19.399999999999999</v>
      </c>
      <c r="E55">
        <v>60.6</v>
      </c>
      <c r="F55">
        <v>1.7</v>
      </c>
    </row>
    <row r="56" spans="1:6" x14ac:dyDescent="0.3">
      <c r="B56">
        <v>10.7</v>
      </c>
      <c r="C56">
        <v>21.1</v>
      </c>
      <c r="D56">
        <v>15.8</v>
      </c>
      <c r="E56">
        <v>64.8</v>
      </c>
      <c r="F56">
        <v>0.1</v>
      </c>
    </row>
    <row r="57" spans="1:6" x14ac:dyDescent="0.3">
      <c r="B57">
        <v>10.9</v>
      </c>
      <c r="C57">
        <v>20.5</v>
      </c>
      <c r="D57">
        <v>14.6</v>
      </c>
      <c r="E57">
        <v>81.400000000000006</v>
      </c>
      <c r="F57">
        <v>6.3</v>
      </c>
    </row>
    <row r="58" spans="1:6" x14ac:dyDescent="0.3">
      <c r="B58">
        <v>8.4</v>
      </c>
      <c r="C58">
        <v>22.8</v>
      </c>
      <c r="D58">
        <v>16.3</v>
      </c>
      <c r="E58">
        <v>73.400000000000006</v>
      </c>
      <c r="F58">
        <v>0</v>
      </c>
    </row>
    <row r="59" spans="1:6" x14ac:dyDescent="0.3">
      <c r="B59">
        <v>13.8</v>
      </c>
      <c r="C59">
        <v>18.5</v>
      </c>
      <c r="D59">
        <v>16.100000000000001</v>
      </c>
      <c r="E59">
        <v>74</v>
      </c>
      <c r="F59">
        <v>0.1</v>
      </c>
    </row>
    <row r="60" spans="1:6" x14ac:dyDescent="0.3">
      <c r="B60">
        <v>8.3000000000000007</v>
      </c>
      <c r="C60">
        <v>19.8</v>
      </c>
      <c r="D60">
        <v>15.6</v>
      </c>
      <c r="E60">
        <v>53</v>
      </c>
      <c r="F60">
        <v>0.2</v>
      </c>
    </row>
    <row r="61" spans="1:6" x14ac:dyDescent="0.3">
      <c r="B61">
        <v>4.5</v>
      </c>
      <c r="C61">
        <v>23.1</v>
      </c>
      <c r="D61">
        <v>15.8</v>
      </c>
      <c r="E61">
        <v>60.9</v>
      </c>
      <c r="F61">
        <v>0</v>
      </c>
    </row>
    <row r="62" spans="1:6" x14ac:dyDescent="0.3">
      <c r="B62">
        <v>10</v>
      </c>
      <c r="C62">
        <v>22.8</v>
      </c>
      <c r="D62">
        <v>17.2</v>
      </c>
      <c r="E62">
        <v>64.5</v>
      </c>
      <c r="F62">
        <v>0</v>
      </c>
    </row>
    <row r="63" spans="1:6" x14ac:dyDescent="0.3">
      <c r="A63" s="1">
        <f>DATE(2024,7,1)</f>
        <v>45474</v>
      </c>
      <c r="B63">
        <v>10.4</v>
      </c>
      <c r="C63">
        <v>24</v>
      </c>
      <c r="D63">
        <v>16.600000000000001</v>
      </c>
      <c r="E63">
        <v>82.1</v>
      </c>
      <c r="F63">
        <v>7.6</v>
      </c>
    </row>
    <row r="64" spans="1:6" x14ac:dyDescent="0.3">
      <c r="B64">
        <v>12.5</v>
      </c>
      <c r="C64">
        <v>22.5</v>
      </c>
      <c r="D64">
        <v>16.7</v>
      </c>
      <c r="E64">
        <v>75.3</v>
      </c>
      <c r="F64">
        <v>0.8</v>
      </c>
    </row>
    <row r="65" spans="2:6" x14ac:dyDescent="0.3">
      <c r="B65">
        <v>11.2</v>
      </c>
      <c r="C65">
        <v>22.8</v>
      </c>
      <c r="D65">
        <v>16.2</v>
      </c>
      <c r="E65">
        <v>85.8</v>
      </c>
      <c r="F65">
        <v>6.4</v>
      </c>
    </row>
    <row r="66" spans="2:6" x14ac:dyDescent="0.3">
      <c r="B66">
        <v>11.5</v>
      </c>
      <c r="C66">
        <v>23.9</v>
      </c>
      <c r="D66">
        <v>17.8</v>
      </c>
      <c r="E66">
        <v>78.099999999999994</v>
      </c>
      <c r="F66">
        <v>0</v>
      </c>
    </row>
    <row r="67" spans="2:6" x14ac:dyDescent="0.3">
      <c r="B67">
        <v>11.7</v>
      </c>
      <c r="C67">
        <v>25.4</v>
      </c>
      <c r="D67">
        <v>18.7</v>
      </c>
      <c r="E67">
        <v>63.7</v>
      </c>
      <c r="F67">
        <v>0</v>
      </c>
    </row>
    <row r="68" spans="2:6" x14ac:dyDescent="0.3">
      <c r="B68">
        <v>10.3</v>
      </c>
      <c r="C68">
        <v>26.3</v>
      </c>
      <c r="D68">
        <v>17.899999999999999</v>
      </c>
      <c r="E68">
        <v>68.599999999999994</v>
      </c>
      <c r="F68">
        <v>1.7</v>
      </c>
    </row>
    <row r="69" spans="2:6" x14ac:dyDescent="0.3">
      <c r="B69">
        <v>9.8000000000000007</v>
      </c>
      <c r="C69">
        <v>26.4</v>
      </c>
      <c r="D69">
        <v>19</v>
      </c>
      <c r="E69">
        <v>66.900000000000006</v>
      </c>
      <c r="F69">
        <v>0</v>
      </c>
    </row>
    <row r="70" spans="2:6" x14ac:dyDescent="0.3">
      <c r="B70">
        <v>13</v>
      </c>
      <c r="C70">
        <v>32.6</v>
      </c>
      <c r="D70">
        <v>23.3</v>
      </c>
      <c r="E70">
        <v>62.8</v>
      </c>
      <c r="F70">
        <v>0</v>
      </c>
    </row>
    <row r="71" spans="2:6" x14ac:dyDescent="0.3">
      <c r="B71">
        <v>12.7</v>
      </c>
      <c r="C71">
        <v>33.799999999999997</v>
      </c>
      <c r="D71">
        <v>24.7</v>
      </c>
      <c r="E71">
        <v>59.3</v>
      </c>
      <c r="F71">
        <v>0</v>
      </c>
    </row>
    <row r="72" spans="2:6" x14ac:dyDescent="0.3">
      <c r="B72">
        <v>17.899999999999999</v>
      </c>
      <c r="C72">
        <v>35.799999999999997</v>
      </c>
      <c r="D72">
        <v>26.8</v>
      </c>
      <c r="E72">
        <v>52.2</v>
      </c>
      <c r="F72">
        <v>0</v>
      </c>
    </row>
    <row r="73" spans="2:6" x14ac:dyDescent="0.3">
      <c r="B73">
        <v>18.8</v>
      </c>
      <c r="C73">
        <v>33</v>
      </c>
      <c r="D73">
        <v>26.2</v>
      </c>
      <c r="E73">
        <v>54.5</v>
      </c>
      <c r="F73">
        <v>0</v>
      </c>
    </row>
    <row r="74" spans="2:6" x14ac:dyDescent="0.3">
      <c r="B74">
        <v>12</v>
      </c>
      <c r="C74">
        <v>24.7</v>
      </c>
      <c r="D74">
        <v>19.600000000000001</v>
      </c>
      <c r="E74">
        <v>44.4</v>
      </c>
      <c r="F74">
        <v>0.2</v>
      </c>
    </row>
    <row r="75" spans="2:6" x14ac:dyDescent="0.3">
      <c r="B75">
        <v>5.9</v>
      </c>
      <c r="C75">
        <v>24.6</v>
      </c>
      <c r="D75">
        <v>15.5</v>
      </c>
      <c r="E75">
        <v>77.900000000000006</v>
      </c>
      <c r="F75">
        <v>9.5</v>
      </c>
    </row>
    <row r="76" spans="2:6" x14ac:dyDescent="0.3">
      <c r="B76">
        <v>11.5</v>
      </c>
      <c r="C76">
        <v>22.1</v>
      </c>
      <c r="D76">
        <v>15.7</v>
      </c>
      <c r="E76">
        <v>84.9</v>
      </c>
      <c r="F76">
        <v>1.1000000000000001</v>
      </c>
    </row>
    <row r="77" spans="2:6" x14ac:dyDescent="0.3">
      <c r="B77">
        <v>7.9</v>
      </c>
      <c r="C77">
        <v>25</v>
      </c>
      <c r="D77">
        <v>17.3</v>
      </c>
      <c r="E77">
        <v>80.400000000000006</v>
      </c>
      <c r="F77">
        <v>0</v>
      </c>
    </row>
    <row r="78" spans="2:6" x14ac:dyDescent="0.3">
      <c r="B78">
        <v>14.8</v>
      </c>
      <c r="C78">
        <v>30</v>
      </c>
      <c r="D78">
        <v>22.9</v>
      </c>
      <c r="E78">
        <v>68.8</v>
      </c>
      <c r="F78">
        <v>0</v>
      </c>
    </row>
    <row r="79" spans="2:6" x14ac:dyDescent="0.3">
      <c r="B79">
        <v>16.7</v>
      </c>
      <c r="C79">
        <v>32.4</v>
      </c>
      <c r="D79">
        <v>24.8</v>
      </c>
      <c r="E79">
        <v>63.5</v>
      </c>
      <c r="F79">
        <v>0</v>
      </c>
    </row>
    <row r="80" spans="2:6" x14ac:dyDescent="0.3">
      <c r="B80">
        <v>15.1</v>
      </c>
      <c r="C80">
        <v>33.5</v>
      </c>
      <c r="D80">
        <v>24.9</v>
      </c>
      <c r="E80">
        <v>62.1</v>
      </c>
      <c r="F80">
        <v>0</v>
      </c>
    </row>
    <row r="81" spans="1:6" x14ac:dyDescent="0.3">
      <c r="B81">
        <v>15.7</v>
      </c>
      <c r="C81">
        <v>32.799999999999997</v>
      </c>
      <c r="D81">
        <v>23.2</v>
      </c>
      <c r="E81">
        <v>68.400000000000006</v>
      </c>
      <c r="F81">
        <v>0</v>
      </c>
    </row>
    <row r="82" spans="1:6" x14ac:dyDescent="0.3">
      <c r="B82">
        <v>13.4</v>
      </c>
      <c r="C82">
        <v>29.7</v>
      </c>
      <c r="D82">
        <v>21.5</v>
      </c>
      <c r="E82">
        <v>81</v>
      </c>
      <c r="F82">
        <v>0</v>
      </c>
    </row>
    <row r="83" spans="1:6" x14ac:dyDescent="0.3">
      <c r="B83">
        <v>13.2</v>
      </c>
      <c r="C83">
        <v>31.8</v>
      </c>
      <c r="D83">
        <v>23</v>
      </c>
      <c r="E83">
        <v>76</v>
      </c>
      <c r="F83">
        <v>0</v>
      </c>
    </row>
    <row r="84" spans="1:6" x14ac:dyDescent="0.3">
      <c r="B84">
        <v>15.7</v>
      </c>
      <c r="C84">
        <v>28.9</v>
      </c>
      <c r="D84">
        <v>22.5</v>
      </c>
      <c r="E84">
        <v>76</v>
      </c>
      <c r="F84">
        <v>0</v>
      </c>
    </row>
    <row r="85" spans="1:6" x14ac:dyDescent="0.3">
      <c r="B85">
        <v>16.8</v>
      </c>
      <c r="C85">
        <v>26.7</v>
      </c>
      <c r="D85">
        <v>21.7</v>
      </c>
      <c r="E85">
        <v>80.3</v>
      </c>
      <c r="F85">
        <v>0</v>
      </c>
    </row>
    <row r="86" spans="1:6" x14ac:dyDescent="0.3">
      <c r="B86">
        <v>18.399999999999999</v>
      </c>
      <c r="C86">
        <v>23.3</v>
      </c>
      <c r="D86">
        <v>20.7</v>
      </c>
      <c r="E86">
        <v>86.6</v>
      </c>
      <c r="F86">
        <v>0</v>
      </c>
    </row>
    <row r="87" spans="1:6" x14ac:dyDescent="0.3">
      <c r="B87">
        <v>10.9</v>
      </c>
      <c r="C87">
        <v>24</v>
      </c>
      <c r="D87">
        <v>18.100000000000001</v>
      </c>
      <c r="E87">
        <v>82.5</v>
      </c>
      <c r="F87">
        <v>0</v>
      </c>
    </row>
    <row r="88" spans="1:6" x14ac:dyDescent="0.3">
      <c r="B88">
        <v>10.8</v>
      </c>
      <c r="C88">
        <v>19.100000000000001</v>
      </c>
      <c r="D88">
        <v>14.1</v>
      </c>
      <c r="E88">
        <v>77.8</v>
      </c>
      <c r="F88">
        <v>4.5999999999999996</v>
      </c>
    </row>
    <row r="89" spans="1:6" x14ac:dyDescent="0.3">
      <c r="B89">
        <v>12.1</v>
      </c>
      <c r="C89">
        <v>20.9</v>
      </c>
      <c r="D89">
        <v>15.2</v>
      </c>
      <c r="E89">
        <v>84.5</v>
      </c>
      <c r="F89">
        <v>5.0999999999999996</v>
      </c>
    </row>
    <row r="90" spans="1:6" x14ac:dyDescent="0.3">
      <c r="B90">
        <v>9.4</v>
      </c>
      <c r="C90">
        <v>28.1</v>
      </c>
      <c r="D90">
        <v>18.600000000000001</v>
      </c>
      <c r="E90">
        <v>71.3</v>
      </c>
      <c r="F90">
        <v>0</v>
      </c>
    </row>
    <row r="91" spans="1:6" x14ac:dyDescent="0.3">
      <c r="B91">
        <v>8.4</v>
      </c>
      <c r="C91">
        <v>29.9</v>
      </c>
      <c r="D91">
        <v>19.899999999999999</v>
      </c>
      <c r="E91">
        <v>65.8</v>
      </c>
      <c r="F91">
        <v>0.2</v>
      </c>
    </row>
    <row r="92" spans="1:6" x14ac:dyDescent="0.3">
      <c r="B92">
        <v>10.9</v>
      </c>
      <c r="C92">
        <v>25.6</v>
      </c>
      <c r="D92">
        <v>18.8</v>
      </c>
      <c r="E92">
        <v>74.7</v>
      </c>
      <c r="F92">
        <v>1.7</v>
      </c>
    </row>
    <row r="93" spans="1:6" x14ac:dyDescent="0.3">
      <c r="B93">
        <v>14.3</v>
      </c>
      <c r="C93">
        <v>29.7</v>
      </c>
      <c r="D93">
        <v>21.4</v>
      </c>
      <c r="E93">
        <v>64.7</v>
      </c>
      <c r="F93">
        <v>0</v>
      </c>
    </row>
    <row r="94" spans="1:6" x14ac:dyDescent="0.3">
      <c r="A94" s="1">
        <f>DATE(2024,8,1)</f>
        <v>45505</v>
      </c>
      <c r="B94">
        <v>10</v>
      </c>
      <c r="C94">
        <v>27.5</v>
      </c>
      <c r="D94">
        <v>19</v>
      </c>
      <c r="E94">
        <v>66.599999999999994</v>
      </c>
      <c r="F94">
        <v>0</v>
      </c>
    </row>
    <row r="95" spans="1:6" x14ac:dyDescent="0.3">
      <c r="B95">
        <v>10.4</v>
      </c>
      <c r="C95">
        <v>25.5</v>
      </c>
      <c r="D95">
        <v>18.8</v>
      </c>
      <c r="E95">
        <v>54.7</v>
      </c>
      <c r="F95">
        <v>0.1</v>
      </c>
    </row>
    <row r="96" spans="1:6" x14ac:dyDescent="0.3">
      <c r="B96">
        <v>10.1</v>
      </c>
      <c r="C96">
        <v>26.8</v>
      </c>
      <c r="D96">
        <v>17.7</v>
      </c>
      <c r="E96">
        <v>63.3</v>
      </c>
      <c r="F96">
        <v>0</v>
      </c>
    </row>
    <row r="97" spans="2:6" x14ac:dyDescent="0.3">
      <c r="B97">
        <v>7.9</v>
      </c>
      <c r="C97">
        <v>25.7</v>
      </c>
      <c r="D97">
        <v>18.100000000000001</v>
      </c>
      <c r="E97">
        <v>66.599999999999994</v>
      </c>
      <c r="F97">
        <v>0.2</v>
      </c>
    </row>
    <row r="98" spans="2:6" x14ac:dyDescent="0.3">
      <c r="B98">
        <v>12.8</v>
      </c>
      <c r="C98">
        <v>18</v>
      </c>
      <c r="D98">
        <v>14.8</v>
      </c>
      <c r="E98">
        <v>93.4</v>
      </c>
      <c r="F98">
        <v>16.600000000000001</v>
      </c>
    </row>
    <row r="99" spans="2:6" x14ac:dyDescent="0.3">
      <c r="B99">
        <v>12.6</v>
      </c>
      <c r="C99">
        <v>21.4</v>
      </c>
      <c r="D99">
        <v>15.9</v>
      </c>
      <c r="E99">
        <v>78.900000000000006</v>
      </c>
      <c r="F99">
        <v>0.4</v>
      </c>
    </row>
    <row r="100" spans="2:6" x14ac:dyDescent="0.3">
      <c r="B100">
        <v>8.6999999999999993</v>
      </c>
      <c r="C100">
        <v>21.5</v>
      </c>
      <c r="D100">
        <v>15.8</v>
      </c>
      <c r="E100">
        <v>71.099999999999994</v>
      </c>
      <c r="F100">
        <v>0.1</v>
      </c>
    </row>
    <row r="101" spans="2:6" x14ac:dyDescent="0.3">
      <c r="B101">
        <v>3.7</v>
      </c>
      <c r="C101">
        <v>21.8</v>
      </c>
      <c r="D101">
        <v>13.8</v>
      </c>
      <c r="E101">
        <v>64.3</v>
      </c>
      <c r="F101">
        <v>0</v>
      </c>
    </row>
    <row r="102" spans="2:6" x14ac:dyDescent="0.3">
      <c r="B102">
        <v>4.7</v>
      </c>
      <c r="C102">
        <v>23</v>
      </c>
      <c r="D102">
        <v>15.3</v>
      </c>
      <c r="E102">
        <v>61.7</v>
      </c>
      <c r="F102">
        <v>0</v>
      </c>
    </row>
    <row r="103" spans="2:6" x14ac:dyDescent="0.3">
      <c r="B103">
        <v>7</v>
      </c>
      <c r="C103">
        <v>26</v>
      </c>
      <c r="D103">
        <v>17.3</v>
      </c>
      <c r="E103">
        <v>59.3</v>
      </c>
      <c r="F103">
        <v>0</v>
      </c>
    </row>
    <row r="104" spans="2:6" x14ac:dyDescent="0.3">
      <c r="B104">
        <v>9.4</v>
      </c>
      <c r="C104">
        <v>28.2</v>
      </c>
      <c r="D104">
        <v>19.100000000000001</v>
      </c>
      <c r="E104">
        <v>57.5</v>
      </c>
      <c r="F104">
        <v>0</v>
      </c>
    </row>
    <row r="105" spans="2:6" x14ac:dyDescent="0.3">
      <c r="B105">
        <v>9.5</v>
      </c>
      <c r="C105">
        <v>28.8</v>
      </c>
      <c r="D105">
        <v>18.100000000000001</v>
      </c>
      <c r="E105">
        <v>64.7</v>
      </c>
      <c r="F105">
        <v>7.3</v>
      </c>
    </row>
    <row r="106" spans="2:6" x14ac:dyDescent="0.3">
      <c r="B106">
        <v>12.1</v>
      </c>
      <c r="C106">
        <v>27.3</v>
      </c>
      <c r="D106">
        <v>19.3</v>
      </c>
      <c r="E106">
        <v>74</v>
      </c>
      <c r="F106">
        <v>1</v>
      </c>
    </row>
    <row r="107" spans="2:6" x14ac:dyDescent="0.3">
      <c r="B107">
        <v>11.7</v>
      </c>
      <c r="C107">
        <v>23.1</v>
      </c>
      <c r="D107">
        <v>17.399999999999999</v>
      </c>
      <c r="E107">
        <v>77.3</v>
      </c>
      <c r="F107">
        <v>0.1</v>
      </c>
    </row>
    <row r="108" spans="2:6" x14ac:dyDescent="0.3">
      <c r="B108">
        <v>8.5</v>
      </c>
      <c r="C108">
        <v>25.6</v>
      </c>
      <c r="D108">
        <v>16.7</v>
      </c>
      <c r="E108">
        <v>75.2</v>
      </c>
      <c r="F108">
        <v>0</v>
      </c>
    </row>
    <row r="109" spans="2:6" x14ac:dyDescent="0.3">
      <c r="B109">
        <v>11.8</v>
      </c>
      <c r="C109">
        <v>24.9</v>
      </c>
      <c r="D109">
        <v>18.2</v>
      </c>
      <c r="E109">
        <v>64.7</v>
      </c>
      <c r="F109">
        <v>0</v>
      </c>
    </row>
    <row r="110" spans="2:6" x14ac:dyDescent="0.3">
      <c r="B110">
        <v>10.6</v>
      </c>
      <c r="C110">
        <v>24.4</v>
      </c>
      <c r="D110">
        <v>16</v>
      </c>
      <c r="E110">
        <v>84.8</v>
      </c>
      <c r="F110">
        <v>28.3</v>
      </c>
    </row>
    <row r="111" spans="2:6" x14ac:dyDescent="0.3">
      <c r="B111">
        <v>12.8</v>
      </c>
      <c r="C111">
        <v>25.1</v>
      </c>
      <c r="D111">
        <v>18.100000000000001</v>
      </c>
      <c r="E111">
        <v>83.8</v>
      </c>
      <c r="F111">
        <v>0</v>
      </c>
    </row>
    <row r="112" spans="2:6" x14ac:dyDescent="0.3">
      <c r="B112">
        <v>13.1</v>
      </c>
      <c r="C112">
        <v>30.1</v>
      </c>
      <c r="D112">
        <v>21.6</v>
      </c>
      <c r="E112">
        <v>68.3</v>
      </c>
      <c r="F112">
        <v>0.3</v>
      </c>
    </row>
    <row r="113" spans="1:6" x14ac:dyDescent="0.3">
      <c r="B113">
        <v>12.1</v>
      </c>
      <c r="C113">
        <v>27.5</v>
      </c>
      <c r="D113">
        <v>19.600000000000001</v>
      </c>
      <c r="E113">
        <v>68.599999999999994</v>
      </c>
      <c r="F113">
        <v>3.6</v>
      </c>
    </row>
    <row r="114" spans="1:6" x14ac:dyDescent="0.3">
      <c r="B114">
        <v>8.4</v>
      </c>
      <c r="C114">
        <v>25.5</v>
      </c>
      <c r="D114">
        <v>17</v>
      </c>
      <c r="E114">
        <v>71.900000000000006</v>
      </c>
      <c r="F114">
        <v>4.4000000000000004</v>
      </c>
    </row>
    <row r="115" spans="1:6" x14ac:dyDescent="0.3">
      <c r="B115">
        <v>10.6</v>
      </c>
      <c r="C115">
        <v>18.8</v>
      </c>
      <c r="D115">
        <v>14.9</v>
      </c>
      <c r="E115">
        <v>80.599999999999994</v>
      </c>
      <c r="F115">
        <v>3.5</v>
      </c>
    </row>
    <row r="116" spans="1:6" x14ac:dyDescent="0.3">
      <c r="B116">
        <v>9.1999999999999993</v>
      </c>
      <c r="C116">
        <v>25.9</v>
      </c>
      <c r="D116">
        <v>17.600000000000001</v>
      </c>
      <c r="E116">
        <v>71.099999999999994</v>
      </c>
      <c r="F116">
        <v>0</v>
      </c>
    </row>
    <row r="117" spans="1:6" x14ac:dyDescent="0.3">
      <c r="B117">
        <v>13</v>
      </c>
      <c r="C117">
        <v>25.2</v>
      </c>
      <c r="D117">
        <v>19.399999999999999</v>
      </c>
      <c r="E117">
        <v>61.6</v>
      </c>
      <c r="F117">
        <v>4.9000000000000004</v>
      </c>
    </row>
    <row r="118" spans="1:6" x14ac:dyDescent="0.3">
      <c r="B118">
        <v>9.4</v>
      </c>
      <c r="C118">
        <v>20.8</v>
      </c>
      <c r="D118">
        <v>14.5</v>
      </c>
      <c r="E118">
        <v>75.5</v>
      </c>
      <c r="F118">
        <v>0.5</v>
      </c>
    </row>
    <row r="119" spans="1:6" x14ac:dyDescent="0.3">
      <c r="B119">
        <v>7.6</v>
      </c>
      <c r="C119">
        <v>26.4</v>
      </c>
      <c r="D119">
        <v>17.100000000000001</v>
      </c>
      <c r="E119">
        <v>60.1</v>
      </c>
      <c r="F119">
        <v>0</v>
      </c>
    </row>
    <row r="120" spans="1:6" x14ac:dyDescent="0.3">
      <c r="B120">
        <v>12.3</v>
      </c>
      <c r="C120">
        <v>27.6</v>
      </c>
      <c r="D120">
        <v>19.3</v>
      </c>
      <c r="E120">
        <v>52.2</v>
      </c>
      <c r="F120">
        <v>0.4</v>
      </c>
    </row>
    <row r="121" spans="1:6" x14ac:dyDescent="0.3">
      <c r="B121">
        <v>12.4</v>
      </c>
      <c r="C121">
        <v>16.399999999999999</v>
      </c>
      <c r="D121">
        <v>14.1</v>
      </c>
      <c r="E121">
        <v>95.6</v>
      </c>
      <c r="F121">
        <v>10.4</v>
      </c>
    </row>
    <row r="122" spans="1:6" x14ac:dyDescent="0.3">
      <c r="B122">
        <v>8.1999999999999993</v>
      </c>
      <c r="C122">
        <v>23.7</v>
      </c>
      <c r="D122">
        <v>16.2</v>
      </c>
      <c r="E122">
        <v>69.7</v>
      </c>
      <c r="F122">
        <v>0</v>
      </c>
    </row>
    <row r="123" spans="1:6" x14ac:dyDescent="0.3">
      <c r="B123">
        <v>7.3</v>
      </c>
      <c r="C123">
        <v>22.5</v>
      </c>
      <c r="D123">
        <v>15.1</v>
      </c>
      <c r="E123">
        <v>69.599999999999994</v>
      </c>
      <c r="F123">
        <v>0.1</v>
      </c>
    </row>
    <row r="124" spans="1:6" x14ac:dyDescent="0.3">
      <c r="B124">
        <v>7.2</v>
      </c>
      <c r="C124">
        <v>23.6</v>
      </c>
      <c r="D124">
        <v>15.5</v>
      </c>
      <c r="E124">
        <v>65.8</v>
      </c>
      <c r="F124">
        <v>0</v>
      </c>
    </row>
    <row r="125" spans="1:6" x14ac:dyDescent="0.3">
      <c r="A125" s="1">
        <f>DATE(2024,9,1)</f>
        <v>45536</v>
      </c>
      <c r="B125">
        <v>8.3000000000000007</v>
      </c>
      <c r="C125">
        <v>31</v>
      </c>
      <c r="D125">
        <v>19.2</v>
      </c>
      <c r="E125">
        <v>62.6</v>
      </c>
      <c r="F125">
        <v>0</v>
      </c>
    </row>
    <row r="126" spans="1:6" x14ac:dyDescent="0.3">
      <c r="B126">
        <v>7.2</v>
      </c>
      <c r="C126">
        <v>34</v>
      </c>
      <c r="D126">
        <v>20.5</v>
      </c>
      <c r="E126">
        <v>61.7</v>
      </c>
      <c r="F126">
        <v>0</v>
      </c>
    </row>
    <row r="127" spans="1:6" x14ac:dyDescent="0.3">
      <c r="B127">
        <v>10.9</v>
      </c>
      <c r="C127">
        <v>24.5</v>
      </c>
      <c r="D127">
        <v>18.399999999999999</v>
      </c>
      <c r="E127">
        <v>72.7</v>
      </c>
      <c r="F127">
        <v>7</v>
      </c>
    </row>
    <row r="128" spans="1:6" x14ac:dyDescent="0.3">
      <c r="B128">
        <v>6.7</v>
      </c>
      <c r="C128">
        <v>18.8</v>
      </c>
      <c r="D128">
        <v>13.3</v>
      </c>
      <c r="E128">
        <v>75.3</v>
      </c>
      <c r="F128">
        <v>0.2</v>
      </c>
    </row>
    <row r="129" spans="2:6" x14ac:dyDescent="0.3">
      <c r="B129">
        <v>2.9</v>
      </c>
      <c r="C129">
        <v>24</v>
      </c>
      <c r="D129">
        <v>13.6</v>
      </c>
      <c r="E129">
        <v>67.599999999999994</v>
      </c>
      <c r="F129">
        <v>0</v>
      </c>
    </row>
    <row r="130" spans="2:6" x14ac:dyDescent="0.3">
      <c r="B130">
        <v>8.3000000000000007</v>
      </c>
      <c r="C130">
        <v>32.6</v>
      </c>
      <c r="D130">
        <v>18.600000000000001</v>
      </c>
      <c r="E130">
        <v>59.2</v>
      </c>
      <c r="F130">
        <v>0</v>
      </c>
    </row>
    <row r="131" spans="2:6" x14ac:dyDescent="0.3">
      <c r="B131">
        <v>7.1</v>
      </c>
      <c r="C131">
        <v>30.6</v>
      </c>
      <c r="D131">
        <v>18.100000000000001</v>
      </c>
      <c r="E131">
        <v>64.599999999999994</v>
      </c>
      <c r="F131">
        <v>0.1</v>
      </c>
    </row>
    <row r="132" spans="2:6" x14ac:dyDescent="0.3">
      <c r="B132">
        <v>6.2</v>
      </c>
      <c r="C132">
        <v>31.5</v>
      </c>
      <c r="D132">
        <v>19</v>
      </c>
      <c r="E132">
        <v>60.3</v>
      </c>
      <c r="F132">
        <v>0.1</v>
      </c>
    </row>
    <row r="133" spans="2:6" x14ac:dyDescent="0.3">
      <c r="B133">
        <v>9.4</v>
      </c>
      <c r="C133">
        <v>23.8</v>
      </c>
      <c r="D133">
        <v>16.600000000000001</v>
      </c>
      <c r="E133">
        <v>55.3</v>
      </c>
      <c r="F133">
        <v>0.3</v>
      </c>
    </row>
    <row r="134" spans="2:6" x14ac:dyDescent="0.3">
      <c r="B134">
        <v>3.8</v>
      </c>
      <c r="C134">
        <v>19.600000000000001</v>
      </c>
      <c r="D134">
        <v>11.7</v>
      </c>
      <c r="E134">
        <v>66.400000000000006</v>
      </c>
      <c r="F134">
        <v>0.1</v>
      </c>
    </row>
    <row r="135" spans="2:6" x14ac:dyDescent="0.3">
      <c r="B135">
        <v>8.6</v>
      </c>
      <c r="C135">
        <v>20.9</v>
      </c>
      <c r="D135">
        <v>14.2</v>
      </c>
      <c r="E135">
        <v>60.8</v>
      </c>
      <c r="F135">
        <v>0</v>
      </c>
    </row>
    <row r="136" spans="2:6" x14ac:dyDescent="0.3">
      <c r="B136">
        <v>10.7</v>
      </c>
      <c r="C136">
        <v>13.6</v>
      </c>
      <c r="D136">
        <v>11.5</v>
      </c>
      <c r="E136">
        <v>90.5</v>
      </c>
      <c r="F136">
        <v>0.9</v>
      </c>
    </row>
    <row r="137" spans="2:6" x14ac:dyDescent="0.3">
      <c r="B137">
        <v>9.6999999999999993</v>
      </c>
      <c r="C137">
        <v>11.6</v>
      </c>
      <c r="D137">
        <v>10.8</v>
      </c>
      <c r="E137">
        <v>97</v>
      </c>
      <c r="F137">
        <v>45</v>
      </c>
    </row>
    <row r="138" spans="2:6" x14ac:dyDescent="0.3">
      <c r="B138">
        <v>5.0999999999999996</v>
      </c>
      <c r="C138">
        <v>21.9</v>
      </c>
      <c r="D138">
        <v>13.7</v>
      </c>
      <c r="E138">
        <v>76</v>
      </c>
      <c r="F138">
        <v>5.9</v>
      </c>
    </row>
    <row r="139" spans="2:6" x14ac:dyDescent="0.3">
      <c r="B139">
        <v>7.7</v>
      </c>
      <c r="C139">
        <v>20.2</v>
      </c>
      <c r="D139">
        <v>13.5</v>
      </c>
      <c r="E139">
        <v>82.4</v>
      </c>
      <c r="F139">
        <v>2.9</v>
      </c>
    </row>
    <row r="140" spans="2:6" x14ac:dyDescent="0.3">
      <c r="B140">
        <v>5.0999999999999996</v>
      </c>
      <c r="C140">
        <v>23.2</v>
      </c>
      <c r="D140">
        <v>13.5</v>
      </c>
      <c r="E140">
        <v>71.3</v>
      </c>
      <c r="F140">
        <v>0</v>
      </c>
    </row>
    <row r="141" spans="2:6" x14ac:dyDescent="0.3">
      <c r="B141">
        <v>3.4</v>
      </c>
      <c r="C141">
        <v>22.9</v>
      </c>
      <c r="D141">
        <v>13.2</v>
      </c>
      <c r="E141">
        <v>76.2</v>
      </c>
      <c r="F141">
        <v>0</v>
      </c>
    </row>
    <row r="142" spans="2:6" x14ac:dyDescent="0.3">
      <c r="B142">
        <v>7.3</v>
      </c>
      <c r="C142">
        <v>21.6</v>
      </c>
      <c r="D142">
        <v>14.7</v>
      </c>
      <c r="E142">
        <v>76.3</v>
      </c>
      <c r="F142">
        <v>0</v>
      </c>
    </row>
    <row r="143" spans="2:6" x14ac:dyDescent="0.3">
      <c r="B143">
        <v>4.4000000000000004</v>
      </c>
      <c r="C143">
        <v>19</v>
      </c>
      <c r="D143">
        <v>11.6</v>
      </c>
      <c r="E143">
        <v>68.5</v>
      </c>
      <c r="F143">
        <v>0.2</v>
      </c>
    </row>
    <row r="144" spans="2:6" x14ac:dyDescent="0.3">
      <c r="B144">
        <v>3.5</v>
      </c>
      <c r="C144">
        <v>16.600000000000001</v>
      </c>
      <c r="D144">
        <v>10.4</v>
      </c>
      <c r="E144">
        <v>72.8</v>
      </c>
      <c r="F144">
        <v>0</v>
      </c>
    </row>
    <row r="145" spans="2:6" x14ac:dyDescent="0.3">
      <c r="B145">
        <v>4.3</v>
      </c>
      <c r="C145">
        <v>15.6</v>
      </c>
      <c r="D145">
        <v>9.4</v>
      </c>
      <c r="E145">
        <v>78.7</v>
      </c>
      <c r="F145">
        <v>0</v>
      </c>
    </row>
    <row r="146" spans="2:6" x14ac:dyDescent="0.3">
      <c r="B146">
        <v>6.6</v>
      </c>
      <c r="C146">
        <v>21.8</v>
      </c>
      <c r="D146">
        <v>12.9</v>
      </c>
      <c r="E146">
        <v>70.599999999999994</v>
      </c>
      <c r="F146">
        <v>1.9</v>
      </c>
    </row>
    <row r="147" spans="2:6" x14ac:dyDescent="0.3">
      <c r="B147">
        <v>7.8</v>
      </c>
      <c r="C147">
        <v>20.2</v>
      </c>
      <c r="D147">
        <v>13.1</v>
      </c>
      <c r="E147">
        <v>81.400000000000006</v>
      </c>
      <c r="F147">
        <v>0.2</v>
      </c>
    </row>
    <row r="148" spans="2:6" x14ac:dyDescent="0.3">
      <c r="B148">
        <v>8</v>
      </c>
      <c r="C148">
        <v>25.7</v>
      </c>
      <c r="D148">
        <v>17</v>
      </c>
      <c r="E148">
        <v>62.5</v>
      </c>
      <c r="F148">
        <v>0</v>
      </c>
    </row>
    <row r="149" spans="2:6" x14ac:dyDescent="0.3">
      <c r="B149">
        <v>11.9</v>
      </c>
      <c r="C149">
        <v>29.7</v>
      </c>
      <c r="D149">
        <v>19.2</v>
      </c>
      <c r="E149">
        <v>62.6</v>
      </c>
      <c r="F149">
        <v>0</v>
      </c>
    </row>
    <row r="150" spans="2:6" x14ac:dyDescent="0.3">
      <c r="B150">
        <v>5.9</v>
      </c>
      <c r="C150">
        <v>20.6</v>
      </c>
      <c r="D150">
        <v>12.3</v>
      </c>
      <c r="E150">
        <v>66.3</v>
      </c>
      <c r="F150">
        <v>0.3</v>
      </c>
    </row>
    <row r="151" spans="2:6" x14ac:dyDescent="0.3">
      <c r="B151">
        <v>3.9</v>
      </c>
      <c r="C151">
        <v>22.8</v>
      </c>
      <c r="D151">
        <v>12.3</v>
      </c>
      <c r="E151">
        <v>58.6</v>
      </c>
      <c r="F151">
        <v>0.1</v>
      </c>
    </row>
    <row r="152" spans="2:6" x14ac:dyDescent="0.3">
      <c r="B152">
        <v>2.4</v>
      </c>
      <c r="C152">
        <v>16.8</v>
      </c>
      <c r="D152">
        <v>9.8000000000000007</v>
      </c>
      <c r="E152">
        <v>56.4</v>
      </c>
      <c r="F152">
        <v>0</v>
      </c>
    </row>
    <row r="153" spans="2:6" x14ac:dyDescent="0.3">
      <c r="B153">
        <v>5.8</v>
      </c>
      <c r="C153">
        <v>13.3</v>
      </c>
      <c r="D153">
        <v>9.1</v>
      </c>
      <c r="E153">
        <v>73.7</v>
      </c>
      <c r="F153">
        <v>8.9</v>
      </c>
    </row>
    <row r="154" spans="2:6" x14ac:dyDescent="0.3">
      <c r="B154">
        <v>1.7</v>
      </c>
      <c r="C154">
        <v>12</v>
      </c>
      <c r="D154">
        <v>6.2</v>
      </c>
      <c r="E154">
        <v>74.2</v>
      </c>
      <c r="F154">
        <v>2.7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Dossou-Yovo</dc:creator>
  <cp:lastModifiedBy>Wilfried Dossou-Yovo</cp:lastModifiedBy>
  <dcterms:created xsi:type="dcterms:W3CDTF">2025-09-17T21:27:24Z</dcterms:created>
  <dcterms:modified xsi:type="dcterms:W3CDTF">2026-02-03T19:23:08Z</dcterms:modified>
</cp:coreProperties>
</file>