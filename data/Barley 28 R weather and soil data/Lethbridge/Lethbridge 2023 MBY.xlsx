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mylakeland-my.sharepoint.com/personal/wilfried_dossouyovo_lakelandcollege_ca/Documents/1. Main folder/2. Research/2. Bawinder/28RBarley/data/Barley 28 R weather and soil data/Lethbridge/"/>
    </mc:Choice>
  </mc:AlternateContent>
  <xr:revisionPtr revIDLastSave="26" documentId="8_{A29B008A-765A-4163-862D-18F10E2CF887}" xr6:coauthVersionLast="47" xr6:coauthVersionMax="47" xr10:uidLastSave="{06C70C5F-15D0-41BB-BDFC-A2402BAD7A77}"/>
  <bookViews>
    <workbookView xWindow="57480" yWindow="-120" windowWidth="29040" windowHeight="15720" tabRatio="500" firstSheet="2" activeTab="8" xr2:uid="{00000000-000D-0000-FFFF-FFFF00000000}"/>
  </bookViews>
  <sheets>
    <sheet name="Treatments" sheetId="2" r:id="rId1"/>
    <sheet name="BBCH staging guide" sheetId="6" r:id="rId2"/>
    <sheet name="2023 Plot Map" sheetId="7" r:id="rId3"/>
    <sheet name="heights" sheetId="8" r:id="rId4"/>
    <sheet name="Field notes" sheetId="4" r:id="rId5"/>
    <sheet name="irrigation_final" sheetId="12" r:id="rId6"/>
    <sheet name="Irrigation" sheetId="10" r:id="rId7"/>
    <sheet name="weather_final" sheetId="11" r:id="rId8"/>
    <sheet name="Weather" sheetId="9" r:id="rId9"/>
    <sheet name="Data " sheetId="3" r:id="rId10"/>
  </sheets>
  <definedNames>
    <definedName name="_56F9DC9755BA473782653E2940F9FormId">"rHLN-qzIXEGR-1B6_GMi6DwMMc5m7T5JodM_wC6T-EVUOThVSDhRNkdGQ1RFR0JXNkRHNEJVRE5GTCQlQCN0PWcu"</definedName>
    <definedName name="_56F9DC9755BA473782653E2940F9ResponseSheet">"Form1"</definedName>
    <definedName name="_56F9DC9755BA473782653E2940F9SourceDocId">"{c843bbe7-e49a-4742-af63-57568da20baa}"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L13" i="3" l="1"/>
  <c r="BM12" i="3"/>
  <c r="I10" i="10"/>
  <c r="L2" i="3" l="1"/>
  <c r="L112" i="3"/>
  <c r="AP112" i="3"/>
  <c r="AP111" i="3"/>
  <c r="AP110" i="3"/>
  <c r="AP109" i="3"/>
  <c r="AP108" i="3"/>
  <c r="AP107" i="3"/>
  <c r="AP106" i="3"/>
  <c r="AP105" i="3"/>
  <c r="AP104" i="3"/>
  <c r="AP103" i="3"/>
  <c r="AP102" i="3"/>
  <c r="AP101" i="3"/>
  <c r="AP100" i="3"/>
  <c r="AP99" i="3"/>
  <c r="AP98" i="3"/>
  <c r="AP97" i="3"/>
  <c r="AP96" i="3"/>
  <c r="AP95" i="3"/>
  <c r="AP94" i="3"/>
  <c r="AP93" i="3"/>
  <c r="AP92" i="3"/>
  <c r="AP91" i="3"/>
  <c r="AP90" i="3"/>
  <c r="AP89" i="3"/>
  <c r="AP88" i="3"/>
  <c r="AP87" i="3"/>
  <c r="AP86" i="3"/>
  <c r="AP85" i="3"/>
  <c r="AP84" i="3"/>
  <c r="AP83" i="3"/>
  <c r="AP82" i="3"/>
  <c r="AP81" i="3"/>
  <c r="AP80" i="3"/>
  <c r="AP79" i="3"/>
  <c r="AP78" i="3"/>
  <c r="AP77" i="3"/>
  <c r="AP76" i="3"/>
  <c r="AP75" i="3"/>
  <c r="AP74" i="3"/>
  <c r="AP73" i="3"/>
  <c r="AP72" i="3"/>
  <c r="AP71" i="3"/>
  <c r="AP70" i="3"/>
  <c r="AP69" i="3"/>
  <c r="AP68" i="3"/>
  <c r="AP67" i="3"/>
  <c r="AP66" i="3"/>
  <c r="AP65" i="3"/>
  <c r="AP64" i="3"/>
  <c r="AP63" i="3"/>
  <c r="AP62" i="3"/>
  <c r="AP61" i="3"/>
  <c r="AP60" i="3"/>
  <c r="AP59" i="3"/>
  <c r="AP58" i="3"/>
  <c r="AP57" i="3"/>
  <c r="AP56" i="3"/>
  <c r="AP55" i="3"/>
  <c r="AP54" i="3"/>
  <c r="AP53" i="3"/>
  <c r="AP52" i="3"/>
  <c r="AP51" i="3"/>
  <c r="AP50" i="3"/>
  <c r="AP49" i="3"/>
  <c r="AP48" i="3"/>
  <c r="AP47" i="3"/>
  <c r="AP46" i="3"/>
  <c r="AP45" i="3"/>
  <c r="AP44" i="3"/>
  <c r="AP43" i="3"/>
  <c r="AP42" i="3"/>
  <c r="AP41" i="3"/>
  <c r="AP40" i="3"/>
  <c r="AP39" i="3"/>
  <c r="AP38" i="3"/>
  <c r="AP37" i="3"/>
  <c r="AP36" i="3"/>
  <c r="AP35" i="3"/>
  <c r="AP34" i="3"/>
  <c r="AP33" i="3"/>
  <c r="AP32" i="3"/>
  <c r="AP31" i="3"/>
  <c r="AP30" i="3"/>
  <c r="AP29" i="3"/>
  <c r="AP28" i="3"/>
  <c r="AP27" i="3"/>
  <c r="AP26" i="3"/>
  <c r="AP25" i="3"/>
  <c r="AP24" i="3"/>
  <c r="AP23" i="3"/>
  <c r="AP22" i="3"/>
  <c r="AP21" i="3"/>
  <c r="AP20" i="3"/>
  <c r="AP19" i="3"/>
  <c r="AP18" i="3"/>
  <c r="AP17" i="3"/>
  <c r="AP16" i="3"/>
  <c r="AP15" i="3"/>
  <c r="AP14" i="3"/>
  <c r="AP13" i="3"/>
  <c r="AP12" i="3"/>
  <c r="AP11" i="3"/>
  <c r="AP10" i="3"/>
  <c r="AP9" i="3"/>
  <c r="AP8" i="3"/>
  <c r="AP7" i="3"/>
  <c r="AP6" i="3"/>
  <c r="AP5" i="3"/>
  <c r="AV5" i="3"/>
  <c r="BP2" i="3"/>
  <c r="BK101" i="3"/>
  <c r="BK103" i="3"/>
  <c r="BL103" i="3" s="1"/>
  <c r="BM103" i="3" s="1"/>
  <c r="BN103" i="3" s="1"/>
  <c r="BK104" i="3"/>
  <c r="BL104" i="3" s="1"/>
  <c r="BM104" i="3" s="1"/>
  <c r="BN104" i="3" s="1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87" i="3"/>
  <c r="Q88" i="3"/>
  <c r="Q89" i="3"/>
  <c r="Q90" i="3"/>
  <c r="Q91" i="3"/>
  <c r="Q92" i="3"/>
  <c r="Q93" i="3"/>
  <c r="Q94" i="3"/>
  <c r="Q95" i="3"/>
  <c r="Q96" i="3"/>
  <c r="Q97" i="3"/>
  <c r="Q98" i="3"/>
  <c r="Q99" i="3"/>
  <c r="Q100" i="3"/>
  <c r="Q101" i="3"/>
  <c r="Q102" i="3"/>
  <c r="Q103" i="3"/>
  <c r="Q104" i="3"/>
  <c r="Q105" i="3"/>
  <c r="Q106" i="3"/>
  <c r="Q107" i="3"/>
  <c r="Q108" i="3"/>
  <c r="Q109" i="3"/>
  <c r="Q110" i="3"/>
  <c r="Q111" i="3"/>
  <c r="Q112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V38" i="3"/>
  <c r="V39" i="3"/>
  <c r="V40" i="3"/>
  <c r="V41" i="3"/>
  <c r="V42" i="3"/>
  <c r="V43" i="3"/>
  <c r="V44" i="3"/>
  <c r="V45" i="3"/>
  <c r="V46" i="3"/>
  <c r="V47" i="3"/>
  <c r="V48" i="3"/>
  <c r="V49" i="3"/>
  <c r="V50" i="3"/>
  <c r="V51" i="3"/>
  <c r="V52" i="3"/>
  <c r="V53" i="3"/>
  <c r="V54" i="3"/>
  <c r="V55" i="3"/>
  <c r="V56" i="3"/>
  <c r="V57" i="3"/>
  <c r="V58" i="3"/>
  <c r="V59" i="3"/>
  <c r="V60" i="3"/>
  <c r="V61" i="3"/>
  <c r="V62" i="3"/>
  <c r="V63" i="3"/>
  <c r="V64" i="3"/>
  <c r="V65" i="3"/>
  <c r="V66" i="3"/>
  <c r="V67" i="3"/>
  <c r="V68" i="3"/>
  <c r="V69" i="3"/>
  <c r="V70" i="3"/>
  <c r="V71" i="3"/>
  <c r="V72" i="3"/>
  <c r="V73" i="3"/>
  <c r="V74" i="3"/>
  <c r="V75" i="3"/>
  <c r="V76" i="3"/>
  <c r="V77" i="3"/>
  <c r="V78" i="3"/>
  <c r="V79" i="3"/>
  <c r="V80" i="3"/>
  <c r="V81" i="3"/>
  <c r="V82" i="3"/>
  <c r="V83" i="3"/>
  <c r="V84" i="3"/>
  <c r="V85" i="3"/>
  <c r="V86" i="3"/>
  <c r="V87" i="3"/>
  <c r="V88" i="3"/>
  <c r="V89" i="3"/>
  <c r="V90" i="3"/>
  <c r="V91" i="3"/>
  <c r="V92" i="3"/>
  <c r="V93" i="3"/>
  <c r="V94" i="3"/>
  <c r="V95" i="3"/>
  <c r="V96" i="3"/>
  <c r="V97" i="3"/>
  <c r="V98" i="3"/>
  <c r="V99" i="3"/>
  <c r="V100" i="3"/>
  <c r="V101" i="3"/>
  <c r="V102" i="3"/>
  <c r="V103" i="3"/>
  <c r="V104" i="3"/>
  <c r="V105" i="3"/>
  <c r="V106" i="3"/>
  <c r="V107" i="3"/>
  <c r="V108" i="3"/>
  <c r="V109" i="3"/>
  <c r="V110" i="3"/>
  <c r="V111" i="3"/>
  <c r="V112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32" i="3"/>
  <c r="AA33" i="3"/>
  <c r="AA34" i="3"/>
  <c r="AA35" i="3"/>
  <c r="AA36" i="3"/>
  <c r="AA37" i="3"/>
  <c r="AA38" i="3"/>
  <c r="AA39" i="3"/>
  <c r="AA40" i="3"/>
  <c r="AA41" i="3"/>
  <c r="AA42" i="3"/>
  <c r="AA43" i="3"/>
  <c r="AA44" i="3"/>
  <c r="AA45" i="3"/>
  <c r="AA46" i="3"/>
  <c r="AA47" i="3"/>
  <c r="AA48" i="3"/>
  <c r="AA49" i="3"/>
  <c r="AA50" i="3"/>
  <c r="AA51" i="3"/>
  <c r="AA52" i="3"/>
  <c r="AA53" i="3"/>
  <c r="AA54" i="3"/>
  <c r="AA55" i="3"/>
  <c r="AA56" i="3"/>
  <c r="AA57" i="3"/>
  <c r="AA58" i="3"/>
  <c r="AA59" i="3"/>
  <c r="AA60" i="3"/>
  <c r="AA61" i="3"/>
  <c r="AA62" i="3"/>
  <c r="AA63" i="3"/>
  <c r="AA64" i="3"/>
  <c r="AA65" i="3"/>
  <c r="AA66" i="3"/>
  <c r="AA67" i="3"/>
  <c r="AA68" i="3"/>
  <c r="AA69" i="3"/>
  <c r="AA70" i="3"/>
  <c r="AA71" i="3"/>
  <c r="AA72" i="3"/>
  <c r="AA73" i="3"/>
  <c r="AA74" i="3"/>
  <c r="AA75" i="3"/>
  <c r="AA76" i="3"/>
  <c r="AA77" i="3"/>
  <c r="AA78" i="3"/>
  <c r="AA79" i="3"/>
  <c r="AA80" i="3"/>
  <c r="AA81" i="3"/>
  <c r="AA82" i="3"/>
  <c r="AA83" i="3"/>
  <c r="AA84" i="3"/>
  <c r="AA85" i="3"/>
  <c r="AA86" i="3"/>
  <c r="AA87" i="3"/>
  <c r="AA88" i="3"/>
  <c r="AA89" i="3"/>
  <c r="AA90" i="3"/>
  <c r="AA91" i="3"/>
  <c r="AA92" i="3"/>
  <c r="AA93" i="3"/>
  <c r="AA94" i="3"/>
  <c r="AA95" i="3"/>
  <c r="AA96" i="3"/>
  <c r="AA97" i="3"/>
  <c r="AA98" i="3"/>
  <c r="AA99" i="3"/>
  <c r="AA100" i="3"/>
  <c r="AA101" i="3"/>
  <c r="AA102" i="3"/>
  <c r="AA103" i="3"/>
  <c r="AA104" i="3"/>
  <c r="AA105" i="3"/>
  <c r="AA106" i="3"/>
  <c r="AA107" i="3"/>
  <c r="AA108" i="3"/>
  <c r="AA109" i="3"/>
  <c r="AA110" i="3"/>
  <c r="AA111" i="3"/>
  <c r="AA112" i="3"/>
  <c r="AF6" i="3"/>
  <c r="AF7" i="3"/>
  <c r="AF8" i="3"/>
  <c r="AF9" i="3"/>
  <c r="AF10" i="3"/>
  <c r="AF11" i="3"/>
  <c r="AF12" i="3"/>
  <c r="AF13" i="3"/>
  <c r="AF14" i="3"/>
  <c r="AF15" i="3"/>
  <c r="AF16" i="3"/>
  <c r="AF17" i="3"/>
  <c r="AF18" i="3"/>
  <c r="AF19" i="3"/>
  <c r="AF20" i="3"/>
  <c r="AF21" i="3"/>
  <c r="AF22" i="3"/>
  <c r="AF23" i="3"/>
  <c r="AF24" i="3"/>
  <c r="AF25" i="3"/>
  <c r="AF26" i="3"/>
  <c r="AF27" i="3"/>
  <c r="AF28" i="3"/>
  <c r="AF29" i="3"/>
  <c r="AF30" i="3"/>
  <c r="AF31" i="3"/>
  <c r="AF32" i="3"/>
  <c r="AF33" i="3"/>
  <c r="AF34" i="3"/>
  <c r="AF35" i="3"/>
  <c r="AF36" i="3"/>
  <c r="AF37" i="3"/>
  <c r="AF38" i="3"/>
  <c r="AF39" i="3"/>
  <c r="AF40" i="3"/>
  <c r="AF41" i="3"/>
  <c r="AF42" i="3"/>
  <c r="AF43" i="3"/>
  <c r="AF44" i="3"/>
  <c r="AF45" i="3"/>
  <c r="AF46" i="3"/>
  <c r="AF47" i="3"/>
  <c r="AF48" i="3"/>
  <c r="AF49" i="3"/>
  <c r="AF50" i="3"/>
  <c r="AF51" i="3"/>
  <c r="AF52" i="3"/>
  <c r="AF53" i="3"/>
  <c r="AF54" i="3"/>
  <c r="AF55" i="3"/>
  <c r="AF56" i="3"/>
  <c r="AF57" i="3"/>
  <c r="AF58" i="3"/>
  <c r="AF59" i="3"/>
  <c r="AF60" i="3"/>
  <c r="AF61" i="3"/>
  <c r="AF62" i="3"/>
  <c r="AF63" i="3"/>
  <c r="AF64" i="3"/>
  <c r="AF65" i="3"/>
  <c r="AF66" i="3"/>
  <c r="AF67" i="3"/>
  <c r="AF68" i="3"/>
  <c r="AF69" i="3"/>
  <c r="AF70" i="3"/>
  <c r="AF71" i="3"/>
  <c r="AF72" i="3"/>
  <c r="AF73" i="3"/>
  <c r="AF74" i="3"/>
  <c r="AF75" i="3"/>
  <c r="AF76" i="3"/>
  <c r="AF77" i="3"/>
  <c r="AF78" i="3"/>
  <c r="AF79" i="3"/>
  <c r="AF80" i="3"/>
  <c r="AF81" i="3"/>
  <c r="AF82" i="3"/>
  <c r="AF83" i="3"/>
  <c r="AF84" i="3"/>
  <c r="AF85" i="3"/>
  <c r="AF86" i="3"/>
  <c r="AF87" i="3"/>
  <c r="AF88" i="3"/>
  <c r="AF89" i="3"/>
  <c r="AF90" i="3"/>
  <c r="AF91" i="3"/>
  <c r="AF92" i="3"/>
  <c r="AF93" i="3"/>
  <c r="AF94" i="3"/>
  <c r="AF95" i="3"/>
  <c r="AF96" i="3"/>
  <c r="AF97" i="3"/>
  <c r="AF98" i="3"/>
  <c r="AF99" i="3"/>
  <c r="AF100" i="3"/>
  <c r="AF101" i="3"/>
  <c r="AF102" i="3"/>
  <c r="AF103" i="3"/>
  <c r="AF104" i="3"/>
  <c r="AF105" i="3"/>
  <c r="AF106" i="3"/>
  <c r="AF107" i="3"/>
  <c r="AF108" i="3"/>
  <c r="AF109" i="3"/>
  <c r="AF110" i="3"/>
  <c r="AF111" i="3"/>
  <c r="AF112" i="3"/>
  <c r="AK6" i="3"/>
  <c r="AK7" i="3"/>
  <c r="AK8" i="3"/>
  <c r="AK9" i="3"/>
  <c r="AK10" i="3"/>
  <c r="AK11" i="3"/>
  <c r="AK12" i="3"/>
  <c r="AK13" i="3"/>
  <c r="AK14" i="3"/>
  <c r="AK15" i="3"/>
  <c r="AK16" i="3"/>
  <c r="AK17" i="3"/>
  <c r="AK18" i="3"/>
  <c r="AK19" i="3"/>
  <c r="AK20" i="3"/>
  <c r="AK21" i="3"/>
  <c r="AK22" i="3"/>
  <c r="AK23" i="3"/>
  <c r="AK24" i="3"/>
  <c r="AK25" i="3"/>
  <c r="AK26" i="3"/>
  <c r="AK27" i="3"/>
  <c r="AK28" i="3"/>
  <c r="AK29" i="3"/>
  <c r="AK30" i="3"/>
  <c r="AK31" i="3"/>
  <c r="AK32" i="3"/>
  <c r="AK33" i="3"/>
  <c r="AK34" i="3"/>
  <c r="AK35" i="3"/>
  <c r="AK36" i="3"/>
  <c r="AK37" i="3"/>
  <c r="AK38" i="3"/>
  <c r="AK39" i="3"/>
  <c r="AK40" i="3"/>
  <c r="AK41" i="3"/>
  <c r="AK42" i="3"/>
  <c r="AK43" i="3"/>
  <c r="AK44" i="3"/>
  <c r="AK45" i="3"/>
  <c r="AK46" i="3"/>
  <c r="AK47" i="3"/>
  <c r="AK48" i="3"/>
  <c r="AK49" i="3"/>
  <c r="AK50" i="3"/>
  <c r="AK51" i="3"/>
  <c r="AK52" i="3"/>
  <c r="AK53" i="3"/>
  <c r="AK54" i="3"/>
  <c r="AK55" i="3"/>
  <c r="AK56" i="3"/>
  <c r="AK57" i="3"/>
  <c r="AK58" i="3"/>
  <c r="AK59" i="3"/>
  <c r="AK60" i="3"/>
  <c r="AK61" i="3"/>
  <c r="AK62" i="3"/>
  <c r="AK63" i="3"/>
  <c r="AK64" i="3"/>
  <c r="AK65" i="3"/>
  <c r="AK66" i="3"/>
  <c r="AK67" i="3"/>
  <c r="AK68" i="3"/>
  <c r="AK69" i="3"/>
  <c r="AK70" i="3"/>
  <c r="AK71" i="3"/>
  <c r="AK72" i="3"/>
  <c r="AK73" i="3"/>
  <c r="AK74" i="3"/>
  <c r="AK75" i="3"/>
  <c r="AK76" i="3"/>
  <c r="AK77" i="3"/>
  <c r="AK78" i="3"/>
  <c r="AK79" i="3"/>
  <c r="AK80" i="3"/>
  <c r="AK81" i="3"/>
  <c r="AK82" i="3"/>
  <c r="AK83" i="3"/>
  <c r="AK84" i="3"/>
  <c r="AK85" i="3"/>
  <c r="AK86" i="3"/>
  <c r="AK87" i="3"/>
  <c r="AK88" i="3"/>
  <c r="AK89" i="3"/>
  <c r="AK90" i="3"/>
  <c r="AK91" i="3"/>
  <c r="AK92" i="3"/>
  <c r="AK93" i="3"/>
  <c r="AK94" i="3"/>
  <c r="AK95" i="3"/>
  <c r="AK96" i="3"/>
  <c r="AK97" i="3"/>
  <c r="AK98" i="3"/>
  <c r="AK99" i="3"/>
  <c r="AK100" i="3"/>
  <c r="AK101" i="3"/>
  <c r="AK102" i="3"/>
  <c r="AK103" i="3"/>
  <c r="AK104" i="3"/>
  <c r="AK105" i="3"/>
  <c r="AK106" i="3"/>
  <c r="AK107" i="3"/>
  <c r="AK108" i="3"/>
  <c r="AK109" i="3"/>
  <c r="AK110" i="3"/>
  <c r="AK111" i="3"/>
  <c r="AK112" i="3"/>
  <c r="AV6" i="3"/>
  <c r="AV7" i="3"/>
  <c r="AV8" i="3"/>
  <c r="AV9" i="3"/>
  <c r="AV10" i="3"/>
  <c r="AV11" i="3"/>
  <c r="AV12" i="3"/>
  <c r="AV13" i="3"/>
  <c r="AV14" i="3"/>
  <c r="AV15" i="3"/>
  <c r="AV16" i="3"/>
  <c r="AV17" i="3"/>
  <c r="AV18" i="3"/>
  <c r="AV19" i="3"/>
  <c r="AV20" i="3"/>
  <c r="AV21" i="3"/>
  <c r="AV22" i="3"/>
  <c r="AV23" i="3"/>
  <c r="AV24" i="3"/>
  <c r="AV25" i="3"/>
  <c r="AV26" i="3"/>
  <c r="AV27" i="3"/>
  <c r="AV28" i="3"/>
  <c r="AV29" i="3"/>
  <c r="AV30" i="3"/>
  <c r="AV31" i="3"/>
  <c r="AV32" i="3"/>
  <c r="AV33" i="3"/>
  <c r="AV34" i="3"/>
  <c r="AV35" i="3"/>
  <c r="AV36" i="3"/>
  <c r="AV37" i="3"/>
  <c r="AV38" i="3"/>
  <c r="AV39" i="3"/>
  <c r="AV40" i="3"/>
  <c r="AV41" i="3"/>
  <c r="AV42" i="3"/>
  <c r="AV43" i="3"/>
  <c r="AV44" i="3"/>
  <c r="AV45" i="3"/>
  <c r="AV46" i="3"/>
  <c r="AV47" i="3"/>
  <c r="AV48" i="3"/>
  <c r="AV49" i="3"/>
  <c r="AV50" i="3"/>
  <c r="AV51" i="3"/>
  <c r="AV52" i="3"/>
  <c r="AV53" i="3"/>
  <c r="AV54" i="3"/>
  <c r="AV55" i="3"/>
  <c r="AV56" i="3"/>
  <c r="AV57" i="3"/>
  <c r="AV58" i="3"/>
  <c r="AV59" i="3"/>
  <c r="AV60" i="3"/>
  <c r="AV61" i="3"/>
  <c r="AV62" i="3"/>
  <c r="AV63" i="3"/>
  <c r="AV64" i="3"/>
  <c r="AV65" i="3"/>
  <c r="AV66" i="3"/>
  <c r="AV67" i="3"/>
  <c r="AV68" i="3"/>
  <c r="AV69" i="3"/>
  <c r="AV70" i="3"/>
  <c r="AV71" i="3"/>
  <c r="AV72" i="3"/>
  <c r="AV73" i="3"/>
  <c r="AV74" i="3"/>
  <c r="AV75" i="3"/>
  <c r="AV76" i="3"/>
  <c r="AV77" i="3"/>
  <c r="AV78" i="3"/>
  <c r="AV79" i="3"/>
  <c r="AV80" i="3"/>
  <c r="AV81" i="3"/>
  <c r="AV82" i="3"/>
  <c r="AV83" i="3"/>
  <c r="AV84" i="3"/>
  <c r="AV85" i="3"/>
  <c r="AV86" i="3"/>
  <c r="AV87" i="3"/>
  <c r="AV88" i="3"/>
  <c r="AV89" i="3"/>
  <c r="AV90" i="3"/>
  <c r="AV91" i="3"/>
  <c r="AV92" i="3"/>
  <c r="AV93" i="3"/>
  <c r="AV94" i="3"/>
  <c r="AV95" i="3"/>
  <c r="AV96" i="3"/>
  <c r="AV97" i="3"/>
  <c r="AV98" i="3"/>
  <c r="AV99" i="3"/>
  <c r="AV100" i="3"/>
  <c r="AV101" i="3"/>
  <c r="AV102" i="3"/>
  <c r="AV103" i="3"/>
  <c r="AV104" i="3"/>
  <c r="AV105" i="3"/>
  <c r="AV106" i="3"/>
  <c r="AV107" i="3"/>
  <c r="AV108" i="3"/>
  <c r="AV109" i="3"/>
  <c r="AV110" i="3"/>
  <c r="AV111" i="3"/>
  <c r="AV112" i="3"/>
  <c r="AZ6" i="3"/>
  <c r="AZ7" i="3"/>
  <c r="AZ8" i="3"/>
  <c r="AZ9" i="3"/>
  <c r="AZ10" i="3"/>
  <c r="AZ11" i="3"/>
  <c r="AZ12" i="3"/>
  <c r="AZ13" i="3"/>
  <c r="AZ14" i="3"/>
  <c r="AZ15" i="3"/>
  <c r="AZ16" i="3"/>
  <c r="AZ17" i="3"/>
  <c r="AZ18" i="3"/>
  <c r="AZ19" i="3"/>
  <c r="AZ20" i="3"/>
  <c r="AZ21" i="3"/>
  <c r="AZ22" i="3"/>
  <c r="AZ23" i="3"/>
  <c r="AZ24" i="3"/>
  <c r="AZ25" i="3"/>
  <c r="AZ26" i="3"/>
  <c r="AZ27" i="3"/>
  <c r="AZ28" i="3"/>
  <c r="AZ29" i="3"/>
  <c r="AZ30" i="3"/>
  <c r="AZ31" i="3"/>
  <c r="AZ32" i="3"/>
  <c r="AZ33" i="3"/>
  <c r="AZ34" i="3"/>
  <c r="AZ35" i="3"/>
  <c r="AZ36" i="3"/>
  <c r="AZ37" i="3"/>
  <c r="AZ38" i="3"/>
  <c r="AZ39" i="3"/>
  <c r="AZ40" i="3"/>
  <c r="AZ41" i="3"/>
  <c r="AZ42" i="3"/>
  <c r="AZ43" i="3"/>
  <c r="AZ44" i="3"/>
  <c r="AZ45" i="3"/>
  <c r="AZ46" i="3"/>
  <c r="AZ47" i="3"/>
  <c r="AZ48" i="3"/>
  <c r="AZ49" i="3"/>
  <c r="AZ50" i="3"/>
  <c r="AZ51" i="3"/>
  <c r="AZ52" i="3"/>
  <c r="AZ53" i="3"/>
  <c r="AZ54" i="3"/>
  <c r="AZ55" i="3"/>
  <c r="AZ56" i="3"/>
  <c r="AZ57" i="3"/>
  <c r="AZ58" i="3"/>
  <c r="AZ59" i="3"/>
  <c r="AZ60" i="3"/>
  <c r="AZ61" i="3"/>
  <c r="AZ62" i="3"/>
  <c r="AZ63" i="3"/>
  <c r="AZ64" i="3"/>
  <c r="AZ65" i="3"/>
  <c r="AZ66" i="3"/>
  <c r="AZ67" i="3"/>
  <c r="AZ68" i="3"/>
  <c r="AZ69" i="3"/>
  <c r="AZ70" i="3"/>
  <c r="AZ71" i="3"/>
  <c r="AZ72" i="3"/>
  <c r="AZ73" i="3"/>
  <c r="AZ74" i="3"/>
  <c r="AZ75" i="3"/>
  <c r="AZ76" i="3"/>
  <c r="AZ77" i="3"/>
  <c r="AZ78" i="3"/>
  <c r="AZ79" i="3"/>
  <c r="AZ80" i="3"/>
  <c r="AZ81" i="3"/>
  <c r="AZ82" i="3"/>
  <c r="AZ83" i="3"/>
  <c r="AZ84" i="3"/>
  <c r="AZ85" i="3"/>
  <c r="AZ86" i="3"/>
  <c r="AZ87" i="3"/>
  <c r="AZ88" i="3"/>
  <c r="AZ89" i="3"/>
  <c r="AZ90" i="3"/>
  <c r="AZ91" i="3"/>
  <c r="AZ92" i="3"/>
  <c r="AZ93" i="3"/>
  <c r="AZ94" i="3"/>
  <c r="AZ95" i="3"/>
  <c r="AZ96" i="3"/>
  <c r="AZ97" i="3"/>
  <c r="AZ98" i="3"/>
  <c r="AZ99" i="3"/>
  <c r="AZ100" i="3"/>
  <c r="AZ101" i="3"/>
  <c r="AZ102" i="3"/>
  <c r="AZ103" i="3"/>
  <c r="AZ104" i="3"/>
  <c r="AZ105" i="3"/>
  <c r="AZ106" i="3"/>
  <c r="AZ107" i="3"/>
  <c r="AZ108" i="3"/>
  <c r="AZ109" i="3"/>
  <c r="AZ110" i="3"/>
  <c r="AZ111" i="3"/>
  <c r="AZ112" i="3"/>
  <c r="BD6" i="3"/>
  <c r="BD7" i="3"/>
  <c r="BD8" i="3"/>
  <c r="BD9" i="3"/>
  <c r="BD10" i="3"/>
  <c r="BD11" i="3"/>
  <c r="BD12" i="3"/>
  <c r="BD13" i="3"/>
  <c r="BD14" i="3"/>
  <c r="BD15" i="3"/>
  <c r="BD16" i="3"/>
  <c r="BD17" i="3"/>
  <c r="BD18" i="3"/>
  <c r="BD19" i="3"/>
  <c r="BD20" i="3"/>
  <c r="BD21" i="3"/>
  <c r="BD22" i="3"/>
  <c r="BD23" i="3"/>
  <c r="BD24" i="3"/>
  <c r="BD25" i="3"/>
  <c r="BD26" i="3"/>
  <c r="BD27" i="3"/>
  <c r="BD28" i="3"/>
  <c r="BD29" i="3"/>
  <c r="BD30" i="3"/>
  <c r="BD31" i="3"/>
  <c r="BD32" i="3"/>
  <c r="BD33" i="3"/>
  <c r="BD34" i="3"/>
  <c r="BD35" i="3"/>
  <c r="BD36" i="3"/>
  <c r="BD37" i="3"/>
  <c r="BD38" i="3"/>
  <c r="BD39" i="3"/>
  <c r="BD40" i="3"/>
  <c r="BD41" i="3"/>
  <c r="BD42" i="3"/>
  <c r="BD43" i="3"/>
  <c r="BD44" i="3"/>
  <c r="BD45" i="3"/>
  <c r="BD46" i="3"/>
  <c r="BD47" i="3"/>
  <c r="BD48" i="3"/>
  <c r="BD49" i="3"/>
  <c r="BD50" i="3"/>
  <c r="BD51" i="3"/>
  <c r="BD52" i="3"/>
  <c r="BD53" i="3"/>
  <c r="BD54" i="3"/>
  <c r="BD55" i="3"/>
  <c r="BD56" i="3"/>
  <c r="BD57" i="3"/>
  <c r="BD58" i="3"/>
  <c r="BD59" i="3"/>
  <c r="BD60" i="3"/>
  <c r="BD61" i="3"/>
  <c r="BD62" i="3"/>
  <c r="BD63" i="3"/>
  <c r="BD64" i="3"/>
  <c r="BD65" i="3"/>
  <c r="BD66" i="3"/>
  <c r="BD67" i="3"/>
  <c r="BD68" i="3"/>
  <c r="BD69" i="3"/>
  <c r="BD70" i="3"/>
  <c r="BD71" i="3"/>
  <c r="BD72" i="3"/>
  <c r="BD73" i="3"/>
  <c r="BD74" i="3"/>
  <c r="BD75" i="3"/>
  <c r="BD76" i="3"/>
  <c r="BD77" i="3"/>
  <c r="BD78" i="3"/>
  <c r="BD79" i="3"/>
  <c r="BD80" i="3"/>
  <c r="BD81" i="3"/>
  <c r="BD82" i="3"/>
  <c r="BD83" i="3"/>
  <c r="BD84" i="3"/>
  <c r="BD85" i="3"/>
  <c r="BD86" i="3"/>
  <c r="BD87" i="3"/>
  <c r="BD88" i="3"/>
  <c r="BD89" i="3"/>
  <c r="BD90" i="3"/>
  <c r="BD91" i="3"/>
  <c r="BD92" i="3"/>
  <c r="BD93" i="3"/>
  <c r="BD94" i="3"/>
  <c r="BD95" i="3"/>
  <c r="BD96" i="3"/>
  <c r="BD97" i="3"/>
  <c r="BD98" i="3"/>
  <c r="BD99" i="3"/>
  <c r="BD100" i="3"/>
  <c r="BD101" i="3"/>
  <c r="BD102" i="3"/>
  <c r="BD103" i="3"/>
  <c r="BD104" i="3"/>
  <c r="BD105" i="3"/>
  <c r="BD106" i="3"/>
  <c r="BD107" i="3"/>
  <c r="BD108" i="3"/>
  <c r="BD109" i="3"/>
  <c r="BD110" i="3"/>
  <c r="BD111" i="3"/>
  <c r="BD112" i="3"/>
  <c r="BH6" i="3"/>
  <c r="BH7" i="3"/>
  <c r="BH8" i="3"/>
  <c r="BH9" i="3"/>
  <c r="BH10" i="3"/>
  <c r="BH11" i="3"/>
  <c r="BH12" i="3"/>
  <c r="BH13" i="3"/>
  <c r="BH14" i="3"/>
  <c r="BH15" i="3"/>
  <c r="BH16" i="3"/>
  <c r="BH17" i="3"/>
  <c r="BH18" i="3"/>
  <c r="BH19" i="3"/>
  <c r="BH20" i="3"/>
  <c r="BH21" i="3"/>
  <c r="BH22" i="3"/>
  <c r="BH23" i="3"/>
  <c r="BH24" i="3"/>
  <c r="BH25" i="3"/>
  <c r="BH26" i="3"/>
  <c r="BH27" i="3"/>
  <c r="BH28" i="3"/>
  <c r="BH29" i="3"/>
  <c r="BH30" i="3"/>
  <c r="BH31" i="3"/>
  <c r="BH32" i="3"/>
  <c r="BH33" i="3"/>
  <c r="BH34" i="3"/>
  <c r="BH35" i="3"/>
  <c r="BH36" i="3"/>
  <c r="BH37" i="3"/>
  <c r="BH38" i="3"/>
  <c r="BH39" i="3"/>
  <c r="BH40" i="3"/>
  <c r="BH41" i="3"/>
  <c r="BH42" i="3"/>
  <c r="BH43" i="3"/>
  <c r="BH44" i="3"/>
  <c r="BH45" i="3"/>
  <c r="BH46" i="3"/>
  <c r="BH47" i="3"/>
  <c r="BH48" i="3"/>
  <c r="BH49" i="3"/>
  <c r="BH50" i="3"/>
  <c r="BH51" i="3"/>
  <c r="BH52" i="3"/>
  <c r="BH53" i="3"/>
  <c r="BH54" i="3"/>
  <c r="BH55" i="3"/>
  <c r="BH56" i="3"/>
  <c r="BH57" i="3"/>
  <c r="BH58" i="3"/>
  <c r="BH59" i="3"/>
  <c r="BH60" i="3"/>
  <c r="BH61" i="3"/>
  <c r="BH62" i="3"/>
  <c r="BH63" i="3"/>
  <c r="BH64" i="3"/>
  <c r="BH65" i="3"/>
  <c r="BH66" i="3"/>
  <c r="BH67" i="3"/>
  <c r="BH68" i="3"/>
  <c r="BH69" i="3"/>
  <c r="BH70" i="3"/>
  <c r="BH71" i="3"/>
  <c r="BH72" i="3"/>
  <c r="BH73" i="3"/>
  <c r="BH74" i="3"/>
  <c r="BH75" i="3"/>
  <c r="BH76" i="3"/>
  <c r="BH77" i="3"/>
  <c r="BH78" i="3"/>
  <c r="BH79" i="3"/>
  <c r="BH80" i="3"/>
  <c r="BH81" i="3"/>
  <c r="BH82" i="3"/>
  <c r="BH83" i="3"/>
  <c r="BH84" i="3"/>
  <c r="BH85" i="3"/>
  <c r="BH86" i="3"/>
  <c r="BH87" i="3"/>
  <c r="BH88" i="3"/>
  <c r="BH89" i="3"/>
  <c r="BH90" i="3"/>
  <c r="BH91" i="3"/>
  <c r="BH92" i="3"/>
  <c r="BH93" i="3"/>
  <c r="BH94" i="3"/>
  <c r="BH95" i="3"/>
  <c r="BH96" i="3"/>
  <c r="BH97" i="3"/>
  <c r="BH98" i="3"/>
  <c r="BH99" i="3"/>
  <c r="BH100" i="3"/>
  <c r="BH101" i="3"/>
  <c r="BH102" i="3"/>
  <c r="BH103" i="3"/>
  <c r="BH104" i="3"/>
  <c r="BH105" i="3"/>
  <c r="BH106" i="3"/>
  <c r="BH107" i="3"/>
  <c r="BH108" i="3"/>
  <c r="BH109" i="3"/>
  <c r="BH110" i="3"/>
  <c r="BH111" i="3"/>
  <c r="BH112" i="3"/>
  <c r="BK6" i="3"/>
  <c r="BL6" i="3" s="1"/>
  <c r="BM6" i="3" s="1"/>
  <c r="BN6" i="3" s="1"/>
  <c r="BK7" i="3"/>
  <c r="BL7" i="3"/>
  <c r="BM7" i="3"/>
  <c r="BN7" i="3" s="1"/>
  <c r="BK8" i="3"/>
  <c r="BL8" i="3"/>
  <c r="BM8" i="3"/>
  <c r="BN8" i="3" s="1"/>
  <c r="BK9" i="3"/>
  <c r="BL9" i="3"/>
  <c r="BM9" i="3"/>
  <c r="BN9" i="3" s="1"/>
  <c r="BK10" i="3"/>
  <c r="BL10" i="3"/>
  <c r="BM10" i="3"/>
  <c r="BN10" i="3" s="1"/>
  <c r="BK11" i="3"/>
  <c r="BL11" i="3"/>
  <c r="BM11" i="3"/>
  <c r="BN11" i="3" s="1"/>
  <c r="BK12" i="3"/>
  <c r="BL12" i="3"/>
  <c r="BN12" i="3"/>
  <c r="BK13" i="3"/>
  <c r="BM13" i="3"/>
  <c r="BN13" i="3" s="1"/>
  <c r="BK14" i="3"/>
  <c r="BL14" i="3"/>
  <c r="BM14" i="3"/>
  <c r="BN14" i="3" s="1"/>
  <c r="BK15" i="3"/>
  <c r="BL15" i="3"/>
  <c r="BM15" i="3"/>
  <c r="BN15" i="3" s="1"/>
  <c r="BK16" i="3"/>
  <c r="BL16" i="3"/>
  <c r="BM16" i="3"/>
  <c r="BN16" i="3" s="1"/>
  <c r="BK17" i="3"/>
  <c r="BL17" i="3"/>
  <c r="BM17" i="3"/>
  <c r="BN17" i="3" s="1"/>
  <c r="BK18" i="3"/>
  <c r="BL18" i="3"/>
  <c r="BM18" i="3"/>
  <c r="BN18" i="3" s="1"/>
  <c r="BK19" i="3"/>
  <c r="BL19" i="3"/>
  <c r="BM19" i="3"/>
  <c r="BN19" i="3" s="1"/>
  <c r="BK20" i="3"/>
  <c r="BL20" i="3"/>
  <c r="BM20" i="3"/>
  <c r="BN20" i="3" s="1"/>
  <c r="BK21" i="3"/>
  <c r="BL21" i="3"/>
  <c r="BM21" i="3"/>
  <c r="BN21" i="3" s="1"/>
  <c r="BK22" i="3"/>
  <c r="BL22" i="3"/>
  <c r="BM22" i="3"/>
  <c r="BN22" i="3" s="1"/>
  <c r="BK23" i="3"/>
  <c r="BL23" i="3"/>
  <c r="BM23" i="3"/>
  <c r="BN23" i="3" s="1"/>
  <c r="BK24" i="3"/>
  <c r="BL24" i="3"/>
  <c r="BM24" i="3"/>
  <c r="BN24" i="3" s="1"/>
  <c r="BK25" i="3"/>
  <c r="BL25" i="3"/>
  <c r="BM25" i="3"/>
  <c r="BN25" i="3" s="1"/>
  <c r="BK26" i="3"/>
  <c r="BL26" i="3"/>
  <c r="BM26" i="3"/>
  <c r="BN26" i="3" s="1"/>
  <c r="BK27" i="3"/>
  <c r="BL27" i="3"/>
  <c r="BM27" i="3"/>
  <c r="BN27" i="3"/>
  <c r="BK28" i="3"/>
  <c r="BL28" i="3"/>
  <c r="BM28" i="3"/>
  <c r="BN28" i="3"/>
  <c r="BK29" i="3"/>
  <c r="BL29" i="3"/>
  <c r="BM29" i="3"/>
  <c r="BN29" i="3"/>
  <c r="BK30" i="3"/>
  <c r="BL30" i="3"/>
  <c r="BM30" i="3"/>
  <c r="BN30" i="3"/>
  <c r="BK31" i="3"/>
  <c r="BL31" i="3"/>
  <c r="BM31" i="3"/>
  <c r="BN31" i="3"/>
  <c r="BK32" i="3"/>
  <c r="BL32" i="3" s="1"/>
  <c r="BM32" i="3" s="1"/>
  <c r="BN32" i="3" s="1"/>
  <c r="BK33" i="3"/>
  <c r="BL33" i="3"/>
  <c r="BM33" i="3"/>
  <c r="BN33" i="3" s="1"/>
  <c r="BK34" i="3"/>
  <c r="BL34" i="3" s="1"/>
  <c r="BM34" i="3" s="1"/>
  <c r="BN34" i="3" s="1"/>
  <c r="BK35" i="3"/>
  <c r="BL35" i="3"/>
  <c r="BM35" i="3"/>
  <c r="BN35" i="3"/>
  <c r="BK36" i="3"/>
  <c r="BL36" i="3"/>
  <c r="BM36" i="3"/>
  <c r="BN36" i="3"/>
  <c r="BK37" i="3"/>
  <c r="BL37" i="3"/>
  <c r="BM37" i="3"/>
  <c r="BN37" i="3"/>
  <c r="BK38" i="3"/>
  <c r="BL38" i="3"/>
  <c r="BM38" i="3"/>
  <c r="BN38" i="3"/>
  <c r="BK39" i="3"/>
  <c r="BL39" i="3"/>
  <c r="BM39" i="3"/>
  <c r="BN39" i="3"/>
  <c r="BK40" i="3"/>
  <c r="BL40" i="3"/>
  <c r="BM40" i="3"/>
  <c r="BN40" i="3"/>
  <c r="BK41" i="3"/>
  <c r="BL41" i="3"/>
  <c r="BM41" i="3"/>
  <c r="BN41" i="3"/>
  <c r="BK42" i="3"/>
  <c r="BL42" i="3"/>
  <c r="BM42" i="3"/>
  <c r="BN42" i="3"/>
  <c r="BK43" i="3"/>
  <c r="BL43" i="3"/>
  <c r="BM43" i="3"/>
  <c r="BN43" i="3"/>
  <c r="BK44" i="3"/>
  <c r="BL44" i="3"/>
  <c r="BM44" i="3"/>
  <c r="BN44" i="3"/>
  <c r="BK45" i="3"/>
  <c r="BL45" i="3"/>
  <c r="BM45" i="3"/>
  <c r="BN45" i="3"/>
  <c r="BK46" i="3"/>
  <c r="BL46" i="3"/>
  <c r="BM46" i="3"/>
  <c r="BN46" i="3"/>
  <c r="BK47" i="3"/>
  <c r="BL47" i="3"/>
  <c r="BM47" i="3"/>
  <c r="BN47" i="3"/>
  <c r="BK48" i="3"/>
  <c r="BL48" i="3"/>
  <c r="BM48" i="3"/>
  <c r="BN48" i="3"/>
  <c r="BK49" i="3"/>
  <c r="BL49" i="3"/>
  <c r="BM49" i="3"/>
  <c r="BN49" i="3"/>
  <c r="BK50" i="3"/>
  <c r="BL50" i="3"/>
  <c r="BM50" i="3"/>
  <c r="BN50" i="3"/>
  <c r="BK51" i="3"/>
  <c r="BL51" i="3" s="1"/>
  <c r="BM51" i="3" s="1"/>
  <c r="BN51" i="3" s="1"/>
  <c r="BK52" i="3"/>
  <c r="BL52" i="3"/>
  <c r="BM52" i="3"/>
  <c r="BN52" i="3"/>
  <c r="BK53" i="3"/>
  <c r="BL53" i="3"/>
  <c r="BM53" i="3"/>
  <c r="BN53" i="3"/>
  <c r="BK54" i="3"/>
  <c r="BL54" i="3"/>
  <c r="BM54" i="3"/>
  <c r="BN54" i="3"/>
  <c r="BK55" i="3"/>
  <c r="BL55" i="3"/>
  <c r="BM55" i="3"/>
  <c r="BN55" i="3"/>
  <c r="BK56" i="3"/>
  <c r="BL56" i="3"/>
  <c r="BM56" i="3"/>
  <c r="BN56" i="3"/>
  <c r="BK57" i="3"/>
  <c r="BL57" i="3"/>
  <c r="BM57" i="3"/>
  <c r="BN57" i="3"/>
  <c r="BK58" i="3"/>
  <c r="BL58" i="3"/>
  <c r="BM58" i="3"/>
  <c r="BN58" i="3"/>
  <c r="BK59" i="3"/>
  <c r="BL59" i="3"/>
  <c r="BM59" i="3"/>
  <c r="BN59" i="3"/>
  <c r="BK60" i="3"/>
  <c r="BL60" i="3"/>
  <c r="BM60" i="3"/>
  <c r="BN60" i="3"/>
  <c r="BK61" i="3"/>
  <c r="BL61" i="3"/>
  <c r="BM61" i="3"/>
  <c r="BN61" i="3"/>
  <c r="BK62" i="3"/>
  <c r="BL62" i="3"/>
  <c r="BM62" i="3"/>
  <c r="BN62" i="3"/>
  <c r="BK63" i="3"/>
  <c r="BL63" i="3"/>
  <c r="BM63" i="3"/>
  <c r="BN63" i="3"/>
  <c r="BK64" i="3"/>
  <c r="BL64" i="3"/>
  <c r="BM64" i="3"/>
  <c r="BN64" i="3"/>
  <c r="BK65" i="3"/>
  <c r="BL65" i="3"/>
  <c r="BM65" i="3"/>
  <c r="BN65" i="3"/>
  <c r="BK66" i="3"/>
  <c r="BL66" i="3"/>
  <c r="BM66" i="3"/>
  <c r="BN66" i="3"/>
  <c r="BK67" i="3"/>
  <c r="BL67" i="3"/>
  <c r="BM67" i="3"/>
  <c r="BN67" i="3"/>
  <c r="BK68" i="3"/>
  <c r="BL68" i="3"/>
  <c r="BM68" i="3"/>
  <c r="BN68" i="3"/>
  <c r="BK69" i="3"/>
  <c r="BL69" i="3"/>
  <c r="BM69" i="3"/>
  <c r="BN69" i="3"/>
  <c r="BK70" i="3"/>
  <c r="BL70" i="3"/>
  <c r="BM70" i="3"/>
  <c r="BN70" i="3"/>
  <c r="BK71" i="3"/>
  <c r="BL71" i="3"/>
  <c r="BM71" i="3"/>
  <c r="BN71" i="3"/>
  <c r="BK72" i="3"/>
  <c r="BL72" i="3"/>
  <c r="BM72" i="3"/>
  <c r="BN72" i="3"/>
  <c r="BK73" i="3"/>
  <c r="BL73" i="3"/>
  <c r="BM73" i="3"/>
  <c r="BN73" i="3"/>
  <c r="BK74" i="3"/>
  <c r="BL74" i="3"/>
  <c r="BM74" i="3"/>
  <c r="BN74" i="3"/>
  <c r="BK75" i="3"/>
  <c r="BL75" i="3"/>
  <c r="BM75" i="3"/>
  <c r="BN75" i="3"/>
  <c r="BK76" i="3"/>
  <c r="BL76" i="3"/>
  <c r="BM76" i="3"/>
  <c r="BN76" i="3"/>
  <c r="BK77" i="3"/>
  <c r="BL77" i="3"/>
  <c r="BM77" i="3"/>
  <c r="BN77" i="3"/>
  <c r="BK78" i="3"/>
  <c r="BL78" i="3"/>
  <c r="BM78" i="3"/>
  <c r="BN78" i="3"/>
  <c r="BK79" i="3"/>
  <c r="BL79" i="3"/>
  <c r="BM79" i="3"/>
  <c r="BN79" i="3"/>
  <c r="BK80" i="3"/>
  <c r="BL80" i="3"/>
  <c r="BM80" i="3"/>
  <c r="BN80" i="3"/>
  <c r="BK81" i="3"/>
  <c r="BL81" i="3"/>
  <c r="BM81" i="3"/>
  <c r="BN81" i="3"/>
  <c r="BK82" i="3"/>
  <c r="BL82" i="3"/>
  <c r="BM82" i="3"/>
  <c r="BN82" i="3"/>
  <c r="BK83" i="3"/>
  <c r="BL83" i="3"/>
  <c r="BM83" i="3"/>
  <c r="BN83" i="3"/>
  <c r="BK84" i="3"/>
  <c r="BL84" i="3"/>
  <c r="BM84" i="3"/>
  <c r="BN84" i="3"/>
  <c r="BK85" i="3"/>
  <c r="BL85" i="3"/>
  <c r="BM85" i="3"/>
  <c r="BN85" i="3" s="1"/>
  <c r="BK86" i="3"/>
  <c r="BL86" i="3"/>
  <c r="BM86" i="3"/>
  <c r="BN86" i="3"/>
  <c r="BK87" i="3"/>
  <c r="BL87" i="3"/>
  <c r="BM87" i="3"/>
  <c r="BN87" i="3"/>
  <c r="BK88" i="3"/>
  <c r="BL88" i="3" s="1"/>
  <c r="BM88" i="3" s="1"/>
  <c r="BN88" i="3" s="1"/>
  <c r="BK89" i="3"/>
  <c r="BL89" i="3"/>
  <c r="BM89" i="3"/>
  <c r="BN89" i="3" s="1"/>
  <c r="BK90" i="3"/>
  <c r="BL90" i="3"/>
  <c r="BM90" i="3"/>
  <c r="BN90" i="3" s="1"/>
  <c r="BK91" i="3"/>
  <c r="BL91" i="3"/>
  <c r="BM91" i="3"/>
  <c r="BN91" i="3" s="1"/>
  <c r="BK92" i="3"/>
  <c r="BL92" i="3"/>
  <c r="BM92" i="3"/>
  <c r="BN92" i="3" s="1"/>
  <c r="BK93" i="3"/>
  <c r="BL93" i="3"/>
  <c r="BM93" i="3"/>
  <c r="BN93" i="3" s="1"/>
  <c r="BK94" i="3"/>
  <c r="BL94" i="3"/>
  <c r="BM94" i="3"/>
  <c r="BN94" i="3" s="1"/>
  <c r="BK95" i="3"/>
  <c r="BL95" i="3"/>
  <c r="BM95" i="3"/>
  <c r="BN95" i="3" s="1"/>
  <c r="BK96" i="3"/>
  <c r="BL96" i="3"/>
  <c r="BM96" i="3"/>
  <c r="BN96" i="3" s="1"/>
  <c r="BK97" i="3"/>
  <c r="BL97" i="3"/>
  <c r="BM97" i="3"/>
  <c r="BN97" i="3" s="1"/>
  <c r="BK98" i="3"/>
  <c r="BL98" i="3"/>
  <c r="BM98" i="3"/>
  <c r="BN98" i="3" s="1"/>
  <c r="BK99" i="3"/>
  <c r="BL99" i="3"/>
  <c r="BM99" i="3"/>
  <c r="BN99" i="3" s="1"/>
  <c r="BK100" i="3"/>
  <c r="BL100" i="3"/>
  <c r="BM100" i="3"/>
  <c r="BN100" i="3" s="1"/>
  <c r="BL101" i="3"/>
  <c r="BM101" i="3" s="1"/>
  <c r="BN101" i="3" s="1"/>
  <c r="BK102" i="3"/>
  <c r="BL102" i="3"/>
  <c r="BM102" i="3"/>
  <c r="BN102" i="3" s="1"/>
  <c r="BK105" i="3"/>
  <c r="BL105" i="3"/>
  <c r="BM105" i="3"/>
  <c r="BN105" i="3" s="1"/>
  <c r="BK106" i="3"/>
  <c r="BL106" i="3"/>
  <c r="BM106" i="3"/>
  <c r="BN106" i="3" s="1"/>
  <c r="BK107" i="3"/>
  <c r="BL107" i="3"/>
  <c r="BM107" i="3"/>
  <c r="BN107" i="3" s="1"/>
  <c r="BK108" i="3"/>
  <c r="BL108" i="3"/>
  <c r="BM108" i="3"/>
  <c r="BN108" i="3" s="1"/>
  <c r="BK109" i="3"/>
  <c r="BL109" i="3"/>
  <c r="BM109" i="3"/>
  <c r="BN109" i="3" s="1"/>
  <c r="BK110" i="3"/>
  <c r="BL110" i="3"/>
  <c r="BM110" i="3"/>
  <c r="BN110" i="3" s="1"/>
  <c r="BK111" i="3"/>
  <c r="BL111" i="3"/>
  <c r="BM111" i="3"/>
  <c r="BN111" i="3" s="1"/>
  <c r="BK112" i="3"/>
  <c r="BL112" i="3"/>
  <c r="BM112" i="3"/>
  <c r="BN112" i="3" s="1"/>
  <c r="BP6" i="3"/>
  <c r="BS6" i="3"/>
  <c r="BT6" i="3" s="1"/>
  <c r="BP7" i="3"/>
  <c r="BS7" i="3" s="1"/>
  <c r="BT7" i="3" s="1"/>
  <c r="BP8" i="3"/>
  <c r="BS8" i="3" s="1"/>
  <c r="BT8" i="3" s="1"/>
  <c r="BP9" i="3"/>
  <c r="BS9" i="3" s="1"/>
  <c r="BT9" i="3" s="1"/>
  <c r="BP10" i="3"/>
  <c r="BS10" i="3" s="1"/>
  <c r="BT10" i="3" s="1"/>
  <c r="BP11" i="3"/>
  <c r="BS11" i="3" s="1"/>
  <c r="BT11" i="3" s="1"/>
  <c r="BP12" i="3"/>
  <c r="BS12" i="3"/>
  <c r="BT12" i="3" s="1"/>
  <c r="BP13" i="3"/>
  <c r="BS13" i="3" s="1"/>
  <c r="BT13" i="3" s="1"/>
  <c r="BP14" i="3"/>
  <c r="BS14" i="3" s="1"/>
  <c r="BT14" i="3" s="1"/>
  <c r="BP15" i="3"/>
  <c r="BS15" i="3" s="1"/>
  <c r="BT15" i="3" s="1"/>
  <c r="BP16" i="3"/>
  <c r="BS16" i="3"/>
  <c r="BT16" i="3" s="1"/>
  <c r="BP17" i="3"/>
  <c r="BS17" i="3" s="1"/>
  <c r="BT17" i="3" s="1"/>
  <c r="BP18" i="3"/>
  <c r="BS18" i="3" s="1"/>
  <c r="BT18" i="3" s="1"/>
  <c r="BP19" i="3"/>
  <c r="BS19" i="3" s="1"/>
  <c r="BT19" i="3" s="1"/>
  <c r="BP20" i="3"/>
  <c r="BS20" i="3" s="1"/>
  <c r="BT20" i="3" s="1"/>
  <c r="BP21" i="3"/>
  <c r="BS21" i="3"/>
  <c r="BT21" i="3" s="1"/>
  <c r="BP22" i="3"/>
  <c r="BS22" i="3" s="1"/>
  <c r="BT22" i="3" s="1"/>
  <c r="BP23" i="3"/>
  <c r="BS23" i="3" s="1"/>
  <c r="BT23" i="3" s="1"/>
  <c r="BP24" i="3"/>
  <c r="BS24" i="3" s="1"/>
  <c r="BT24" i="3" s="1"/>
  <c r="BP25" i="3"/>
  <c r="BS25" i="3"/>
  <c r="BT25" i="3"/>
  <c r="BP26" i="3"/>
  <c r="BS26" i="3" s="1"/>
  <c r="BT26" i="3" s="1"/>
  <c r="BP27" i="3"/>
  <c r="BS27" i="3" s="1"/>
  <c r="BT27" i="3" s="1"/>
  <c r="BP28" i="3"/>
  <c r="BS28" i="3"/>
  <c r="BT28" i="3" s="1"/>
  <c r="BP29" i="3"/>
  <c r="BS29" i="3" s="1"/>
  <c r="BT29" i="3" s="1"/>
  <c r="BP30" i="3"/>
  <c r="BS30" i="3" s="1"/>
  <c r="BT30" i="3" s="1"/>
  <c r="BP31" i="3"/>
  <c r="BS31" i="3" s="1"/>
  <c r="BT31" i="3" s="1"/>
  <c r="BP32" i="3"/>
  <c r="BS32" i="3"/>
  <c r="BT32" i="3" s="1"/>
  <c r="BP33" i="3"/>
  <c r="BS33" i="3" s="1"/>
  <c r="BT33" i="3" s="1"/>
  <c r="BP34" i="3"/>
  <c r="BS34" i="3" s="1"/>
  <c r="BT34" i="3" s="1"/>
  <c r="BP35" i="3"/>
  <c r="BS35" i="3" s="1"/>
  <c r="BT35" i="3" s="1"/>
  <c r="BP36" i="3"/>
  <c r="BS36" i="3" s="1"/>
  <c r="BT36" i="3" s="1"/>
  <c r="BP37" i="3"/>
  <c r="BS37" i="3"/>
  <c r="BT37" i="3" s="1"/>
  <c r="BP38" i="3"/>
  <c r="BS38" i="3" s="1"/>
  <c r="BT38" i="3" s="1"/>
  <c r="BP39" i="3"/>
  <c r="BS39" i="3" s="1"/>
  <c r="BT39" i="3" s="1"/>
  <c r="BP40" i="3"/>
  <c r="BS40" i="3" s="1"/>
  <c r="BT40" i="3" s="1"/>
  <c r="BP41" i="3"/>
  <c r="BS41" i="3"/>
  <c r="BT41" i="3" s="1"/>
  <c r="BP42" i="3"/>
  <c r="BS42" i="3" s="1"/>
  <c r="BT42" i="3" s="1"/>
  <c r="BP43" i="3"/>
  <c r="BS43" i="3" s="1"/>
  <c r="BT43" i="3" s="1"/>
  <c r="BP44" i="3"/>
  <c r="BS44" i="3" s="1"/>
  <c r="BT44" i="3" s="1"/>
  <c r="BP45" i="3"/>
  <c r="BS45" i="3" s="1"/>
  <c r="BT45" i="3" s="1"/>
  <c r="BP46" i="3"/>
  <c r="BS46" i="3" s="1"/>
  <c r="BT46" i="3" s="1"/>
  <c r="BP47" i="3"/>
  <c r="BS47" i="3" s="1"/>
  <c r="BT47" i="3" s="1"/>
  <c r="BP48" i="3"/>
  <c r="BS48" i="3" s="1"/>
  <c r="BT48" i="3" s="1"/>
  <c r="BP49" i="3"/>
  <c r="BS49" i="3" s="1"/>
  <c r="BT49" i="3" s="1"/>
  <c r="BP50" i="3"/>
  <c r="BS50" i="3" s="1"/>
  <c r="BT50" i="3" s="1"/>
  <c r="BP51" i="3"/>
  <c r="BS51" i="3" s="1"/>
  <c r="BT51" i="3" s="1"/>
  <c r="BP52" i="3"/>
  <c r="BS52" i="3" s="1"/>
  <c r="BT52" i="3" s="1"/>
  <c r="BP53" i="3"/>
  <c r="BS53" i="3"/>
  <c r="BT53" i="3" s="1"/>
  <c r="BP54" i="3"/>
  <c r="BS54" i="3" s="1"/>
  <c r="BT54" i="3" s="1"/>
  <c r="BP55" i="3"/>
  <c r="BS55" i="3" s="1"/>
  <c r="BT55" i="3" s="1"/>
  <c r="BP56" i="3"/>
  <c r="BS56" i="3" s="1"/>
  <c r="BT56" i="3" s="1"/>
  <c r="BP57" i="3"/>
  <c r="BS57" i="3"/>
  <c r="BT57" i="3" s="1"/>
  <c r="BP58" i="3"/>
  <c r="BS58" i="3" s="1"/>
  <c r="BT58" i="3" s="1"/>
  <c r="BP59" i="3"/>
  <c r="BS59" i="3" s="1"/>
  <c r="BT59" i="3" s="1"/>
  <c r="BP60" i="3"/>
  <c r="BS60" i="3" s="1"/>
  <c r="BT60" i="3" s="1"/>
  <c r="BP61" i="3"/>
  <c r="BS61" i="3" s="1"/>
  <c r="BT61" i="3" s="1"/>
  <c r="BP62" i="3"/>
  <c r="BS62" i="3" s="1"/>
  <c r="BT62" i="3" s="1"/>
  <c r="BP63" i="3"/>
  <c r="BS63" i="3" s="1"/>
  <c r="BT63" i="3" s="1"/>
  <c r="BP64" i="3"/>
  <c r="BS64" i="3" s="1"/>
  <c r="BT64" i="3" s="1"/>
  <c r="BP65" i="3"/>
  <c r="BS65" i="3" s="1"/>
  <c r="BT65" i="3" s="1"/>
  <c r="BP66" i="3"/>
  <c r="BS66" i="3"/>
  <c r="BT66" i="3" s="1"/>
  <c r="BP67" i="3"/>
  <c r="BS67" i="3" s="1"/>
  <c r="BT67" i="3" s="1"/>
  <c r="BP68" i="3"/>
  <c r="BS68" i="3" s="1"/>
  <c r="BT68" i="3" s="1"/>
  <c r="BP69" i="3"/>
  <c r="BS69" i="3" s="1"/>
  <c r="BT69" i="3" s="1"/>
  <c r="BP70" i="3"/>
  <c r="BS70" i="3"/>
  <c r="BT70" i="3" s="1"/>
  <c r="BP71" i="3"/>
  <c r="BS71" i="3" s="1"/>
  <c r="BT71" i="3" s="1"/>
  <c r="BP72" i="3"/>
  <c r="BS72" i="3" s="1"/>
  <c r="BT72" i="3" s="1"/>
  <c r="BP73" i="3"/>
  <c r="BS73" i="3"/>
  <c r="BT73" i="3" s="1"/>
  <c r="BP74" i="3"/>
  <c r="BS74" i="3" s="1"/>
  <c r="BT74" i="3" s="1"/>
  <c r="BP75" i="3"/>
  <c r="BS75" i="3" s="1"/>
  <c r="BT75" i="3" s="1"/>
  <c r="BP76" i="3"/>
  <c r="BS76" i="3" s="1"/>
  <c r="BT76" i="3" s="1"/>
  <c r="BP77" i="3"/>
  <c r="BS77" i="3"/>
  <c r="BT77" i="3" s="1"/>
  <c r="BP78" i="3"/>
  <c r="BS78" i="3" s="1"/>
  <c r="BT78" i="3" s="1"/>
  <c r="BP79" i="3"/>
  <c r="BS79" i="3" s="1"/>
  <c r="BT79" i="3" s="1"/>
  <c r="BP80" i="3"/>
  <c r="BS80" i="3" s="1"/>
  <c r="BT80" i="3" s="1"/>
  <c r="BP81" i="3"/>
  <c r="BS81" i="3" s="1"/>
  <c r="BT81" i="3" s="1"/>
  <c r="BP82" i="3"/>
  <c r="BS82" i="3"/>
  <c r="BT82" i="3" s="1"/>
  <c r="BP83" i="3"/>
  <c r="BS83" i="3" s="1"/>
  <c r="BT83" i="3" s="1"/>
  <c r="BP84" i="3"/>
  <c r="BS84" i="3" s="1"/>
  <c r="BT84" i="3" s="1"/>
  <c r="BP85" i="3"/>
  <c r="BS85" i="3" s="1"/>
  <c r="BT85" i="3" s="1"/>
  <c r="BP86" i="3"/>
  <c r="BS86" i="3"/>
  <c r="BT86" i="3" s="1"/>
  <c r="BP87" i="3"/>
  <c r="BS87" i="3" s="1"/>
  <c r="BT87" i="3" s="1"/>
  <c r="BP88" i="3"/>
  <c r="BS88" i="3" s="1"/>
  <c r="BT88" i="3" s="1"/>
  <c r="BP89" i="3"/>
  <c r="BS89" i="3"/>
  <c r="BT89" i="3" s="1"/>
  <c r="BP90" i="3"/>
  <c r="BS90" i="3"/>
  <c r="BT90" i="3" s="1"/>
  <c r="BP91" i="3"/>
  <c r="BS91" i="3" s="1"/>
  <c r="BT91" i="3" s="1"/>
  <c r="BP92" i="3"/>
  <c r="BS92" i="3" s="1"/>
  <c r="BT92" i="3" s="1"/>
  <c r="BP93" i="3"/>
  <c r="BS93" i="3"/>
  <c r="BT93" i="3" s="1"/>
  <c r="BP94" i="3"/>
  <c r="BS94" i="3" s="1"/>
  <c r="BT94" i="3" s="1"/>
  <c r="BP95" i="3"/>
  <c r="BS95" i="3" s="1"/>
  <c r="BT95" i="3" s="1"/>
  <c r="BP96" i="3"/>
  <c r="BS96" i="3" s="1"/>
  <c r="BT96" i="3" s="1"/>
  <c r="BP97" i="3"/>
  <c r="BS97" i="3"/>
  <c r="BT97" i="3" s="1"/>
  <c r="BP98" i="3"/>
  <c r="BS98" i="3"/>
  <c r="BT98" i="3" s="1"/>
  <c r="BP99" i="3"/>
  <c r="BS99" i="3" s="1"/>
  <c r="BT99" i="3" s="1"/>
  <c r="BP100" i="3"/>
  <c r="BS100" i="3" s="1"/>
  <c r="BT100" i="3" s="1"/>
  <c r="BP101" i="3"/>
  <c r="BS101" i="3" s="1"/>
  <c r="BT101" i="3" s="1"/>
  <c r="BP102" i="3"/>
  <c r="BS102" i="3"/>
  <c r="BT102" i="3"/>
  <c r="BP103" i="3"/>
  <c r="BS103" i="3" s="1"/>
  <c r="BT103" i="3" s="1"/>
  <c r="BP104" i="3"/>
  <c r="BS104" i="3" s="1"/>
  <c r="BT104" i="3" s="1"/>
  <c r="BP105" i="3"/>
  <c r="BS105" i="3"/>
  <c r="BT105" i="3" s="1"/>
  <c r="BP106" i="3"/>
  <c r="BS106" i="3"/>
  <c r="BT106" i="3" s="1"/>
  <c r="BP107" i="3"/>
  <c r="BS107" i="3" s="1"/>
  <c r="BT107" i="3" s="1"/>
  <c r="BP108" i="3"/>
  <c r="BS108" i="3" s="1"/>
  <c r="BT108" i="3" s="1"/>
  <c r="BP109" i="3"/>
  <c r="BS109" i="3"/>
  <c r="BT109" i="3" s="1"/>
  <c r="BP110" i="3"/>
  <c r="BS110" i="3" s="1"/>
  <c r="BT110" i="3" s="1"/>
  <c r="BP111" i="3"/>
  <c r="BS111" i="3" s="1"/>
  <c r="BT111" i="3" s="1"/>
  <c r="BP112" i="3"/>
  <c r="BS112" i="3" s="1"/>
  <c r="BT112" i="3" s="1"/>
  <c r="BX6" i="3"/>
  <c r="BX7" i="3"/>
  <c r="BX8" i="3"/>
  <c r="BX9" i="3"/>
  <c r="BX10" i="3"/>
  <c r="BX11" i="3"/>
  <c r="BX12" i="3"/>
  <c r="BX13" i="3"/>
  <c r="BX14" i="3"/>
  <c r="BX15" i="3"/>
  <c r="BX16" i="3"/>
  <c r="BX17" i="3"/>
  <c r="BX18" i="3"/>
  <c r="BX19" i="3"/>
  <c r="BX20" i="3"/>
  <c r="BX21" i="3"/>
  <c r="BX22" i="3"/>
  <c r="BX23" i="3"/>
  <c r="BX24" i="3"/>
  <c r="BX25" i="3"/>
  <c r="BX26" i="3"/>
  <c r="BX27" i="3"/>
  <c r="BX28" i="3"/>
  <c r="BX29" i="3"/>
  <c r="BX30" i="3"/>
  <c r="BX31" i="3"/>
  <c r="BX32" i="3"/>
  <c r="BX33" i="3"/>
  <c r="BX34" i="3"/>
  <c r="BX35" i="3"/>
  <c r="BX36" i="3"/>
  <c r="BX37" i="3"/>
  <c r="BX38" i="3"/>
  <c r="BX39" i="3"/>
  <c r="BX40" i="3"/>
  <c r="BX41" i="3"/>
  <c r="BX42" i="3"/>
  <c r="BX43" i="3"/>
  <c r="BX44" i="3"/>
  <c r="BX45" i="3"/>
  <c r="BX46" i="3"/>
  <c r="BX47" i="3"/>
  <c r="BX48" i="3"/>
  <c r="BX49" i="3"/>
  <c r="BX50" i="3"/>
  <c r="BX51" i="3"/>
  <c r="BX52" i="3"/>
  <c r="BX53" i="3"/>
  <c r="BX54" i="3"/>
  <c r="BX55" i="3"/>
  <c r="BX56" i="3"/>
  <c r="BX57" i="3"/>
  <c r="BX58" i="3"/>
  <c r="BX59" i="3"/>
  <c r="BX60" i="3"/>
  <c r="BX61" i="3"/>
  <c r="BX62" i="3"/>
  <c r="BX63" i="3"/>
  <c r="BX64" i="3"/>
  <c r="BX65" i="3"/>
  <c r="BX66" i="3"/>
  <c r="BX67" i="3"/>
  <c r="BX68" i="3"/>
  <c r="BX69" i="3"/>
  <c r="BX70" i="3"/>
  <c r="BX71" i="3"/>
  <c r="BX72" i="3"/>
  <c r="BX73" i="3"/>
  <c r="BX74" i="3"/>
  <c r="BX75" i="3"/>
  <c r="BX76" i="3"/>
  <c r="BX77" i="3"/>
  <c r="BX78" i="3"/>
  <c r="BX79" i="3"/>
  <c r="BX80" i="3"/>
  <c r="BX81" i="3"/>
  <c r="BX82" i="3"/>
  <c r="BX83" i="3"/>
  <c r="BX84" i="3"/>
  <c r="BX85" i="3"/>
  <c r="BX86" i="3"/>
  <c r="BX87" i="3"/>
  <c r="BX88" i="3"/>
  <c r="BX89" i="3"/>
  <c r="BX90" i="3"/>
  <c r="BX91" i="3"/>
  <c r="BX92" i="3"/>
  <c r="BX93" i="3"/>
  <c r="BX94" i="3"/>
  <c r="BX95" i="3"/>
  <c r="BX96" i="3"/>
  <c r="BX97" i="3"/>
  <c r="BX98" i="3"/>
  <c r="BX99" i="3"/>
  <c r="BX100" i="3"/>
  <c r="BX101" i="3"/>
  <c r="BX102" i="3"/>
  <c r="BX103" i="3"/>
  <c r="BX104" i="3"/>
  <c r="BX105" i="3"/>
  <c r="BX106" i="3"/>
  <c r="BX107" i="3"/>
  <c r="BX108" i="3"/>
  <c r="BX109" i="3"/>
  <c r="BX110" i="3"/>
  <c r="BX111" i="3"/>
  <c r="BX112" i="3"/>
  <c r="BX5" i="3"/>
  <c r="BH5" i="3"/>
  <c r="BD5" i="3"/>
  <c r="AK5" i="3"/>
  <c r="AF5" i="3"/>
  <c r="AA5" i="3"/>
  <c r="V5" i="3"/>
  <c r="AZ5" i="3"/>
  <c r="BP5" i="3"/>
  <c r="BS5" i="3" s="1"/>
  <c r="BT5" i="3" s="1"/>
  <c r="BK5" i="3"/>
  <c r="BL5" i="3" s="1"/>
  <c r="BM5" i="3" s="1"/>
  <c r="BN5" i="3" s="1"/>
  <c r="Q5" i="3"/>
</calcChain>
</file>

<file path=xl/sharedStrings.xml><?xml version="1.0" encoding="utf-8"?>
<sst xmlns="http://schemas.openxmlformats.org/spreadsheetml/2006/main" count="2494" uniqueCount="211">
  <si>
    <t>No_PGR</t>
  </si>
  <si>
    <t>Overall Trt #</t>
  </si>
  <si>
    <t>Locations:</t>
  </si>
  <si>
    <t>Years:</t>
  </si>
  <si>
    <t>Design:</t>
  </si>
  <si>
    <t>Replicates:</t>
  </si>
  <si>
    <t>Location</t>
  </si>
  <si>
    <t>Event</t>
  </si>
  <si>
    <t>Date</t>
  </si>
  <si>
    <t>Growth Stage</t>
  </si>
  <si>
    <t>n/a</t>
  </si>
  <si>
    <t>Plot Lengths</t>
  </si>
  <si>
    <t>Harvest</t>
  </si>
  <si>
    <t>NIR</t>
  </si>
  <si>
    <t>Products:</t>
  </si>
  <si>
    <t>Days to Maturity head collection date</t>
  </si>
  <si>
    <t>Seeding date:</t>
  </si>
  <si>
    <t>kg/ha</t>
  </si>
  <si>
    <t>bu/ac</t>
  </si>
  <si>
    <t>Year</t>
  </si>
  <si>
    <t>Plot</t>
  </si>
  <si>
    <t>Block</t>
  </si>
  <si>
    <t>Cultivar</t>
  </si>
  <si>
    <t>Emerge Avg (plants/m2)</t>
  </si>
  <si>
    <t>Height 1</t>
  </si>
  <si>
    <t>Height 2</t>
  </si>
  <si>
    <t>Height 3</t>
  </si>
  <si>
    <t>Height 4</t>
  </si>
  <si>
    <r>
      <t>Lodging Index (% of area leaning 5-45</t>
    </r>
    <r>
      <rPr>
        <vertAlign val="superscript"/>
        <sz val="11"/>
        <color theme="1"/>
        <rFont val="Calibri"/>
        <family val="2"/>
        <scheme val="minor"/>
      </rPr>
      <t>o</t>
    </r>
    <r>
      <rPr>
        <sz val="12"/>
        <color theme="1"/>
        <rFont val="Calibri"/>
        <family val="2"/>
        <scheme val="minor"/>
      </rPr>
      <t>)</t>
    </r>
  </si>
  <si>
    <r>
      <t>Lodging Index (% of area leaning 45-85</t>
    </r>
    <r>
      <rPr>
        <vertAlign val="superscript"/>
        <sz val="11"/>
        <color theme="1"/>
        <rFont val="Calibri"/>
        <family val="2"/>
        <scheme val="minor"/>
      </rPr>
      <t>o</t>
    </r>
    <r>
      <rPr>
        <sz val="12"/>
        <color theme="1"/>
        <rFont val="Calibri"/>
        <family val="2"/>
        <scheme val="minor"/>
      </rPr>
      <t>)</t>
    </r>
  </si>
  <si>
    <r>
      <t>Lodging Index (% of area leaning 85-90</t>
    </r>
    <r>
      <rPr>
        <vertAlign val="superscript"/>
        <sz val="11"/>
        <color theme="1"/>
        <rFont val="Calibri"/>
        <family val="2"/>
        <scheme val="minor"/>
      </rPr>
      <t>o</t>
    </r>
    <r>
      <rPr>
        <sz val="12"/>
        <color theme="1"/>
        <rFont val="Calibri"/>
        <family val="2"/>
        <scheme val="minor"/>
      </rPr>
      <t>)</t>
    </r>
  </si>
  <si>
    <t>% moisture</t>
  </si>
  <si>
    <t>Remaining days to reach maturity</t>
  </si>
  <si>
    <t>Calendar maturity date</t>
  </si>
  <si>
    <t>DTM</t>
  </si>
  <si>
    <t>Harvested plot area (m2)</t>
  </si>
  <si>
    <t>Yield adj to 13.5%</t>
  </si>
  <si>
    <t>Yield adj to 13.5% bu</t>
  </si>
  <si>
    <t>Test weight (kg/hL)</t>
  </si>
  <si>
    <t>TKW - Avg (adjusted to 13.5% moisture)</t>
  </si>
  <si>
    <t>CDC_Austenson</t>
  </si>
  <si>
    <t>Plot width (m)</t>
  </si>
  <si>
    <t>Harvested plot length (m)</t>
  </si>
  <si>
    <t>Wet weight 10 heads (g)</t>
  </si>
  <si>
    <t>Dry Weight 10 heads (g)</t>
  </si>
  <si>
    <t>Pre-seed burn-off</t>
  </si>
  <si>
    <t>Vermilion</t>
  </si>
  <si>
    <t>Wet Yield (g/plot)</t>
  </si>
  <si>
    <t>PGR trt #</t>
  </si>
  <si>
    <t>PGR trt Name</t>
  </si>
  <si>
    <t>Esma</t>
  </si>
  <si>
    <t>M62.5_30-32</t>
  </si>
  <si>
    <t>M62.5_37</t>
  </si>
  <si>
    <t>M62.5_21-24</t>
  </si>
  <si>
    <t>M125_30-32</t>
  </si>
  <si>
    <t>M125_37</t>
  </si>
  <si>
    <t>M62.5_21-24 + M62.5_37</t>
  </si>
  <si>
    <t>M62.5_21-24 + M62.5_30-32</t>
  </si>
  <si>
    <t>M62.5_30-32 + M62.5_37</t>
  </si>
  <si>
    <t>Seeding Date</t>
  </si>
  <si>
    <t>Maintenance herbicide application</t>
  </si>
  <si>
    <t>GS 21-24 PGR/Herbicide treatment application (trts 2, 7 and 8)</t>
  </si>
  <si>
    <t>GS 30-32 PGR application (trts 3, 5, 8, 9)</t>
  </si>
  <si>
    <t>GS 37 PGR/Fungicide trt application (trts 4, 6, 7, 9)</t>
  </si>
  <si>
    <t>Vermillion (LC), Falher (SARDA), Lethbridge irrigated (FS)</t>
  </si>
  <si>
    <t>2022-2024</t>
  </si>
  <si>
    <t>PGR treatment descriptions</t>
  </si>
  <si>
    <t>Sub-plot treatments that do not require Moddus at either GS 21-24 or GS 37 (ie sub-plot treatments 1,2,3,4,5,6, 8, and 9) will receive the same herbicide (Axial Xtreme iPak) and/or fungicide (Miravis Neo) application as other plots on the respective application day in order to eliminate any confounding effects.</t>
  </si>
  <si>
    <t>Treatments</t>
  </si>
  <si>
    <t>Split plot.  Main plot = cultivar (3); Subplot = PGR treatment (9)</t>
  </si>
  <si>
    <t>PGR Trt Name</t>
  </si>
  <si>
    <t>Pre-seed composite soil test 0-6" and 12-24" (macro, CEC, OM, pH, soil texture)</t>
  </si>
  <si>
    <t>Soil moisture and temperature at seeding</t>
  </si>
  <si>
    <t>Details</t>
  </si>
  <si>
    <t>Emergence Counts (21 days after seeding)</t>
  </si>
  <si>
    <t>Notes:</t>
  </si>
  <si>
    <t>Maintenance fungicide application (Prosaro)</t>
  </si>
  <si>
    <t>Weekly plant heights beginning 14 days after GS 21-24 Moddus application until Anthesis</t>
  </si>
  <si>
    <t xml:space="preserve">Please record dates of all height measurements </t>
  </si>
  <si>
    <t>Week 1 Height</t>
  </si>
  <si>
    <t>Week 2 Height</t>
  </si>
  <si>
    <t>BBCH 21= first tiller detectable (first PGR application timing- tank mixed with the Axial Xtreme iPak herbicide)</t>
  </si>
  <si>
    <t>BBCH 30-32= stem elongation (2nd PGR application timing)</t>
  </si>
  <si>
    <t>BBCH 37= 3rd PGR application timing (tank-mixed with Miravis Neo fungicide)</t>
  </si>
  <si>
    <t>Note: at GS 21-24 and GS 37 PGR application timings, these are tank-mixed with a supplied herbicide (Axial iPak Xtreme @ GS 21-24) and fungicide (Miravis Neo @ GS 37). The treatments that do not receive a PGR during these application timings MUST receive the supplied herbicide (GS 21-24) and fungicide (GS 37) on the same date. Please see protocol</t>
  </si>
  <si>
    <t>Maintenance herbicide application timing at standard (~3 leaf stage). Product choice up to the individual site according to weed spectrum</t>
  </si>
  <si>
    <t xml:space="preserve">Maintenance fungicide application (Prosaro) when </t>
  </si>
  <si>
    <t>Week 3 Height</t>
  </si>
  <si>
    <t>Week 4 Height</t>
  </si>
  <si>
    <t>Weekly plant heights beginning 14 days after GS 21-24 Moddus application until anthesis</t>
  </si>
  <si>
    <t>Date:</t>
  </si>
  <si>
    <t>Week 5 Height</t>
  </si>
  <si>
    <t>Week 6 Height</t>
  </si>
  <si>
    <t>Height at physiological maturity</t>
  </si>
  <si>
    <t>Avg Height at Phys Maturity</t>
  </si>
  <si>
    <t>Weekly rating 1 (rate weekly from soft dough stage to physiological maturity)</t>
  </si>
  <si>
    <t>Lodging Index 1</t>
  </si>
  <si>
    <t>Lodging Index 2</t>
  </si>
  <si>
    <t>Weekly rating 2 (rate weekly from soft dough stage to physiological maturity)</t>
  </si>
  <si>
    <t>Weekly rating 3 (rate weekly from soft dough stage to physiological maturity)</t>
  </si>
  <si>
    <t>Lodging Index 3</t>
  </si>
  <si>
    <t>Days to Maturity (collect heads at 30-40% grain moisture)</t>
  </si>
  <si>
    <t>Grain moisture (%)</t>
  </si>
  <si>
    <t>TKW 1- 100 kernels</t>
  </si>
  <si>
    <t>TKW 2 -100 kernels</t>
  </si>
  <si>
    <t>g</t>
  </si>
  <si>
    <t>Head collection date:</t>
  </si>
  <si>
    <t>Booting date of plot</t>
  </si>
  <si>
    <t xml:space="preserve">Row spacing (m): </t>
  </si>
  <si>
    <t>~21 days after seeding</t>
  </si>
  <si>
    <t>Emergence row A  (plants/1m row)</t>
  </si>
  <si>
    <t>Emergence row B (plants/1m row)</t>
  </si>
  <si>
    <t>Lodging ratings</t>
  </si>
  <si>
    <t>Please measure harvested plot lengths</t>
  </si>
  <si>
    <t>Please ship NIR samples to Lori Oatway at Olds College (notify Lori Oatway and Lakeland College that samples have been submitted)</t>
  </si>
  <si>
    <t>Growing season rainfall distribution (daily if possible- minimum Monthly)</t>
  </si>
  <si>
    <t>Lethbridge- Irrigation distribution</t>
  </si>
  <si>
    <t>Please record dates of weekly ratings</t>
  </si>
  <si>
    <t>"For suppression of Fusarium Head Blight, apply PROSARO XTR Fungicide as a preventative spray within the time period from when at least 75% of the wheat heads on the main stem are fully emerged to when 50% of the heads on the main stem are in flower."</t>
  </si>
  <si>
    <t>Plot number</t>
  </si>
  <si>
    <t>Trt# 1</t>
  </si>
  <si>
    <t>Trt# 2</t>
  </si>
  <si>
    <t>Trt# 3</t>
  </si>
  <si>
    <t>Trt# 4</t>
  </si>
  <si>
    <t>Trt# 5</t>
  </si>
  <si>
    <t>Trt# 6</t>
  </si>
  <si>
    <t>Trt# 7</t>
  </si>
  <si>
    <t>Trt# 8</t>
  </si>
  <si>
    <t>Trt# 9</t>
  </si>
  <si>
    <t>Trt# 10</t>
  </si>
  <si>
    <t>Trt# 11</t>
  </si>
  <si>
    <t>Trt# 12</t>
  </si>
  <si>
    <t>Trt# 13</t>
  </si>
  <si>
    <t>Trt# 14</t>
  </si>
  <si>
    <t>Trt# 15</t>
  </si>
  <si>
    <t>Trt# 16</t>
  </si>
  <si>
    <t>Trt# 17</t>
  </si>
  <si>
    <t>Trt# 18</t>
  </si>
  <si>
    <t>Trt# 19</t>
  </si>
  <si>
    <t>Trt# 20</t>
  </si>
  <si>
    <t>Trt# 21</t>
  </si>
  <si>
    <t>Trt# 22</t>
  </si>
  <si>
    <t>Trt# 23</t>
  </si>
  <si>
    <t>Trt# 24</t>
  </si>
  <si>
    <t>Trt# 25</t>
  </si>
  <si>
    <t>Trt# 26</t>
  </si>
  <si>
    <t>Trt# 27</t>
  </si>
  <si>
    <t>PGR treatment</t>
  </si>
  <si>
    <t>PGR treatment #</t>
  </si>
  <si>
    <t>2023 Maximizing Feed Barley Yield While Minimizing Lodging (2022F028R)</t>
  </si>
  <si>
    <t>AB Hague</t>
  </si>
  <si>
    <t>AB_Hague</t>
  </si>
  <si>
    <t>2022F028R Maximizing Feed Barley Yield While Minimizing Lodging- Field Notes- 2023 Season</t>
  </si>
  <si>
    <t xml:space="preserve">Location: </t>
  </si>
  <si>
    <t xml:space="preserve">Cooperator </t>
  </si>
  <si>
    <t>Lethbridge</t>
  </si>
  <si>
    <t>Farming Smarter</t>
  </si>
  <si>
    <t xml:space="preserve">GPS Coordinates </t>
  </si>
  <si>
    <t>Deadlines</t>
  </si>
  <si>
    <t>Planting</t>
  </si>
  <si>
    <t xml:space="preserve">If there is a delay please contact trial coordinator </t>
  </si>
  <si>
    <t>Samples sent to Lori Oatway</t>
  </si>
  <si>
    <t>Field books submitted</t>
  </si>
  <si>
    <t xml:space="preserve">See Protocol for address </t>
  </si>
  <si>
    <t>plot</t>
  </si>
  <si>
    <t>?</t>
  </si>
  <si>
    <t>bad data in red</t>
  </si>
  <si>
    <t>49.685052, -112.754878</t>
  </si>
  <si>
    <t>attached as pdf</t>
  </si>
  <si>
    <t>uniform and good</t>
  </si>
  <si>
    <t>Products: Gly + Aim + Pardner (label)</t>
  </si>
  <si>
    <t>Moddus</t>
  </si>
  <si>
    <t>Miravis Neo</t>
  </si>
  <si>
    <t>all the same</t>
  </si>
  <si>
    <t>Wintersteiger Quantum</t>
  </si>
  <si>
    <t>Infinity</t>
  </si>
  <si>
    <t>COMPUTED</t>
  </si>
  <si>
    <t>Lethbridge Demo Farm IMCIN</t>
  </si>
  <si>
    <t>Growing Degree Days (base 5°C) Source Flag</t>
  </si>
  <si>
    <t>Growing Degree Days (base 5°C) (GDD)</t>
  </si>
  <si>
    <t>Growing Degree Days Long Term (base 5°C) Source Flag</t>
  </si>
  <si>
    <t>Growing Degree Days Long Term (base 5°C) (GDD)</t>
  </si>
  <si>
    <t>Air Temp. Avg. Long Term Record Completeness (%)</t>
  </si>
  <si>
    <t>Air Temp. Avg. Long Term Source Flag</t>
  </si>
  <si>
    <t>Air Temp. Avg. Long Term (°C)</t>
  </si>
  <si>
    <t>Precip. Long Term (mm)</t>
  </si>
  <si>
    <t>Precip. Accumulated (mm)</t>
  </si>
  <si>
    <t>Air Temp. Avg. (°C)</t>
  </si>
  <si>
    <t>Date (Local Standard Time)</t>
  </si>
  <si>
    <t>Station Name</t>
  </si>
  <si>
    <t>Lethbridge College Demo Farm</t>
  </si>
  <si>
    <t>ID</t>
  </si>
  <si>
    <t>Start time</t>
  </si>
  <si>
    <t>Completion time</t>
  </si>
  <si>
    <t>Email</t>
  </si>
  <si>
    <t>Name</t>
  </si>
  <si>
    <t>Type of Application</t>
  </si>
  <si>
    <t>Day of Event</t>
  </si>
  <si>
    <t>Amount of water in Inches</t>
  </si>
  <si>
    <t>Notes</t>
  </si>
  <si>
    <t>carlo@farmingsmarter.com</t>
  </si>
  <si>
    <t>Carlo Van Herk</t>
  </si>
  <si>
    <t>Irrigation</t>
  </si>
  <si>
    <t>DF;</t>
  </si>
  <si>
    <t>in</t>
  </si>
  <si>
    <t>rain add 2.5 in during the growing season</t>
  </si>
  <si>
    <t>Soil moisture:_____16________   Soil temperature:__7C at seeding 10am______________</t>
  </si>
  <si>
    <t>Soil moisture:___14__________   Soil temperature:______20__________</t>
  </si>
  <si>
    <t>Soil moisture:______10_______   Soil temperature:______24__________</t>
  </si>
  <si>
    <t>Soil moisture:_____24________   Soil temperature:________21________</t>
  </si>
  <si>
    <t>Harvest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</si>
</sst>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[$-1009]d/mmm/yy;@"/>
    <numFmt numFmtId="166" formatCode="[$-409]mmmm\ d\,\ yyyy;@"/>
    <numFmt numFmtId="167" formatCode="m/d/yy\ h:mm:ss"/>
  </numFmts>
  <fonts count="26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12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theme="4"/>
        <bgColor theme="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/>
      <right style="thick">
        <color auto="1"/>
      </right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339">
    <xf numFmtId="0" fontId="0" fillId="0" borderId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4" fillId="0" borderId="0"/>
    <xf numFmtId="0" fontId="2" fillId="0" borderId="0"/>
  </cellStyleXfs>
  <cellXfs count="123">
    <xf numFmtId="0" fontId="0" fillId="0" borderId="0" xfId="0"/>
    <xf numFmtId="0" fontId="0" fillId="0" borderId="0" xfId="0" applyAlignment="1">
      <alignment horizontal="center" wrapText="1"/>
    </xf>
    <xf numFmtId="0" fontId="8" fillId="0" borderId="0" xfId="0" applyFont="1"/>
    <xf numFmtId="0" fontId="0" fillId="0" borderId="0" xfId="0" applyAlignment="1">
      <alignment horizontal="center"/>
    </xf>
    <xf numFmtId="0" fontId="12" fillId="0" borderId="0" xfId="0" applyFont="1"/>
    <xf numFmtId="0" fontId="0" fillId="0" borderId="1" xfId="0" applyBorder="1"/>
    <xf numFmtId="0" fontId="13" fillId="0" borderId="0" xfId="0" applyFont="1"/>
    <xf numFmtId="0" fontId="0" fillId="0" borderId="2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13" fillId="0" borderId="4" xfId="0" applyFont="1" applyBorder="1" applyAlignment="1">
      <alignment horizontal="left" wrapText="1"/>
    </xf>
    <xf numFmtId="0" fontId="13" fillId="0" borderId="1" xfId="0" applyFont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164" fontId="8" fillId="0" borderId="0" xfId="0" applyNumberFormat="1" applyFont="1"/>
    <xf numFmtId="165" fontId="8" fillId="0" borderId="0" xfId="0" applyNumberFormat="1" applyFont="1"/>
    <xf numFmtId="0" fontId="13" fillId="0" borderId="2" xfId="0" applyFont="1" applyBorder="1" applyAlignment="1">
      <alignment horizontal="left" wrapText="1"/>
    </xf>
    <xf numFmtId="164" fontId="0" fillId="0" borderId="0" xfId="0" applyNumberFormat="1"/>
    <xf numFmtId="1" fontId="0" fillId="0" borderId="0" xfId="0" applyNumberFormat="1"/>
    <xf numFmtId="2" fontId="0" fillId="0" borderId="0" xfId="0" applyNumberFormat="1"/>
    <xf numFmtId="0" fontId="0" fillId="0" borderId="0" xfId="0" applyAlignment="1">
      <alignment horizontal="left"/>
    </xf>
    <xf numFmtId="0" fontId="7" fillId="0" borderId="2" xfId="0" applyFont="1" applyBorder="1" applyAlignment="1">
      <alignment horizontal="left" wrapText="1"/>
    </xf>
    <xf numFmtId="0" fontId="16" fillId="0" borderId="0" xfId="0" applyFont="1"/>
    <xf numFmtId="0" fontId="16" fillId="0" borderId="0" xfId="0" applyFont="1" applyAlignment="1">
      <alignment horizontal="left" vertical="center" indent="8"/>
    </xf>
    <xf numFmtId="0" fontId="7" fillId="0" borderId="1" xfId="0" applyFont="1" applyBorder="1" applyAlignment="1">
      <alignment horizontal="left" wrapText="1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0" fillId="0" borderId="3" xfId="0" applyBorder="1"/>
    <xf numFmtId="0" fontId="16" fillId="0" borderId="3" xfId="0" applyFont="1" applyBorder="1" applyAlignment="1">
      <alignment horizontal="left" vertical="center" indent="8"/>
    </xf>
    <xf numFmtId="0" fontId="0" fillId="0" borderId="4" xfId="0" applyBorder="1"/>
    <xf numFmtId="0" fontId="8" fillId="0" borderId="0" xfId="0" applyFont="1" applyAlignment="1">
      <alignment horizontal="left"/>
    </xf>
    <xf numFmtId="0" fontId="13" fillId="6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wrapText="1"/>
    </xf>
    <xf numFmtId="0" fontId="18" fillId="0" borderId="0" xfId="0" applyFont="1"/>
    <xf numFmtId="0" fontId="8" fillId="5" borderId="0" xfId="0" applyFont="1" applyFill="1"/>
    <xf numFmtId="0" fontId="0" fillId="5" borderId="0" xfId="0" applyFill="1" applyAlignment="1">
      <alignment horizontal="left"/>
    </xf>
    <xf numFmtId="0" fontId="0" fillId="5" borderId="0" xfId="0" applyFill="1"/>
    <xf numFmtId="0" fontId="13" fillId="0" borderId="3" xfId="0" applyFont="1" applyBorder="1" applyAlignment="1">
      <alignment horizontal="left" wrapText="1"/>
    </xf>
    <xf numFmtId="0" fontId="7" fillId="0" borderId="4" xfId="0" applyFont="1" applyBorder="1" applyAlignment="1">
      <alignment horizontal="left" wrapText="1"/>
    </xf>
    <xf numFmtId="16" fontId="0" fillId="5" borderId="1" xfId="0" applyNumberFormat="1" applyFill="1" applyBorder="1"/>
    <xf numFmtId="0" fontId="0" fillId="0" borderId="6" xfId="0" applyBorder="1"/>
    <xf numFmtId="16" fontId="0" fillId="5" borderId="6" xfId="0" applyNumberFormat="1" applyFill="1" applyBorder="1"/>
    <xf numFmtId="0" fontId="0" fillId="5" borderId="1" xfId="0" applyFill="1" applyBorder="1"/>
    <xf numFmtId="0" fontId="7" fillId="0" borderId="4" xfId="0" applyFont="1" applyBorder="1" applyAlignment="1">
      <alignment horizontal="center" wrapText="1"/>
    </xf>
    <xf numFmtId="0" fontId="0" fillId="0" borderId="2" xfId="0" applyBorder="1"/>
    <xf numFmtId="0" fontId="0" fillId="0" borderId="9" xfId="0" applyBorder="1"/>
    <xf numFmtId="0" fontId="0" fillId="0" borderId="10" xfId="0" applyBorder="1"/>
    <xf numFmtId="0" fontId="0" fillId="5" borderId="10" xfId="0" applyFill="1" applyBorder="1"/>
    <xf numFmtId="0" fontId="13" fillId="0" borderId="0" xfId="0" applyFont="1" applyAlignment="1">
      <alignment horizontal="center" wrapText="1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 wrapText="1"/>
    </xf>
    <xf numFmtId="0" fontId="7" fillId="0" borderId="0" xfId="0" applyFont="1" applyAlignment="1">
      <alignment horizontal="center"/>
    </xf>
    <xf numFmtId="0" fontId="7" fillId="0" borderId="13" xfId="0" applyFont="1" applyBorder="1" applyAlignment="1">
      <alignment horizontal="center"/>
    </xf>
    <xf numFmtId="0" fontId="7" fillId="0" borderId="0" xfId="0" applyFont="1" applyAlignment="1">
      <alignment horizontal="center" wrapText="1"/>
    </xf>
    <xf numFmtId="0" fontId="0" fillId="2" borderId="12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7" fillId="0" borderId="14" xfId="0" applyFont="1" applyBorder="1" applyAlignment="1">
      <alignment horizontal="center" wrapText="1"/>
    </xf>
    <xf numFmtId="0" fontId="7" fillId="0" borderId="11" xfId="0" applyFont="1" applyBorder="1" applyAlignment="1">
      <alignment horizontal="center"/>
    </xf>
    <xf numFmtId="0" fontId="7" fillId="0" borderId="0" xfId="0" applyFont="1"/>
    <xf numFmtId="0" fontId="0" fillId="0" borderId="0" xfId="0" applyAlignment="1">
      <alignment vertical="center"/>
    </xf>
    <xf numFmtId="166" fontId="0" fillId="0" borderId="0" xfId="0" applyNumberFormat="1"/>
    <xf numFmtId="15" fontId="0" fillId="0" borderId="4" xfId="0" applyNumberFormat="1" applyBorder="1"/>
    <xf numFmtId="164" fontId="7" fillId="0" borderId="0" xfId="0" applyNumberFormat="1" applyFont="1"/>
    <xf numFmtId="0" fontId="21" fillId="0" borderId="0" xfId="0" applyFont="1"/>
    <xf numFmtId="2" fontId="21" fillId="0" borderId="0" xfId="0" applyNumberFormat="1" applyFont="1"/>
    <xf numFmtId="164" fontId="20" fillId="0" borderId="0" xfId="0" applyNumberFormat="1" applyFont="1"/>
    <xf numFmtId="2" fontId="0" fillId="8" borderId="0" xfId="0" applyNumberFormat="1" applyFill="1"/>
    <xf numFmtId="0" fontId="4" fillId="0" borderId="0" xfId="337"/>
    <xf numFmtId="4" fontId="4" fillId="0" borderId="0" xfId="337" applyNumberFormat="1"/>
    <xf numFmtId="15" fontId="4" fillId="0" borderId="0" xfId="337" applyNumberFormat="1"/>
    <xf numFmtId="0" fontId="13" fillId="0" borderId="0" xfId="337" applyFont="1"/>
    <xf numFmtId="0" fontId="19" fillId="9" borderId="16" xfId="337" applyFont="1" applyFill="1" applyBorder="1"/>
    <xf numFmtId="0" fontId="19" fillId="9" borderId="15" xfId="337" applyFont="1" applyFill="1" applyBorder="1"/>
    <xf numFmtId="14" fontId="19" fillId="9" borderId="15" xfId="337" applyNumberFormat="1" applyFont="1" applyFill="1" applyBorder="1"/>
    <xf numFmtId="0" fontId="19" fillId="9" borderId="17" xfId="337" applyFont="1" applyFill="1" applyBorder="1"/>
    <xf numFmtId="0" fontId="4" fillId="7" borderId="16" xfId="337" applyFill="1" applyBorder="1"/>
    <xf numFmtId="167" fontId="4" fillId="7" borderId="15" xfId="337" applyNumberFormat="1" applyFill="1" applyBorder="1"/>
    <xf numFmtId="0" fontId="4" fillId="7" borderId="15" xfId="337" applyFill="1" applyBorder="1"/>
    <xf numFmtId="14" fontId="4" fillId="7" borderId="15" xfId="337" applyNumberFormat="1" applyFill="1" applyBorder="1"/>
    <xf numFmtId="0" fontId="4" fillId="7" borderId="15" xfId="337" quotePrefix="1" applyFill="1" applyBorder="1"/>
    <xf numFmtId="0" fontId="4" fillId="7" borderId="17" xfId="337" applyFill="1" applyBorder="1"/>
    <xf numFmtId="0" fontId="4" fillId="0" borderId="16" xfId="337" applyBorder="1"/>
    <xf numFmtId="167" fontId="4" fillId="0" borderId="15" xfId="337" applyNumberFormat="1" applyBorder="1"/>
    <xf numFmtId="0" fontId="4" fillId="0" borderId="15" xfId="337" applyBorder="1"/>
    <xf numFmtId="14" fontId="4" fillId="0" borderId="15" xfId="337" applyNumberFormat="1" applyBorder="1"/>
    <xf numFmtId="0" fontId="4" fillId="0" borderId="15" xfId="337" quotePrefix="1" applyBorder="1"/>
    <xf numFmtId="0" fontId="4" fillId="0" borderId="17" xfId="337" applyBorder="1"/>
    <xf numFmtId="0" fontId="24" fillId="0" borderId="0" xfId="337" applyFont="1"/>
    <xf numFmtId="14" fontId="0" fillId="0" borderId="0" xfId="0" applyNumberFormat="1"/>
    <xf numFmtId="0" fontId="13" fillId="5" borderId="4" xfId="0" applyFont="1" applyFill="1" applyBorder="1" applyAlignment="1">
      <alignment horizontal="left" wrapText="1"/>
    </xf>
    <xf numFmtId="164" fontId="0" fillId="5" borderId="0" xfId="0" applyNumberFormat="1" applyFill="1"/>
    <xf numFmtId="0" fontId="1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wrapText="1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center" wrapText="1"/>
    </xf>
    <xf numFmtId="15" fontId="1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wrapText="1"/>
    </xf>
    <xf numFmtId="0" fontId="13" fillId="0" borderId="1" xfId="0" applyFont="1" applyBorder="1" applyAlignment="1">
      <alignment vertical="center" wrapText="1"/>
    </xf>
    <xf numFmtId="16" fontId="13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6" fillId="0" borderId="1" xfId="0" applyFont="1" applyBorder="1" applyAlignment="1">
      <alignment wrapText="1"/>
    </xf>
    <xf numFmtId="0" fontId="22" fillId="0" borderId="1" xfId="0" applyFont="1" applyBorder="1" applyAlignment="1">
      <alignment vertical="center" wrapText="1"/>
    </xf>
    <xf numFmtId="16" fontId="22" fillId="0" borderId="1" xfId="0" applyNumberFormat="1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wrapText="1"/>
    </xf>
    <xf numFmtId="1" fontId="0" fillId="5" borderId="0" xfId="0" applyNumberFormat="1" applyFill="1"/>
    <xf numFmtId="2" fontId="0" fillId="5" borderId="0" xfId="0" applyNumberFormat="1" applyFill="1"/>
    <xf numFmtId="0" fontId="25" fillId="0" borderId="0" xfId="337" applyFont="1"/>
    <xf numFmtId="0" fontId="4" fillId="5" borderId="0" xfId="337" applyFill="1"/>
    <xf numFmtId="0" fontId="7" fillId="5" borderId="0" xfId="337" applyFont="1" applyFill="1"/>
    <xf numFmtId="0" fontId="20" fillId="0" borderId="0" xfId="337" applyFont="1"/>
    <xf numFmtId="0" fontId="11" fillId="0" borderId="0" xfId="0" applyFont="1" applyAlignment="1">
      <alignment horizontal="center"/>
    </xf>
    <xf numFmtId="0" fontId="0" fillId="0" borderId="7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0" xfId="337" applyFont="1"/>
  </cellXfs>
  <cellStyles count="339">
    <cellStyle name="Followed Hyperlink" xfId="68" builtinId="9" hidden="1"/>
    <cellStyle name="Followed Hyperlink" xfId="72" builtinId="9" hidden="1"/>
    <cellStyle name="Followed Hyperlink" xfId="76" builtinId="9" hidden="1"/>
    <cellStyle name="Followed Hyperlink" xfId="80" builtinId="9" hidden="1"/>
    <cellStyle name="Followed Hyperlink" xfId="84" builtinId="9" hidden="1"/>
    <cellStyle name="Followed Hyperlink" xfId="88" builtinId="9" hidden="1"/>
    <cellStyle name="Followed Hyperlink" xfId="92" builtinId="9" hidden="1"/>
    <cellStyle name="Followed Hyperlink" xfId="96" builtinId="9" hidden="1"/>
    <cellStyle name="Followed Hyperlink" xfId="100" builtinId="9" hidden="1"/>
    <cellStyle name="Followed Hyperlink" xfId="104" builtinId="9" hidden="1"/>
    <cellStyle name="Followed Hyperlink" xfId="108" builtinId="9" hidden="1"/>
    <cellStyle name="Followed Hyperlink" xfId="112" builtinId="9" hidden="1"/>
    <cellStyle name="Followed Hyperlink" xfId="116" builtinId="9" hidden="1"/>
    <cellStyle name="Followed Hyperlink" xfId="120" builtinId="9" hidden="1"/>
    <cellStyle name="Followed Hyperlink" xfId="124" builtinId="9" hidden="1"/>
    <cellStyle name="Followed Hyperlink" xfId="128" builtinId="9" hidden="1"/>
    <cellStyle name="Followed Hyperlink" xfId="132" builtinId="9" hidden="1"/>
    <cellStyle name="Followed Hyperlink" xfId="136" builtinId="9" hidden="1"/>
    <cellStyle name="Followed Hyperlink" xfId="140" builtinId="9" hidden="1"/>
    <cellStyle name="Followed Hyperlink" xfId="144" builtinId="9" hidden="1"/>
    <cellStyle name="Followed Hyperlink" xfId="148" builtinId="9" hidden="1"/>
    <cellStyle name="Followed Hyperlink" xfId="152" builtinId="9" hidden="1"/>
    <cellStyle name="Followed Hyperlink" xfId="156" builtinId="9" hidden="1"/>
    <cellStyle name="Followed Hyperlink" xfId="160" builtinId="9" hidden="1"/>
    <cellStyle name="Followed Hyperlink" xfId="164" builtinId="9" hidden="1"/>
    <cellStyle name="Followed Hyperlink" xfId="168" builtinId="9" hidden="1"/>
    <cellStyle name="Followed Hyperlink" xfId="172" builtinId="9" hidden="1"/>
    <cellStyle name="Followed Hyperlink" xfId="176" builtinId="9" hidden="1"/>
    <cellStyle name="Followed Hyperlink" xfId="180" builtinId="9" hidden="1"/>
    <cellStyle name="Followed Hyperlink" xfId="184" builtinId="9" hidden="1"/>
    <cellStyle name="Followed Hyperlink" xfId="188" builtinId="9" hidden="1"/>
    <cellStyle name="Followed Hyperlink" xfId="192" builtinId="9" hidden="1"/>
    <cellStyle name="Followed Hyperlink" xfId="196" builtinId="9" hidden="1"/>
    <cellStyle name="Followed Hyperlink" xfId="200" builtinId="9" hidden="1"/>
    <cellStyle name="Followed Hyperlink" xfId="204" builtinId="9" hidden="1"/>
    <cellStyle name="Followed Hyperlink" xfId="208" builtinId="9" hidden="1"/>
    <cellStyle name="Followed Hyperlink" xfId="212" builtinId="9" hidden="1"/>
    <cellStyle name="Followed Hyperlink" xfId="216" builtinId="9" hidden="1"/>
    <cellStyle name="Followed Hyperlink" xfId="220" builtinId="9" hidden="1"/>
    <cellStyle name="Followed Hyperlink" xfId="224" builtinId="9" hidden="1"/>
    <cellStyle name="Followed Hyperlink" xfId="228" builtinId="9" hidden="1"/>
    <cellStyle name="Followed Hyperlink" xfId="232" builtinId="9" hidden="1"/>
    <cellStyle name="Followed Hyperlink" xfId="236" builtinId="9" hidden="1"/>
    <cellStyle name="Followed Hyperlink" xfId="240" builtinId="9" hidden="1"/>
    <cellStyle name="Followed Hyperlink" xfId="244" builtinId="9" hidden="1"/>
    <cellStyle name="Followed Hyperlink" xfId="248" builtinId="9" hidden="1"/>
    <cellStyle name="Followed Hyperlink" xfId="252" builtinId="9" hidden="1"/>
    <cellStyle name="Followed Hyperlink" xfId="256" builtinId="9" hidden="1"/>
    <cellStyle name="Followed Hyperlink" xfId="260" builtinId="9" hidden="1"/>
    <cellStyle name="Followed Hyperlink" xfId="264" builtinId="9" hidden="1"/>
    <cellStyle name="Followed Hyperlink" xfId="268" builtinId="9" hidden="1"/>
    <cellStyle name="Followed Hyperlink" xfId="272" builtinId="9" hidden="1"/>
    <cellStyle name="Followed Hyperlink" xfId="276" builtinId="9" hidden="1"/>
    <cellStyle name="Followed Hyperlink" xfId="280" builtinId="9" hidden="1"/>
    <cellStyle name="Followed Hyperlink" xfId="284" builtinId="9" hidden="1"/>
    <cellStyle name="Followed Hyperlink" xfId="288" builtinId="9" hidden="1"/>
    <cellStyle name="Followed Hyperlink" xfId="292" builtinId="9" hidden="1"/>
    <cellStyle name="Followed Hyperlink" xfId="296" builtinId="9" hidden="1"/>
    <cellStyle name="Followed Hyperlink" xfId="300" builtinId="9" hidden="1"/>
    <cellStyle name="Followed Hyperlink" xfId="304" builtinId="9" hidden="1"/>
    <cellStyle name="Followed Hyperlink" xfId="308" builtinId="9" hidden="1"/>
    <cellStyle name="Followed Hyperlink" xfId="312" builtinId="9" hidden="1"/>
    <cellStyle name="Followed Hyperlink" xfId="316" builtinId="9" hidden="1"/>
    <cellStyle name="Followed Hyperlink" xfId="320" builtinId="9" hidden="1"/>
    <cellStyle name="Followed Hyperlink" xfId="324" builtinId="9" hidden="1"/>
    <cellStyle name="Followed Hyperlink" xfId="328" builtinId="9" hidden="1"/>
    <cellStyle name="Followed Hyperlink" xfId="332" builtinId="9" hidden="1"/>
    <cellStyle name="Followed Hyperlink" xfId="336" builtinId="9" hidden="1"/>
    <cellStyle name="Followed Hyperlink" xfId="334" builtinId="9" hidden="1"/>
    <cellStyle name="Followed Hyperlink" xfId="330" builtinId="9" hidden="1"/>
    <cellStyle name="Followed Hyperlink" xfId="326" builtinId="9" hidden="1"/>
    <cellStyle name="Followed Hyperlink" xfId="322" builtinId="9" hidden="1"/>
    <cellStyle name="Followed Hyperlink" xfId="318" builtinId="9" hidden="1"/>
    <cellStyle name="Followed Hyperlink" xfId="314" builtinId="9" hidden="1"/>
    <cellStyle name="Followed Hyperlink" xfId="310" builtinId="9" hidden="1"/>
    <cellStyle name="Followed Hyperlink" xfId="306" builtinId="9" hidden="1"/>
    <cellStyle name="Followed Hyperlink" xfId="302" builtinId="9" hidden="1"/>
    <cellStyle name="Followed Hyperlink" xfId="298" builtinId="9" hidden="1"/>
    <cellStyle name="Followed Hyperlink" xfId="294" builtinId="9" hidden="1"/>
    <cellStyle name="Followed Hyperlink" xfId="290" builtinId="9" hidden="1"/>
    <cellStyle name="Followed Hyperlink" xfId="286" builtinId="9" hidden="1"/>
    <cellStyle name="Followed Hyperlink" xfId="282" builtinId="9" hidden="1"/>
    <cellStyle name="Followed Hyperlink" xfId="278" builtinId="9" hidden="1"/>
    <cellStyle name="Followed Hyperlink" xfId="274" builtinId="9" hidden="1"/>
    <cellStyle name="Followed Hyperlink" xfId="270" builtinId="9" hidden="1"/>
    <cellStyle name="Followed Hyperlink" xfId="266" builtinId="9" hidden="1"/>
    <cellStyle name="Followed Hyperlink" xfId="262" builtinId="9" hidden="1"/>
    <cellStyle name="Followed Hyperlink" xfId="258" builtinId="9" hidden="1"/>
    <cellStyle name="Followed Hyperlink" xfId="254" builtinId="9" hidden="1"/>
    <cellStyle name="Followed Hyperlink" xfId="250" builtinId="9" hidden="1"/>
    <cellStyle name="Followed Hyperlink" xfId="246" builtinId="9" hidden="1"/>
    <cellStyle name="Followed Hyperlink" xfId="242" builtinId="9" hidden="1"/>
    <cellStyle name="Followed Hyperlink" xfId="238" builtinId="9" hidden="1"/>
    <cellStyle name="Followed Hyperlink" xfId="234" builtinId="9" hidden="1"/>
    <cellStyle name="Followed Hyperlink" xfId="230" builtinId="9" hidden="1"/>
    <cellStyle name="Followed Hyperlink" xfId="226" builtinId="9" hidden="1"/>
    <cellStyle name="Followed Hyperlink" xfId="222" builtinId="9" hidden="1"/>
    <cellStyle name="Followed Hyperlink" xfId="218" builtinId="9" hidden="1"/>
    <cellStyle name="Followed Hyperlink" xfId="214" builtinId="9" hidden="1"/>
    <cellStyle name="Followed Hyperlink" xfId="210" builtinId="9" hidden="1"/>
    <cellStyle name="Followed Hyperlink" xfId="206" builtinId="9" hidden="1"/>
    <cellStyle name="Followed Hyperlink" xfId="202" builtinId="9" hidden="1"/>
    <cellStyle name="Followed Hyperlink" xfId="198" builtinId="9" hidden="1"/>
    <cellStyle name="Followed Hyperlink" xfId="194" builtinId="9" hidden="1"/>
    <cellStyle name="Followed Hyperlink" xfId="190" builtinId="9" hidden="1"/>
    <cellStyle name="Followed Hyperlink" xfId="186" builtinId="9" hidden="1"/>
    <cellStyle name="Followed Hyperlink" xfId="182" builtinId="9" hidden="1"/>
    <cellStyle name="Followed Hyperlink" xfId="178" builtinId="9" hidden="1"/>
    <cellStyle name="Followed Hyperlink" xfId="174" builtinId="9" hidden="1"/>
    <cellStyle name="Followed Hyperlink" xfId="170" builtinId="9" hidden="1"/>
    <cellStyle name="Followed Hyperlink" xfId="166" builtinId="9" hidden="1"/>
    <cellStyle name="Followed Hyperlink" xfId="162" builtinId="9" hidden="1"/>
    <cellStyle name="Followed Hyperlink" xfId="158" builtinId="9" hidden="1"/>
    <cellStyle name="Followed Hyperlink" xfId="154" builtinId="9" hidden="1"/>
    <cellStyle name="Followed Hyperlink" xfId="150" builtinId="9" hidden="1"/>
    <cellStyle name="Followed Hyperlink" xfId="146" builtinId="9" hidden="1"/>
    <cellStyle name="Followed Hyperlink" xfId="142" builtinId="9" hidden="1"/>
    <cellStyle name="Followed Hyperlink" xfId="138" builtinId="9" hidden="1"/>
    <cellStyle name="Followed Hyperlink" xfId="134" builtinId="9" hidden="1"/>
    <cellStyle name="Followed Hyperlink" xfId="130" builtinId="9" hidden="1"/>
    <cellStyle name="Followed Hyperlink" xfId="126" builtinId="9" hidden="1"/>
    <cellStyle name="Followed Hyperlink" xfId="122" builtinId="9" hidden="1"/>
    <cellStyle name="Followed Hyperlink" xfId="118" builtinId="9" hidden="1"/>
    <cellStyle name="Followed Hyperlink" xfId="114" builtinId="9" hidden="1"/>
    <cellStyle name="Followed Hyperlink" xfId="110" builtinId="9" hidden="1"/>
    <cellStyle name="Followed Hyperlink" xfId="106" builtinId="9" hidden="1"/>
    <cellStyle name="Followed Hyperlink" xfId="102" builtinId="9" hidden="1"/>
    <cellStyle name="Followed Hyperlink" xfId="98" builtinId="9" hidden="1"/>
    <cellStyle name="Followed Hyperlink" xfId="94" builtinId="9" hidden="1"/>
    <cellStyle name="Followed Hyperlink" xfId="90" builtinId="9" hidden="1"/>
    <cellStyle name="Followed Hyperlink" xfId="86" builtinId="9" hidden="1"/>
    <cellStyle name="Followed Hyperlink" xfId="82" builtinId="9" hidden="1"/>
    <cellStyle name="Followed Hyperlink" xfId="78" builtinId="9" hidden="1"/>
    <cellStyle name="Followed Hyperlink" xfId="74" builtinId="9" hidden="1"/>
    <cellStyle name="Followed Hyperlink" xfId="70" builtinId="9" hidden="1"/>
    <cellStyle name="Followed Hyperlink" xfId="66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4" builtinId="9" hidden="1"/>
    <cellStyle name="Followed Hyperlink" xfId="62" builtinId="9" hidden="1"/>
    <cellStyle name="Followed Hyperlink" xfId="54" builtinId="9" hidden="1"/>
    <cellStyle name="Followed Hyperlink" xfId="46" builtinId="9" hidden="1"/>
    <cellStyle name="Followed Hyperlink" xfId="38" builtinId="9" hidden="1"/>
    <cellStyle name="Followed Hyperlink" xfId="30" builtinId="9" hidden="1"/>
    <cellStyle name="Followed Hyperlink" xfId="22" builtinId="9" hidden="1"/>
    <cellStyle name="Followed Hyperlink" xfId="10" builtinId="9" hidden="1"/>
    <cellStyle name="Followed Hyperlink" xfId="12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14" builtinId="9" hidden="1"/>
    <cellStyle name="Followed Hyperlink" xfId="6" builtinId="9" hidden="1"/>
    <cellStyle name="Followed Hyperlink" xfId="8" builtinId="9" hidden="1"/>
    <cellStyle name="Followed Hyperlink" xfId="4" builtinId="9" hidden="1"/>
    <cellStyle name="Followed Hyperlink" xfId="2" builtinId="9" hidden="1"/>
    <cellStyle name="Hyperlink" xfId="139" builtinId="8" hidden="1"/>
    <cellStyle name="Hyperlink" xfId="141" builtinId="8" hidden="1"/>
    <cellStyle name="Hyperlink" xfId="143" builtinId="8" hidden="1"/>
    <cellStyle name="Hyperlink" xfId="147" builtinId="8" hidden="1"/>
    <cellStyle name="Hyperlink" xfId="149" builtinId="8" hidden="1"/>
    <cellStyle name="Hyperlink" xfId="151" builtinId="8" hidden="1"/>
    <cellStyle name="Hyperlink" xfId="155" builtinId="8" hidden="1"/>
    <cellStyle name="Hyperlink" xfId="157" builtinId="8" hidden="1"/>
    <cellStyle name="Hyperlink" xfId="159" builtinId="8" hidden="1"/>
    <cellStyle name="Hyperlink" xfId="163" builtinId="8" hidden="1"/>
    <cellStyle name="Hyperlink" xfId="165" builtinId="8" hidden="1"/>
    <cellStyle name="Hyperlink" xfId="167" builtinId="8" hidden="1"/>
    <cellStyle name="Hyperlink" xfId="171" builtinId="8" hidden="1"/>
    <cellStyle name="Hyperlink" xfId="173" builtinId="8" hidden="1"/>
    <cellStyle name="Hyperlink" xfId="175" builtinId="8" hidden="1"/>
    <cellStyle name="Hyperlink" xfId="179" builtinId="8" hidden="1"/>
    <cellStyle name="Hyperlink" xfId="181" builtinId="8" hidden="1"/>
    <cellStyle name="Hyperlink" xfId="183" builtinId="8" hidden="1"/>
    <cellStyle name="Hyperlink" xfId="187" builtinId="8" hidden="1"/>
    <cellStyle name="Hyperlink" xfId="189" builtinId="8" hidden="1"/>
    <cellStyle name="Hyperlink" xfId="191" builtinId="8" hidden="1"/>
    <cellStyle name="Hyperlink" xfId="195" builtinId="8" hidden="1"/>
    <cellStyle name="Hyperlink" xfId="197" builtinId="8" hidden="1"/>
    <cellStyle name="Hyperlink" xfId="199" builtinId="8" hidden="1"/>
    <cellStyle name="Hyperlink" xfId="203" builtinId="8" hidden="1"/>
    <cellStyle name="Hyperlink" xfId="205" builtinId="8" hidden="1"/>
    <cellStyle name="Hyperlink" xfId="207" builtinId="8" hidden="1"/>
    <cellStyle name="Hyperlink" xfId="211" builtinId="8" hidden="1"/>
    <cellStyle name="Hyperlink" xfId="213" builtinId="8" hidden="1"/>
    <cellStyle name="Hyperlink" xfId="215" builtinId="8" hidden="1"/>
    <cellStyle name="Hyperlink" xfId="219" builtinId="8" hidden="1"/>
    <cellStyle name="Hyperlink" xfId="221" builtinId="8" hidden="1"/>
    <cellStyle name="Hyperlink" xfId="223" builtinId="8" hidden="1"/>
    <cellStyle name="Hyperlink" xfId="227" builtinId="8" hidden="1"/>
    <cellStyle name="Hyperlink" xfId="229" builtinId="8" hidden="1"/>
    <cellStyle name="Hyperlink" xfId="231" builtinId="8" hidden="1"/>
    <cellStyle name="Hyperlink" xfId="235" builtinId="8" hidden="1"/>
    <cellStyle name="Hyperlink" xfId="237" builtinId="8" hidden="1"/>
    <cellStyle name="Hyperlink" xfId="239" builtinId="8" hidden="1"/>
    <cellStyle name="Hyperlink" xfId="243" builtinId="8" hidden="1"/>
    <cellStyle name="Hyperlink" xfId="245" builtinId="8" hidden="1"/>
    <cellStyle name="Hyperlink" xfId="247" builtinId="8" hidden="1"/>
    <cellStyle name="Hyperlink" xfId="251" builtinId="8" hidden="1"/>
    <cellStyle name="Hyperlink" xfId="253" builtinId="8" hidden="1"/>
    <cellStyle name="Hyperlink" xfId="255" builtinId="8" hidden="1"/>
    <cellStyle name="Hyperlink" xfId="259" builtinId="8" hidden="1"/>
    <cellStyle name="Hyperlink" xfId="261" builtinId="8" hidden="1"/>
    <cellStyle name="Hyperlink" xfId="263" builtinId="8" hidden="1"/>
    <cellStyle name="Hyperlink" xfId="267" builtinId="8" hidden="1"/>
    <cellStyle name="Hyperlink" xfId="269" builtinId="8" hidden="1"/>
    <cellStyle name="Hyperlink" xfId="271" builtinId="8" hidden="1"/>
    <cellStyle name="Hyperlink" xfId="275" builtinId="8" hidden="1"/>
    <cellStyle name="Hyperlink" xfId="277" builtinId="8" hidden="1"/>
    <cellStyle name="Hyperlink" xfId="279" builtinId="8" hidden="1"/>
    <cellStyle name="Hyperlink" xfId="283" builtinId="8" hidden="1"/>
    <cellStyle name="Hyperlink" xfId="285" builtinId="8" hidden="1"/>
    <cellStyle name="Hyperlink" xfId="287" builtinId="8" hidden="1"/>
    <cellStyle name="Hyperlink" xfId="291" builtinId="8" hidden="1"/>
    <cellStyle name="Hyperlink" xfId="293" builtinId="8" hidden="1"/>
    <cellStyle name="Hyperlink" xfId="295" builtinId="8" hidden="1"/>
    <cellStyle name="Hyperlink" xfId="299" builtinId="8" hidden="1"/>
    <cellStyle name="Hyperlink" xfId="301" builtinId="8" hidden="1"/>
    <cellStyle name="Hyperlink" xfId="303" builtinId="8" hidden="1"/>
    <cellStyle name="Hyperlink" xfId="307" builtinId="8" hidden="1"/>
    <cellStyle name="Hyperlink" xfId="309" builtinId="8" hidden="1"/>
    <cellStyle name="Hyperlink" xfId="311" builtinId="8" hidden="1"/>
    <cellStyle name="Hyperlink" xfId="315" builtinId="8" hidden="1"/>
    <cellStyle name="Hyperlink" xfId="317" builtinId="8" hidden="1"/>
    <cellStyle name="Hyperlink" xfId="319" builtinId="8" hidden="1"/>
    <cellStyle name="Hyperlink" xfId="323" builtinId="8" hidden="1"/>
    <cellStyle name="Hyperlink" xfId="325" builtinId="8" hidden="1"/>
    <cellStyle name="Hyperlink" xfId="327" builtinId="8" hidden="1"/>
    <cellStyle name="Hyperlink" xfId="331" builtinId="8" hidden="1"/>
    <cellStyle name="Hyperlink" xfId="333" builtinId="8" hidden="1"/>
    <cellStyle name="Hyperlink" xfId="335" builtinId="8" hidden="1"/>
    <cellStyle name="Hyperlink" xfId="329" builtinId="8" hidden="1"/>
    <cellStyle name="Hyperlink" xfId="321" builtinId="8" hidden="1"/>
    <cellStyle name="Hyperlink" xfId="313" builtinId="8" hidden="1"/>
    <cellStyle name="Hyperlink" xfId="305" builtinId="8" hidden="1"/>
    <cellStyle name="Hyperlink" xfId="297" builtinId="8" hidden="1"/>
    <cellStyle name="Hyperlink" xfId="289" builtinId="8" hidden="1"/>
    <cellStyle name="Hyperlink" xfId="281" builtinId="8" hidden="1"/>
    <cellStyle name="Hyperlink" xfId="273" builtinId="8" hidden="1"/>
    <cellStyle name="Hyperlink" xfId="265" builtinId="8" hidden="1"/>
    <cellStyle name="Hyperlink" xfId="257" builtinId="8" hidden="1"/>
    <cellStyle name="Hyperlink" xfId="249" builtinId="8" hidden="1"/>
    <cellStyle name="Hyperlink" xfId="241" builtinId="8" hidden="1"/>
    <cellStyle name="Hyperlink" xfId="233" builtinId="8" hidden="1"/>
    <cellStyle name="Hyperlink" xfId="225" builtinId="8" hidden="1"/>
    <cellStyle name="Hyperlink" xfId="217" builtinId="8" hidden="1"/>
    <cellStyle name="Hyperlink" xfId="209" builtinId="8" hidden="1"/>
    <cellStyle name="Hyperlink" xfId="201" builtinId="8" hidden="1"/>
    <cellStyle name="Hyperlink" xfId="193" builtinId="8" hidden="1"/>
    <cellStyle name="Hyperlink" xfId="185" builtinId="8" hidden="1"/>
    <cellStyle name="Hyperlink" xfId="177" builtinId="8" hidden="1"/>
    <cellStyle name="Hyperlink" xfId="169" builtinId="8" hidden="1"/>
    <cellStyle name="Hyperlink" xfId="161" builtinId="8" hidden="1"/>
    <cellStyle name="Hyperlink" xfId="153" builtinId="8" hidden="1"/>
    <cellStyle name="Hyperlink" xfId="145" builtinId="8" hidden="1"/>
    <cellStyle name="Hyperlink" xfId="137" builtinId="8" hidden="1"/>
    <cellStyle name="Hyperlink" xfId="59" builtinId="8" hidden="1"/>
    <cellStyle name="Hyperlink" xfId="61" builtinId="8" hidden="1"/>
    <cellStyle name="Hyperlink" xfId="63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31" builtinId="8" hidden="1"/>
    <cellStyle name="Hyperlink" xfId="133" builtinId="8" hidden="1"/>
    <cellStyle name="Hyperlink" xfId="135" builtinId="8" hidden="1"/>
    <cellStyle name="Hyperlink" xfId="129" builtinId="8" hidden="1"/>
    <cellStyle name="Hyperlink" xfId="113" builtinId="8" hidden="1"/>
    <cellStyle name="Hyperlink" xfId="97" builtinId="8" hidden="1"/>
    <cellStyle name="Hyperlink" xfId="81" builtinId="8" hidden="1"/>
    <cellStyle name="Hyperlink" xfId="65" builtinId="8" hidden="1"/>
    <cellStyle name="Hyperlink" xfId="27" builtinId="8" hidden="1"/>
    <cellStyle name="Hyperlink" xfId="29" builtinId="8" hidden="1"/>
    <cellStyle name="Hyperlink" xfId="31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33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7" builtinId="8" hidden="1"/>
    <cellStyle name="Hyperlink" xfId="9" builtinId="8" hidden="1"/>
    <cellStyle name="Hyperlink" xfId="11" builtinId="8" hidden="1"/>
    <cellStyle name="Hyperlink" xfId="3" builtinId="8" hidden="1"/>
    <cellStyle name="Hyperlink" xfId="5" builtinId="8" hidden="1"/>
    <cellStyle name="Hyperlink" xfId="1" builtinId="8" hidden="1"/>
    <cellStyle name="Normal" xfId="0" builtinId="0"/>
    <cellStyle name="Normal 2" xfId="337" xr:uid="{6C070C3F-CDFF-4F55-9F23-AB232F951E4D}"/>
    <cellStyle name="Normal 3" xfId="338" xr:uid="{F97817AB-6F14-425D-9D55-DFB1A7248A28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109542</xdr:colOff>
      <xdr:row>11</xdr:row>
      <xdr:rowOff>60961</xdr:rowOff>
    </xdr:from>
    <xdr:to>
      <xdr:col>7</xdr:col>
      <xdr:colOff>2187769</xdr:colOff>
      <xdr:row>25</xdr:row>
      <xdr:rowOff>129541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62BEE5A-9F70-4C38-B29B-59FA89B7FD5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832" t="1000"/>
        <a:stretch/>
      </xdr:blipFill>
      <xdr:spPr>
        <a:xfrm>
          <a:off x="6937062" y="2567941"/>
          <a:ext cx="5253862" cy="28422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586740</xdr:colOff>
      <xdr:row>2</xdr:row>
      <xdr:rowOff>0</xdr:rowOff>
    </xdr:from>
    <xdr:to>
      <xdr:col>6</xdr:col>
      <xdr:colOff>668142</xdr:colOff>
      <xdr:row>33</xdr:row>
      <xdr:rowOff>58280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46A18C0-FBAB-412A-B233-26EC0CD4E0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6740" y="396240"/>
          <a:ext cx="4104762" cy="6200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1</xdr:row>
      <xdr:rowOff>59055</xdr:rowOff>
    </xdr:from>
    <xdr:ext cx="7772400" cy="3935392"/>
    <xdr:pic>
      <xdr:nvPicPr>
        <xdr:cNvPr id="2" name="Picture 1">
          <a:extLst>
            <a:ext uri="{FF2B5EF4-FFF2-40B4-BE49-F238E27FC236}">
              <a16:creationId xmlns:a16="http://schemas.microsoft.com/office/drawing/2014/main" id="{3F3AE1F9-C6E2-4DB4-B92A-3BECF3BD03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364575" y="240030"/>
          <a:ext cx="7772400" cy="3935392"/>
        </a:xfrm>
        <a:prstGeom prst="rect">
          <a:avLst/>
        </a:prstGeom>
      </xdr:spPr>
    </xdr:pic>
    <xdr:clientData/>
  </xdr:oneCellAnchor>
  <xdr:oneCellAnchor>
    <xdr:from>
      <xdr:col>12</xdr:col>
      <xdr:colOff>588150</xdr:colOff>
      <xdr:row>24</xdr:row>
      <xdr:rowOff>83325</xdr:rowOff>
    </xdr:from>
    <xdr:ext cx="7772400" cy="3935392"/>
    <xdr:pic>
      <xdr:nvPicPr>
        <xdr:cNvPr id="3" name="Picture 2">
          <a:extLst>
            <a:ext uri="{FF2B5EF4-FFF2-40B4-BE49-F238E27FC236}">
              <a16:creationId xmlns:a16="http://schemas.microsoft.com/office/drawing/2014/main" id="{7981521F-0164-46B4-A6A7-7440C9435E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66925" y="4426725"/>
          <a:ext cx="7772400" cy="3935392"/>
        </a:xfrm>
        <a:prstGeom prst="rect">
          <a:avLst/>
        </a:prstGeom>
      </xdr:spPr>
    </xdr:pic>
    <xdr:clientData/>
  </xdr:oneCellAnchor>
  <xdr:oneCellAnchor>
    <xdr:from>
      <xdr:col>12</xdr:col>
      <xdr:colOff>593370</xdr:colOff>
      <xdr:row>48</xdr:row>
      <xdr:rowOff>12345</xdr:rowOff>
    </xdr:from>
    <xdr:ext cx="7772400" cy="3935392"/>
    <xdr:pic>
      <xdr:nvPicPr>
        <xdr:cNvPr id="4" name="Picture 3">
          <a:extLst>
            <a:ext uri="{FF2B5EF4-FFF2-40B4-BE49-F238E27FC236}">
              <a16:creationId xmlns:a16="http://schemas.microsoft.com/office/drawing/2014/main" id="{A60F0489-DF13-4A52-AF18-28F4F1D14B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72145" y="8699145"/>
          <a:ext cx="7772400" cy="3935392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2</xdr:row>
      <xdr:rowOff>0</xdr:rowOff>
    </xdr:from>
    <xdr:ext cx="7772400" cy="3935392"/>
    <xdr:pic>
      <xdr:nvPicPr>
        <xdr:cNvPr id="2" name="Picture 1">
          <a:extLst>
            <a:ext uri="{FF2B5EF4-FFF2-40B4-BE49-F238E27FC236}">
              <a16:creationId xmlns:a16="http://schemas.microsoft.com/office/drawing/2014/main" id="{8B2B8D1F-CE3C-4450-A8B5-58E39CE0CA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72800" y="381000"/>
          <a:ext cx="7772400" cy="3935392"/>
        </a:xfrm>
        <a:prstGeom prst="rect">
          <a:avLst/>
        </a:prstGeom>
      </xdr:spPr>
    </xdr:pic>
    <xdr:clientData/>
  </xdr:oneCellAnchor>
  <xdr:oneCellAnchor>
    <xdr:from>
      <xdr:col>12</xdr:col>
      <xdr:colOff>578625</xdr:colOff>
      <xdr:row>23</xdr:row>
      <xdr:rowOff>35700</xdr:rowOff>
    </xdr:from>
    <xdr:ext cx="7772400" cy="3935392"/>
    <xdr:pic>
      <xdr:nvPicPr>
        <xdr:cNvPr id="3" name="Picture 2">
          <a:extLst>
            <a:ext uri="{FF2B5EF4-FFF2-40B4-BE49-F238E27FC236}">
              <a16:creationId xmlns:a16="http://schemas.microsoft.com/office/drawing/2014/main" id="{7D554692-6CA3-4890-BF00-015345C974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41825" y="4417200"/>
          <a:ext cx="7772400" cy="3935392"/>
        </a:xfrm>
        <a:prstGeom prst="rect">
          <a:avLst/>
        </a:prstGeom>
      </xdr:spPr>
    </xdr:pic>
    <xdr:clientData/>
  </xdr:oneCellAnchor>
  <xdr:oneCellAnchor>
    <xdr:from>
      <xdr:col>12</xdr:col>
      <xdr:colOff>604800</xdr:colOff>
      <xdr:row>45</xdr:row>
      <xdr:rowOff>157125</xdr:rowOff>
    </xdr:from>
    <xdr:ext cx="7772400" cy="3935392"/>
    <xdr:pic>
      <xdr:nvPicPr>
        <xdr:cNvPr id="4" name="Picture 3">
          <a:extLst>
            <a:ext uri="{FF2B5EF4-FFF2-40B4-BE49-F238E27FC236}">
              <a16:creationId xmlns:a16="http://schemas.microsoft.com/office/drawing/2014/main" id="{36EEEE23-0623-43EE-BE8B-CC1B685DE0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68000" y="8539125"/>
          <a:ext cx="7772400" cy="3935392"/>
        </a:xfrm>
        <a:prstGeom prst="rect">
          <a:avLst/>
        </a:prstGeom>
      </xdr:spPr>
    </xdr:pic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carlo@farmingsmarter.com" TargetMode="External"/><Relationship Id="rId2" Type="http://schemas.openxmlformats.org/officeDocument/2006/relationships/hyperlink" Target="mailto:carlo@farmingsmarter.com" TargetMode="External"/><Relationship Id="rId1" Type="http://schemas.openxmlformats.org/officeDocument/2006/relationships/hyperlink" Target="mailto:carlo@farmingsmarter.com" TargetMode="External"/><Relationship Id="rId6" Type="http://schemas.openxmlformats.org/officeDocument/2006/relationships/hyperlink" Target="mailto:carlo@farmingsmarter.com" TargetMode="External"/><Relationship Id="rId5" Type="http://schemas.openxmlformats.org/officeDocument/2006/relationships/hyperlink" Target="mailto:carlo@farmingsmarter.com" TargetMode="External"/><Relationship Id="rId4" Type="http://schemas.openxmlformats.org/officeDocument/2006/relationships/hyperlink" Target="mailto:carlo@farmingsmarter.com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mailto:carlo@farmingsmarter.com" TargetMode="External"/><Relationship Id="rId2" Type="http://schemas.openxmlformats.org/officeDocument/2006/relationships/hyperlink" Target="mailto:carlo@farmingsmarter.com" TargetMode="External"/><Relationship Id="rId1" Type="http://schemas.openxmlformats.org/officeDocument/2006/relationships/hyperlink" Target="mailto:carlo@farmingsmarter.com" TargetMode="External"/><Relationship Id="rId6" Type="http://schemas.openxmlformats.org/officeDocument/2006/relationships/hyperlink" Target="mailto:carlo@farmingsmarter.com" TargetMode="External"/><Relationship Id="rId5" Type="http://schemas.openxmlformats.org/officeDocument/2006/relationships/hyperlink" Target="mailto:carlo@farmingsmarter.com" TargetMode="External"/><Relationship Id="rId4" Type="http://schemas.openxmlformats.org/officeDocument/2006/relationships/hyperlink" Target="mailto:carlo@farmingsmarter.com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8"/>
  <sheetViews>
    <sheetView topLeftCell="A11" workbookViewId="0">
      <selection activeCell="I15" sqref="I15"/>
    </sheetView>
  </sheetViews>
  <sheetFormatPr defaultColWidth="11" defaultRowHeight="15.6" x14ac:dyDescent="0.3"/>
  <cols>
    <col min="3" max="3" width="20.19921875" customWidth="1"/>
    <col min="5" max="5" width="36.19921875" customWidth="1"/>
    <col min="6" max="6" width="24.09765625" customWidth="1"/>
    <col min="7" max="7" width="17.69921875" customWidth="1"/>
    <col min="8" max="8" width="41.09765625" customWidth="1"/>
  </cols>
  <sheetData>
    <row r="1" spans="1:11" ht="25.8" x14ac:dyDescent="0.5">
      <c r="B1" s="4" t="s">
        <v>149</v>
      </c>
    </row>
    <row r="3" spans="1:11" x14ac:dyDescent="0.3">
      <c r="B3" s="2" t="s">
        <v>2</v>
      </c>
      <c r="C3" s="2" t="s">
        <v>64</v>
      </c>
      <c r="F3" t="s">
        <v>158</v>
      </c>
    </row>
    <row r="4" spans="1:11" x14ac:dyDescent="0.3">
      <c r="B4" s="2" t="s">
        <v>3</v>
      </c>
      <c r="C4" s="2" t="s">
        <v>65</v>
      </c>
      <c r="F4" t="s">
        <v>159</v>
      </c>
      <c r="G4" s="60">
        <v>45071</v>
      </c>
      <c r="H4" t="s">
        <v>160</v>
      </c>
    </row>
    <row r="5" spans="1:11" x14ac:dyDescent="0.3">
      <c r="B5" s="2" t="s">
        <v>4</v>
      </c>
      <c r="C5" s="2" t="s">
        <v>69</v>
      </c>
      <c r="F5" t="s">
        <v>161</v>
      </c>
      <c r="G5" s="60">
        <v>45230</v>
      </c>
      <c r="H5" t="s">
        <v>163</v>
      </c>
    </row>
    <row r="6" spans="1:11" x14ac:dyDescent="0.3">
      <c r="B6" s="2" t="s">
        <v>5</v>
      </c>
      <c r="C6" s="28">
        <v>4</v>
      </c>
      <c r="F6" t="s">
        <v>162</v>
      </c>
      <c r="G6" s="60">
        <v>45245</v>
      </c>
    </row>
    <row r="7" spans="1:11" x14ac:dyDescent="0.3">
      <c r="B7" s="2" t="s">
        <v>68</v>
      </c>
      <c r="C7" s="18">
        <v>27</v>
      </c>
    </row>
    <row r="8" spans="1:11" x14ac:dyDescent="0.3">
      <c r="B8" s="2"/>
      <c r="C8" s="18"/>
    </row>
    <row r="9" spans="1:11" s="35" customFormat="1" x14ac:dyDescent="0.3">
      <c r="A9"/>
      <c r="B9" s="33" t="s">
        <v>84</v>
      </c>
      <c r="C9" s="34"/>
    </row>
    <row r="11" spans="1:11" ht="42.6" customHeight="1" x14ac:dyDescent="0.3">
      <c r="B11" s="22" t="s">
        <v>1</v>
      </c>
      <c r="C11" s="22" t="s">
        <v>22</v>
      </c>
      <c r="D11" s="22" t="s">
        <v>48</v>
      </c>
      <c r="E11" s="19" t="s">
        <v>70</v>
      </c>
      <c r="F11" s="19" t="s">
        <v>66</v>
      </c>
      <c r="G11" s="25"/>
      <c r="H11" s="25"/>
      <c r="I11" s="26"/>
      <c r="J11" s="25"/>
      <c r="K11" s="27"/>
    </row>
    <row r="12" spans="1:11" x14ac:dyDescent="0.3">
      <c r="B12">
        <v>1</v>
      </c>
      <c r="C12" t="s">
        <v>40</v>
      </c>
      <c r="D12">
        <v>1</v>
      </c>
      <c r="E12" t="s">
        <v>0</v>
      </c>
      <c r="I12" s="21"/>
    </row>
    <row r="13" spans="1:11" x14ac:dyDescent="0.3">
      <c r="B13">
        <v>2</v>
      </c>
      <c r="C13" t="s">
        <v>40</v>
      </c>
      <c r="D13">
        <v>2</v>
      </c>
      <c r="E13" t="s">
        <v>53</v>
      </c>
      <c r="I13" s="21"/>
    </row>
    <row r="14" spans="1:11" x14ac:dyDescent="0.3">
      <c r="B14">
        <v>3</v>
      </c>
      <c r="C14" t="s">
        <v>40</v>
      </c>
      <c r="D14">
        <v>3</v>
      </c>
      <c r="E14" t="s">
        <v>51</v>
      </c>
      <c r="I14" s="20"/>
    </row>
    <row r="15" spans="1:11" x14ac:dyDescent="0.3">
      <c r="B15">
        <v>4</v>
      </c>
      <c r="C15" t="s">
        <v>40</v>
      </c>
      <c r="D15">
        <v>4</v>
      </c>
      <c r="E15" t="s">
        <v>52</v>
      </c>
    </row>
    <row r="16" spans="1:11" x14ac:dyDescent="0.3">
      <c r="B16">
        <v>5</v>
      </c>
      <c r="C16" t="s">
        <v>40</v>
      </c>
      <c r="D16">
        <v>5</v>
      </c>
      <c r="E16" t="s">
        <v>54</v>
      </c>
    </row>
    <row r="17" spans="2:6" x14ac:dyDescent="0.3">
      <c r="B17">
        <v>6</v>
      </c>
      <c r="C17" t="s">
        <v>40</v>
      </c>
      <c r="D17">
        <v>6</v>
      </c>
      <c r="E17" t="s">
        <v>55</v>
      </c>
    </row>
    <row r="18" spans="2:6" x14ac:dyDescent="0.3">
      <c r="B18">
        <v>7</v>
      </c>
      <c r="C18" t="s">
        <v>40</v>
      </c>
      <c r="D18">
        <v>7</v>
      </c>
      <c r="E18" t="s">
        <v>56</v>
      </c>
    </row>
    <row r="19" spans="2:6" x14ac:dyDescent="0.3">
      <c r="B19">
        <v>8</v>
      </c>
      <c r="C19" t="s">
        <v>40</v>
      </c>
      <c r="D19">
        <v>8</v>
      </c>
      <c r="E19" t="s">
        <v>57</v>
      </c>
    </row>
    <row r="20" spans="2:6" x14ac:dyDescent="0.3">
      <c r="B20">
        <v>9</v>
      </c>
      <c r="C20" t="s">
        <v>40</v>
      </c>
      <c r="D20">
        <v>9</v>
      </c>
      <c r="E20" t="s">
        <v>58</v>
      </c>
    </row>
    <row r="21" spans="2:6" x14ac:dyDescent="0.3">
      <c r="B21">
        <v>10</v>
      </c>
      <c r="C21" t="s">
        <v>150</v>
      </c>
      <c r="D21">
        <v>1</v>
      </c>
      <c r="E21" t="s">
        <v>0</v>
      </c>
    </row>
    <row r="22" spans="2:6" x14ac:dyDescent="0.3">
      <c r="B22">
        <v>11</v>
      </c>
      <c r="C22" t="s">
        <v>150</v>
      </c>
      <c r="D22">
        <v>2</v>
      </c>
      <c r="E22" t="s">
        <v>53</v>
      </c>
    </row>
    <row r="23" spans="2:6" x14ac:dyDescent="0.3">
      <c r="B23">
        <v>12</v>
      </c>
      <c r="C23" t="s">
        <v>150</v>
      </c>
      <c r="D23">
        <v>3</v>
      </c>
      <c r="E23" t="s">
        <v>51</v>
      </c>
    </row>
    <row r="24" spans="2:6" x14ac:dyDescent="0.3">
      <c r="B24">
        <v>13</v>
      </c>
      <c r="C24" t="s">
        <v>150</v>
      </c>
      <c r="D24">
        <v>4</v>
      </c>
      <c r="E24" t="s">
        <v>52</v>
      </c>
    </row>
    <row r="25" spans="2:6" x14ac:dyDescent="0.3">
      <c r="B25">
        <v>14</v>
      </c>
      <c r="C25" t="s">
        <v>150</v>
      </c>
      <c r="D25">
        <v>5</v>
      </c>
      <c r="E25" t="s">
        <v>54</v>
      </c>
    </row>
    <row r="26" spans="2:6" x14ac:dyDescent="0.3">
      <c r="B26">
        <v>15</v>
      </c>
      <c r="C26" t="s">
        <v>150</v>
      </c>
      <c r="D26">
        <v>6</v>
      </c>
      <c r="E26" t="s">
        <v>55</v>
      </c>
    </row>
    <row r="27" spans="2:6" x14ac:dyDescent="0.3">
      <c r="B27">
        <v>16</v>
      </c>
      <c r="C27" t="s">
        <v>150</v>
      </c>
      <c r="D27">
        <v>7</v>
      </c>
      <c r="E27" t="s">
        <v>56</v>
      </c>
      <c r="F27" s="24" t="s">
        <v>67</v>
      </c>
    </row>
    <row r="28" spans="2:6" x14ac:dyDescent="0.3">
      <c r="B28">
        <v>17</v>
      </c>
      <c r="C28" t="s">
        <v>150</v>
      </c>
      <c r="D28">
        <v>8</v>
      </c>
      <c r="E28" t="s">
        <v>57</v>
      </c>
      <c r="F28" s="23"/>
    </row>
    <row r="29" spans="2:6" x14ac:dyDescent="0.3">
      <c r="B29">
        <v>18</v>
      </c>
      <c r="C29" t="s">
        <v>150</v>
      </c>
      <c r="D29">
        <v>9</v>
      </c>
      <c r="E29" t="s">
        <v>58</v>
      </c>
    </row>
    <row r="30" spans="2:6" x14ac:dyDescent="0.3">
      <c r="B30">
        <v>19</v>
      </c>
      <c r="C30" t="s">
        <v>50</v>
      </c>
      <c r="D30">
        <v>1</v>
      </c>
      <c r="E30" t="s">
        <v>0</v>
      </c>
    </row>
    <row r="31" spans="2:6" x14ac:dyDescent="0.3">
      <c r="B31">
        <v>20</v>
      </c>
      <c r="C31" t="s">
        <v>50</v>
      </c>
      <c r="D31">
        <v>2</v>
      </c>
      <c r="E31" t="s">
        <v>53</v>
      </c>
    </row>
    <row r="32" spans="2:6" x14ac:dyDescent="0.3">
      <c r="B32">
        <v>21</v>
      </c>
      <c r="C32" t="s">
        <v>50</v>
      </c>
      <c r="D32">
        <v>3</v>
      </c>
      <c r="E32" t="s">
        <v>51</v>
      </c>
    </row>
    <row r="33" spans="2:5" x14ac:dyDescent="0.3">
      <c r="B33">
        <v>22</v>
      </c>
      <c r="C33" t="s">
        <v>50</v>
      </c>
      <c r="D33">
        <v>4</v>
      </c>
      <c r="E33" t="s">
        <v>52</v>
      </c>
    </row>
    <row r="34" spans="2:5" x14ac:dyDescent="0.3">
      <c r="B34">
        <v>23</v>
      </c>
      <c r="C34" t="s">
        <v>50</v>
      </c>
      <c r="D34">
        <v>5</v>
      </c>
      <c r="E34" t="s">
        <v>54</v>
      </c>
    </row>
    <row r="35" spans="2:5" x14ac:dyDescent="0.3">
      <c r="B35">
        <v>24</v>
      </c>
      <c r="C35" t="s">
        <v>50</v>
      </c>
      <c r="D35">
        <v>6</v>
      </c>
      <c r="E35" t="s">
        <v>55</v>
      </c>
    </row>
    <row r="36" spans="2:5" x14ac:dyDescent="0.3">
      <c r="B36">
        <v>25</v>
      </c>
      <c r="C36" t="s">
        <v>50</v>
      </c>
      <c r="D36">
        <v>7</v>
      </c>
      <c r="E36" t="s">
        <v>56</v>
      </c>
    </row>
    <row r="37" spans="2:5" x14ac:dyDescent="0.3">
      <c r="B37">
        <v>26</v>
      </c>
      <c r="C37" t="s">
        <v>50</v>
      </c>
      <c r="D37">
        <v>8</v>
      </c>
      <c r="E37" t="s">
        <v>57</v>
      </c>
    </row>
    <row r="38" spans="2:5" x14ac:dyDescent="0.3">
      <c r="B38">
        <v>27</v>
      </c>
      <c r="C38" t="s">
        <v>50</v>
      </c>
      <c r="D38">
        <v>9</v>
      </c>
      <c r="E38" t="s">
        <v>58</v>
      </c>
    </row>
  </sheetData>
  <pageMargins left="0.75" right="0.75" top="1" bottom="1" header="0.5" footer="0.5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FA1D7-13D4-407A-BFEE-28D551B527A7}">
  <dimension ref="H7:H37"/>
  <sheetViews>
    <sheetView workbookViewId="0">
      <selection activeCell="R35" sqref="R35"/>
    </sheetView>
  </sheetViews>
  <sheetFormatPr defaultRowHeight="15.6" x14ac:dyDescent="0.3"/>
  <sheetData>
    <row r="7" spans="8:8" x14ac:dyDescent="0.3">
      <c r="H7" t="s">
        <v>85</v>
      </c>
    </row>
    <row r="12" spans="8:8" x14ac:dyDescent="0.3">
      <c r="H12" s="32" t="s">
        <v>81</v>
      </c>
    </row>
    <row r="19" spans="8:8" x14ac:dyDescent="0.3">
      <c r="H19" t="s">
        <v>82</v>
      </c>
    </row>
    <row r="25" spans="8:8" x14ac:dyDescent="0.3">
      <c r="H25" t="s">
        <v>83</v>
      </c>
    </row>
    <row r="35" spans="8:8" x14ac:dyDescent="0.3">
      <c r="H35" t="s">
        <v>86</v>
      </c>
    </row>
    <row r="37" spans="8:8" x14ac:dyDescent="0.3">
      <c r="H37" t="s">
        <v>118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909B2-5AA2-4102-8328-B854CB827E32}">
  <sheetPr>
    <pageSetUpPr fitToPage="1"/>
  </sheetPr>
  <dimension ref="A1:AB27"/>
  <sheetViews>
    <sheetView zoomScaleNormal="100" workbookViewId="0">
      <selection activeCell="E28" sqref="E28"/>
    </sheetView>
  </sheetViews>
  <sheetFormatPr defaultColWidth="15.69921875" defaultRowHeight="15.6" x14ac:dyDescent="0.3"/>
  <cols>
    <col min="1" max="1" width="33" style="3" customWidth="1"/>
    <col min="2" max="16384" width="15.69921875" style="3"/>
  </cols>
  <sheetData>
    <row r="1" spans="1:28" ht="26.4" thickBot="1" x14ac:dyDescent="0.55000000000000004">
      <c r="B1" s="4" t="s">
        <v>149</v>
      </c>
    </row>
    <row r="2" spans="1:28" s="50" customFormat="1" ht="16.2" thickTop="1" x14ac:dyDescent="0.3">
      <c r="A2" s="56" t="s">
        <v>1</v>
      </c>
      <c r="B2" s="57" t="s">
        <v>142</v>
      </c>
      <c r="C2" s="57" t="s">
        <v>139</v>
      </c>
      <c r="D2" s="57" t="s">
        <v>146</v>
      </c>
      <c r="E2" s="57" t="s">
        <v>144</v>
      </c>
      <c r="F2" s="57" t="s">
        <v>143</v>
      </c>
      <c r="G2" s="57" t="s">
        <v>141</v>
      </c>
      <c r="H2" s="57" t="s">
        <v>138</v>
      </c>
      <c r="I2" s="57" t="s">
        <v>145</v>
      </c>
      <c r="J2" s="57" t="s">
        <v>140</v>
      </c>
      <c r="K2" s="57" t="s">
        <v>126</v>
      </c>
      <c r="L2" s="57" t="s">
        <v>128</v>
      </c>
      <c r="M2" s="57" t="s">
        <v>125</v>
      </c>
      <c r="N2" s="57" t="s">
        <v>123</v>
      </c>
      <c r="O2" s="57" t="s">
        <v>127</v>
      </c>
      <c r="P2" s="57" t="s">
        <v>124</v>
      </c>
      <c r="Q2" s="57" t="s">
        <v>122</v>
      </c>
      <c r="R2" s="57" t="s">
        <v>121</v>
      </c>
      <c r="S2" s="57" t="s">
        <v>120</v>
      </c>
      <c r="T2" s="57" t="s">
        <v>132</v>
      </c>
      <c r="U2" s="57" t="s">
        <v>129</v>
      </c>
      <c r="V2" s="57" t="s">
        <v>135</v>
      </c>
      <c r="W2" s="57" t="s">
        <v>133</v>
      </c>
      <c r="X2" s="57" t="s">
        <v>134</v>
      </c>
      <c r="Y2" s="57" t="s">
        <v>131</v>
      </c>
      <c r="Z2" s="57" t="s">
        <v>130</v>
      </c>
      <c r="AA2" s="57" t="s">
        <v>136</v>
      </c>
      <c r="AB2" s="57" t="s">
        <v>137</v>
      </c>
    </row>
    <row r="3" spans="1:28" x14ac:dyDescent="0.3">
      <c r="A3" s="50" t="s">
        <v>148</v>
      </c>
      <c r="B3" s="48">
        <v>5</v>
      </c>
      <c r="C3" s="48">
        <v>2</v>
      </c>
      <c r="D3" s="48">
        <v>9</v>
      </c>
      <c r="E3" s="48">
        <v>7</v>
      </c>
      <c r="F3" s="48">
        <v>6</v>
      </c>
      <c r="G3" s="48">
        <v>4</v>
      </c>
      <c r="H3" s="48">
        <v>1</v>
      </c>
      <c r="I3" s="48">
        <v>8</v>
      </c>
      <c r="J3" s="48">
        <v>3</v>
      </c>
      <c r="K3" s="48">
        <v>7</v>
      </c>
      <c r="L3" s="48">
        <v>9</v>
      </c>
      <c r="M3" s="48">
        <v>6</v>
      </c>
      <c r="N3" s="48">
        <v>4</v>
      </c>
      <c r="O3" s="48">
        <v>8</v>
      </c>
      <c r="P3" s="48">
        <v>5</v>
      </c>
      <c r="Q3" s="48">
        <v>3</v>
      </c>
      <c r="R3" s="48">
        <v>2</v>
      </c>
      <c r="S3" s="48">
        <v>1</v>
      </c>
      <c r="T3" s="48">
        <v>4</v>
      </c>
      <c r="U3" s="48">
        <v>1</v>
      </c>
      <c r="V3" s="48">
        <v>7</v>
      </c>
      <c r="W3" s="48">
        <v>5</v>
      </c>
      <c r="X3" s="48">
        <v>6</v>
      </c>
      <c r="Y3" s="48">
        <v>3</v>
      </c>
      <c r="Z3" s="48">
        <v>2</v>
      </c>
      <c r="AA3" s="48">
        <v>8</v>
      </c>
      <c r="AB3" s="48">
        <v>9</v>
      </c>
    </row>
    <row r="4" spans="1:28" ht="31.2" x14ac:dyDescent="0.3">
      <c r="A4" s="50" t="s">
        <v>147</v>
      </c>
      <c r="B4" s="49" t="s">
        <v>54</v>
      </c>
      <c r="C4" s="49" t="s">
        <v>53</v>
      </c>
      <c r="D4" s="49" t="s">
        <v>58</v>
      </c>
      <c r="E4" s="49" t="s">
        <v>56</v>
      </c>
      <c r="F4" s="49" t="s">
        <v>55</v>
      </c>
      <c r="G4" s="49" t="s">
        <v>52</v>
      </c>
      <c r="H4" s="49" t="s">
        <v>0</v>
      </c>
      <c r="I4" s="49" t="s">
        <v>57</v>
      </c>
      <c r="J4" s="49" t="s">
        <v>51</v>
      </c>
      <c r="K4" s="49" t="s">
        <v>56</v>
      </c>
      <c r="L4" s="49" t="s">
        <v>58</v>
      </c>
      <c r="M4" s="49" t="s">
        <v>55</v>
      </c>
      <c r="N4" s="49" t="s">
        <v>52</v>
      </c>
      <c r="O4" s="49" t="s">
        <v>57</v>
      </c>
      <c r="P4" s="49" t="s">
        <v>54</v>
      </c>
      <c r="Q4" s="49" t="s">
        <v>51</v>
      </c>
      <c r="R4" s="49" t="s">
        <v>53</v>
      </c>
      <c r="S4" s="49" t="s">
        <v>0</v>
      </c>
      <c r="T4" s="49" t="s">
        <v>52</v>
      </c>
      <c r="U4" s="49" t="s">
        <v>0</v>
      </c>
      <c r="V4" s="49" t="s">
        <v>56</v>
      </c>
      <c r="W4" s="49" t="s">
        <v>54</v>
      </c>
      <c r="X4" s="49" t="s">
        <v>55</v>
      </c>
      <c r="Y4" s="49" t="s">
        <v>51</v>
      </c>
      <c r="Z4" s="49" t="s">
        <v>53</v>
      </c>
      <c r="AA4" s="49" t="s">
        <v>57</v>
      </c>
      <c r="AB4" s="49" t="s">
        <v>58</v>
      </c>
    </row>
    <row r="5" spans="1:28" x14ac:dyDescent="0.3">
      <c r="A5" s="50" t="s">
        <v>22</v>
      </c>
      <c r="B5" s="55" t="s">
        <v>50</v>
      </c>
      <c r="C5" s="55" t="s">
        <v>50</v>
      </c>
      <c r="D5" s="55" t="s">
        <v>50</v>
      </c>
      <c r="E5" s="55" t="s">
        <v>50</v>
      </c>
      <c r="F5" s="55" t="s">
        <v>50</v>
      </c>
      <c r="G5" s="55" t="s">
        <v>50</v>
      </c>
      <c r="H5" s="55" t="s">
        <v>50</v>
      </c>
      <c r="I5" s="55" t="s">
        <v>50</v>
      </c>
      <c r="J5" s="55" t="s">
        <v>50</v>
      </c>
      <c r="K5" s="53" t="s">
        <v>40</v>
      </c>
      <c r="L5" s="53" t="s">
        <v>40</v>
      </c>
      <c r="M5" s="53" t="s">
        <v>40</v>
      </c>
      <c r="N5" s="53" t="s">
        <v>40</v>
      </c>
      <c r="O5" s="53" t="s">
        <v>40</v>
      </c>
      <c r="P5" s="53" t="s">
        <v>40</v>
      </c>
      <c r="Q5" s="53" t="s">
        <v>40</v>
      </c>
      <c r="R5" s="53" t="s">
        <v>40</v>
      </c>
      <c r="S5" s="53" t="s">
        <v>40</v>
      </c>
      <c r="T5" s="54" t="s">
        <v>150</v>
      </c>
      <c r="U5" s="54" t="s">
        <v>150</v>
      </c>
      <c r="V5" s="54" t="s">
        <v>150</v>
      </c>
      <c r="W5" s="54" t="s">
        <v>150</v>
      </c>
      <c r="X5" s="54" t="s">
        <v>150</v>
      </c>
      <c r="Y5" s="54" t="s">
        <v>150</v>
      </c>
      <c r="Z5" s="54" t="s">
        <v>150</v>
      </c>
      <c r="AA5" s="54" t="s">
        <v>150</v>
      </c>
      <c r="AB5" s="54" t="s">
        <v>150</v>
      </c>
    </row>
    <row r="6" spans="1:28" s="50" customFormat="1" ht="16.2" thickBot="1" x14ac:dyDescent="0.35">
      <c r="A6" s="52" t="s">
        <v>119</v>
      </c>
      <c r="B6" s="51">
        <v>401</v>
      </c>
      <c r="C6" s="51">
        <v>402</v>
      </c>
      <c r="D6" s="51">
        <v>403</v>
      </c>
      <c r="E6" s="51">
        <v>404</v>
      </c>
      <c r="F6" s="51">
        <v>405</v>
      </c>
      <c r="G6" s="51">
        <v>406</v>
      </c>
      <c r="H6" s="51">
        <v>407</v>
      </c>
      <c r="I6" s="51">
        <v>408</v>
      </c>
      <c r="J6" s="51">
        <v>409</v>
      </c>
      <c r="K6" s="51">
        <v>410</v>
      </c>
      <c r="L6" s="51">
        <v>411</v>
      </c>
      <c r="M6" s="51">
        <v>412</v>
      </c>
      <c r="N6" s="51">
        <v>413</v>
      </c>
      <c r="O6" s="51">
        <v>414</v>
      </c>
      <c r="P6" s="51">
        <v>415</v>
      </c>
      <c r="Q6" s="51">
        <v>416</v>
      </c>
      <c r="R6" s="51">
        <v>417</v>
      </c>
      <c r="S6" s="51">
        <v>418</v>
      </c>
      <c r="T6" s="51">
        <v>419</v>
      </c>
      <c r="U6" s="51">
        <v>420</v>
      </c>
      <c r="V6" s="51">
        <v>421</v>
      </c>
      <c r="W6" s="51">
        <v>422</v>
      </c>
      <c r="X6" s="51">
        <v>423</v>
      </c>
      <c r="Y6" s="51">
        <v>424</v>
      </c>
      <c r="Z6" s="51">
        <v>425</v>
      </c>
      <c r="AA6" s="51">
        <v>426</v>
      </c>
      <c r="AB6" s="51">
        <v>427</v>
      </c>
    </row>
    <row r="7" spans="1:28" s="1" customFormat="1" ht="16.8" thickTop="1" thickBot="1" x14ac:dyDescent="0.35"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spans="1:28" s="50" customFormat="1" ht="16.2" thickTop="1" x14ac:dyDescent="0.3">
      <c r="A8" s="56" t="s">
        <v>1</v>
      </c>
      <c r="B8" s="57" t="s">
        <v>130</v>
      </c>
      <c r="C8" s="57" t="s">
        <v>134</v>
      </c>
      <c r="D8" s="57" t="s">
        <v>137</v>
      </c>
      <c r="E8" s="57" t="s">
        <v>133</v>
      </c>
      <c r="F8" s="57" t="s">
        <v>129</v>
      </c>
      <c r="G8" s="57" t="s">
        <v>132</v>
      </c>
      <c r="H8" s="57" t="s">
        <v>135</v>
      </c>
      <c r="I8" s="57" t="s">
        <v>136</v>
      </c>
      <c r="J8" s="57" t="s">
        <v>131</v>
      </c>
      <c r="K8" s="57" t="s">
        <v>145</v>
      </c>
      <c r="L8" s="57" t="s">
        <v>138</v>
      </c>
      <c r="M8" s="57" t="s">
        <v>144</v>
      </c>
      <c r="N8" s="57" t="s">
        <v>146</v>
      </c>
      <c r="O8" s="57" t="s">
        <v>139</v>
      </c>
      <c r="P8" s="57" t="s">
        <v>143</v>
      </c>
      <c r="Q8" s="57" t="s">
        <v>140</v>
      </c>
      <c r="R8" s="57" t="s">
        <v>141</v>
      </c>
      <c r="S8" s="57" t="s">
        <v>142</v>
      </c>
      <c r="T8" s="57" t="s">
        <v>125</v>
      </c>
      <c r="U8" s="57" t="s">
        <v>123</v>
      </c>
      <c r="V8" s="57" t="s">
        <v>128</v>
      </c>
      <c r="W8" s="57" t="s">
        <v>122</v>
      </c>
      <c r="X8" s="57" t="s">
        <v>124</v>
      </c>
      <c r="Y8" s="57" t="s">
        <v>120</v>
      </c>
      <c r="Z8" s="57" t="s">
        <v>126</v>
      </c>
      <c r="AA8" s="57" t="s">
        <v>121</v>
      </c>
      <c r="AB8" s="57" t="s">
        <v>127</v>
      </c>
    </row>
    <row r="9" spans="1:28" x14ac:dyDescent="0.3">
      <c r="A9" s="50" t="s">
        <v>148</v>
      </c>
      <c r="B9" s="48">
        <v>2</v>
      </c>
      <c r="C9" s="48">
        <v>6</v>
      </c>
      <c r="D9" s="48">
        <v>9</v>
      </c>
      <c r="E9" s="48">
        <v>5</v>
      </c>
      <c r="F9" s="48">
        <v>1</v>
      </c>
      <c r="G9" s="48">
        <v>4</v>
      </c>
      <c r="H9" s="48">
        <v>7</v>
      </c>
      <c r="I9" s="48">
        <v>8</v>
      </c>
      <c r="J9" s="48">
        <v>3</v>
      </c>
      <c r="K9" s="48">
        <v>8</v>
      </c>
      <c r="L9" s="48">
        <v>1</v>
      </c>
      <c r="M9" s="48">
        <v>7</v>
      </c>
      <c r="N9" s="48">
        <v>9</v>
      </c>
      <c r="O9" s="48">
        <v>2</v>
      </c>
      <c r="P9" s="48">
        <v>6</v>
      </c>
      <c r="Q9" s="48">
        <v>3</v>
      </c>
      <c r="R9" s="48">
        <v>4</v>
      </c>
      <c r="S9" s="48">
        <v>5</v>
      </c>
      <c r="T9" s="48">
        <v>6</v>
      </c>
      <c r="U9" s="48">
        <v>4</v>
      </c>
      <c r="V9" s="48">
        <v>9</v>
      </c>
      <c r="W9" s="48">
        <v>3</v>
      </c>
      <c r="X9" s="48">
        <v>5</v>
      </c>
      <c r="Y9" s="48">
        <v>1</v>
      </c>
      <c r="Z9" s="48">
        <v>7</v>
      </c>
      <c r="AA9" s="48">
        <v>2</v>
      </c>
      <c r="AB9" s="48">
        <v>8</v>
      </c>
    </row>
    <row r="10" spans="1:28" ht="31.2" x14ac:dyDescent="0.3">
      <c r="A10" s="50" t="s">
        <v>147</v>
      </c>
      <c r="B10" s="49" t="s">
        <v>53</v>
      </c>
      <c r="C10" s="49" t="s">
        <v>55</v>
      </c>
      <c r="D10" s="49" t="s">
        <v>58</v>
      </c>
      <c r="E10" s="49" t="s">
        <v>54</v>
      </c>
      <c r="F10" s="49" t="s">
        <v>0</v>
      </c>
      <c r="G10" s="49" t="s">
        <v>52</v>
      </c>
      <c r="H10" s="49" t="s">
        <v>56</v>
      </c>
      <c r="I10" s="49" t="s">
        <v>57</v>
      </c>
      <c r="J10" s="49" t="s">
        <v>51</v>
      </c>
      <c r="K10" s="49" t="s">
        <v>57</v>
      </c>
      <c r="L10" s="49" t="s">
        <v>0</v>
      </c>
      <c r="M10" s="49" t="s">
        <v>56</v>
      </c>
      <c r="N10" s="49" t="s">
        <v>58</v>
      </c>
      <c r="O10" s="49" t="s">
        <v>53</v>
      </c>
      <c r="P10" s="49" t="s">
        <v>55</v>
      </c>
      <c r="Q10" s="49" t="s">
        <v>51</v>
      </c>
      <c r="R10" s="49" t="s">
        <v>52</v>
      </c>
      <c r="S10" s="49" t="s">
        <v>54</v>
      </c>
      <c r="T10" s="49" t="s">
        <v>55</v>
      </c>
      <c r="U10" s="49" t="s">
        <v>52</v>
      </c>
      <c r="V10" s="49" t="s">
        <v>58</v>
      </c>
      <c r="W10" s="49" t="s">
        <v>51</v>
      </c>
      <c r="X10" s="49" t="s">
        <v>54</v>
      </c>
      <c r="Y10" s="49" t="s">
        <v>0</v>
      </c>
      <c r="Z10" s="49" t="s">
        <v>56</v>
      </c>
      <c r="AA10" s="49" t="s">
        <v>53</v>
      </c>
      <c r="AB10" s="49" t="s">
        <v>57</v>
      </c>
    </row>
    <row r="11" spans="1:28" x14ac:dyDescent="0.3">
      <c r="A11" s="50" t="s">
        <v>22</v>
      </c>
      <c r="B11" s="54" t="s">
        <v>150</v>
      </c>
      <c r="C11" s="54" t="s">
        <v>150</v>
      </c>
      <c r="D11" s="54" t="s">
        <v>150</v>
      </c>
      <c r="E11" s="54" t="s">
        <v>150</v>
      </c>
      <c r="F11" s="54" t="s">
        <v>150</v>
      </c>
      <c r="G11" s="54" t="s">
        <v>150</v>
      </c>
      <c r="H11" s="54" t="s">
        <v>150</v>
      </c>
      <c r="I11" s="54" t="s">
        <v>150</v>
      </c>
      <c r="J11" s="54" t="s">
        <v>150</v>
      </c>
      <c r="K11" s="55" t="s">
        <v>50</v>
      </c>
      <c r="L11" s="55" t="s">
        <v>50</v>
      </c>
      <c r="M11" s="55" t="s">
        <v>50</v>
      </c>
      <c r="N11" s="55" t="s">
        <v>50</v>
      </c>
      <c r="O11" s="55" t="s">
        <v>50</v>
      </c>
      <c r="P11" s="55" t="s">
        <v>50</v>
      </c>
      <c r="Q11" s="55" t="s">
        <v>50</v>
      </c>
      <c r="R11" s="55" t="s">
        <v>50</v>
      </c>
      <c r="S11" s="55" t="s">
        <v>50</v>
      </c>
      <c r="T11" s="53" t="s">
        <v>40</v>
      </c>
      <c r="U11" s="53" t="s">
        <v>40</v>
      </c>
      <c r="V11" s="53" t="s">
        <v>40</v>
      </c>
      <c r="W11" s="53" t="s">
        <v>40</v>
      </c>
      <c r="X11" s="53" t="s">
        <v>40</v>
      </c>
      <c r="Y11" s="53" t="s">
        <v>40</v>
      </c>
      <c r="Z11" s="53" t="s">
        <v>40</v>
      </c>
      <c r="AA11" s="53" t="s">
        <v>40</v>
      </c>
      <c r="AB11" s="53" t="s">
        <v>40</v>
      </c>
    </row>
    <row r="12" spans="1:28" s="50" customFormat="1" ht="16.2" thickBot="1" x14ac:dyDescent="0.35">
      <c r="A12" s="52" t="s">
        <v>119</v>
      </c>
      <c r="B12" s="51">
        <v>301</v>
      </c>
      <c r="C12" s="51">
        <v>302</v>
      </c>
      <c r="D12" s="51">
        <v>303</v>
      </c>
      <c r="E12" s="51">
        <v>304</v>
      </c>
      <c r="F12" s="51">
        <v>305</v>
      </c>
      <c r="G12" s="51">
        <v>306</v>
      </c>
      <c r="H12" s="51">
        <v>307</v>
      </c>
      <c r="I12" s="51">
        <v>308</v>
      </c>
      <c r="J12" s="51">
        <v>309</v>
      </c>
      <c r="K12" s="51">
        <v>310</v>
      </c>
      <c r="L12" s="51">
        <v>311</v>
      </c>
      <c r="M12" s="51">
        <v>312</v>
      </c>
      <c r="N12" s="51">
        <v>313</v>
      </c>
      <c r="O12" s="51">
        <v>314</v>
      </c>
      <c r="P12" s="51">
        <v>315</v>
      </c>
      <c r="Q12" s="51">
        <v>316</v>
      </c>
      <c r="R12" s="51">
        <v>317</v>
      </c>
      <c r="S12" s="51">
        <v>318</v>
      </c>
      <c r="T12" s="51">
        <v>319</v>
      </c>
      <c r="U12" s="51">
        <v>320</v>
      </c>
      <c r="V12" s="51">
        <v>321</v>
      </c>
      <c r="W12" s="51">
        <v>322</v>
      </c>
      <c r="X12" s="51">
        <v>323</v>
      </c>
      <c r="Y12" s="51">
        <v>324</v>
      </c>
      <c r="Z12" s="51">
        <v>325</v>
      </c>
      <c r="AA12" s="51">
        <v>326</v>
      </c>
      <c r="AB12" s="51">
        <v>327</v>
      </c>
    </row>
    <row r="13" spans="1:28" s="1" customFormat="1" ht="16.8" thickTop="1" thickBot="1" x14ac:dyDescent="0.35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spans="1:28" s="50" customFormat="1" ht="16.2" thickTop="1" x14ac:dyDescent="0.3">
      <c r="A14" s="56" t="s">
        <v>1</v>
      </c>
      <c r="B14" s="57" t="s">
        <v>146</v>
      </c>
      <c r="C14" s="57" t="s">
        <v>145</v>
      </c>
      <c r="D14" s="57" t="s">
        <v>143</v>
      </c>
      <c r="E14" s="57" t="s">
        <v>141</v>
      </c>
      <c r="F14" s="57" t="s">
        <v>138</v>
      </c>
      <c r="G14" s="57" t="s">
        <v>144</v>
      </c>
      <c r="H14" s="57" t="s">
        <v>142</v>
      </c>
      <c r="I14" s="57" t="s">
        <v>140</v>
      </c>
      <c r="J14" s="57" t="s">
        <v>139</v>
      </c>
      <c r="K14" s="57" t="s">
        <v>127</v>
      </c>
      <c r="L14" s="57" t="s">
        <v>120</v>
      </c>
      <c r="M14" s="57" t="s">
        <v>121</v>
      </c>
      <c r="N14" s="57" t="s">
        <v>125</v>
      </c>
      <c r="O14" s="57" t="s">
        <v>128</v>
      </c>
      <c r="P14" s="57" t="s">
        <v>123</v>
      </c>
      <c r="Q14" s="57" t="s">
        <v>124</v>
      </c>
      <c r="R14" s="57" t="s">
        <v>122</v>
      </c>
      <c r="S14" s="57" t="s">
        <v>126</v>
      </c>
      <c r="T14" s="57" t="s">
        <v>131</v>
      </c>
      <c r="U14" s="57" t="s">
        <v>130</v>
      </c>
      <c r="V14" s="57" t="s">
        <v>137</v>
      </c>
      <c r="W14" s="57" t="s">
        <v>132</v>
      </c>
      <c r="X14" s="57" t="s">
        <v>133</v>
      </c>
      <c r="Y14" s="57" t="s">
        <v>135</v>
      </c>
      <c r="Z14" s="57" t="s">
        <v>134</v>
      </c>
      <c r="AA14" s="57" t="s">
        <v>129</v>
      </c>
      <c r="AB14" s="57" t="s">
        <v>136</v>
      </c>
    </row>
    <row r="15" spans="1:28" x14ac:dyDescent="0.3">
      <c r="A15" s="50" t="s">
        <v>148</v>
      </c>
      <c r="B15" s="48">
        <v>9</v>
      </c>
      <c r="C15" s="48">
        <v>8</v>
      </c>
      <c r="D15" s="48">
        <v>6</v>
      </c>
      <c r="E15" s="48">
        <v>4</v>
      </c>
      <c r="F15" s="48">
        <v>1</v>
      </c>
      <c r="G15" s="48">
        <v>7</v>
      </c>
      <c r="H15" s="48">
        <v>5</v>
      </c>
      <c r="I15" s="48">
        <v>3</v>
      </c>
      <c r="J15" s="48">
        <v>2</v>
      </c>
      <c r="K15" s="48">
        <v>8</v>
      </c>
      <c r="L15" s="48">
        <v>1</v>
      </c>
      <c r="M15" s="48">
        <v>2</v>
      </c>
      <c r="N15" s="48">
        <v>6</v>
      </c>
      <c r="O15" s="48">
        <v>9</v>
      </c>
      <c r="P15" s="48">
        <v>4</v>
      </c>
      <c r="Q15" s="48">
        <v>5</v>
      </c>
      <c r="R15" s="48">
        <v>3</v>
      </c>
      <c r="S15" s="48">
        <v>7</v>
      </c>
      <c r="T15" s="48">
        <v>3</v>
      </c>
      <c r="U15" s="48">
        <v>2</v>
      </c>
      <c r="V15" s="48">
        <v>9</v>
      </c>
      <c r="W15" s="48">
        <v>4</v>
      </c>
      <c r="X15" s="48">
        <v>5</v>
      </c>
      <c r="Y15" s="48">
        <v>7</v>
      </c>
      <c r="Z15" s="48">
        <v>6</v>
      </c>
      <c r="AA15" s="48">
        <v>1</v>
      </c>
      <c r="AB15" s="48">
        <v>8</v>
      </c>
    </row>
    <row r="16" spans="1:28" ht="31.2" x14ac:dyDescent="0.3">
      <c r="A16" s="50" t="s">
        <v>147</v>
      </c>
      <c r="B16" s="49" t="s">
        <v>58</v>
      </c>
      <c r="C16" s="49" t="s">
        <v>57</v>
      </c>
      <c r="D16" s="49" t="s">
        <v>55</v>
      </c>
      <c r="E16" s="49" t="s">
        <v>52</v>
      </c>
      <c r="F16" s="49" t="s">
        <v>0</v>
      </c>
      <c r="G16" s="49" t="s">
        <v>56</v>
      </c>
      <c r="H16" s="49" t="s">
        <v>54</v>
      </c>
      <c r="I16" s="49" t="s">
        <v>51</v>
      </c>
      <c r="J16" s="49" t="s">
        <v>53</v>
      </c>
      <c r="K16" s="49" t="s">
        <v>57</v>
      </c>
      <c r="L16" s="49" t="s">
        <v>0</v>
      </c>
      <c r="M16" s="49" t="s">
        <v>53</v>
      </c>
      <c r="N16" s="49" t="s">
        <v>55</v>
      </c>
      <c r="O16" s="49" t="s">
        <v>58</v>
      </c>
      <c r="P16" s="49" t="s">
        <v>52</v>
      </c>
      <c r="Q16" s="49" t="s">
        <v>54</v>
      </c>
      <c r="R16" s="49" t="s">
        <v>51</v>
      </c>
      <c r="S16" s="49" t="s">
        <v>56</v>
      </c>
      <c r="T16" s="49" t="s">
        <v>51</v>
      </c>
      <c r="U16" s="49" t="s">
        <v>53</v>
      </c>
      <c r="V16" s="49" t="s">
        <v>58</v>
      </c>
      <c r="W16" s="49" t="s">
        <v>52</v>
      </c>
      <c r="X16" s="49" t="s">
        <v>54</v>
      </c>
      <c r="Y16" s="49" t="s">
        <v>56</v>
      </c>
      <c r="Z16" s="49" t="s">
        <v>55</v>
      </c>
      <c r="AA16" s="49" t="s">
        <v>0</v>
      </c>
      <c r="AB16" s="49" t="s">
        <v>57</v>
      </c>
    </row>
    <row r="17" spans="1:28" x14ac:dyDescent="0.3">
      <c r="A17" s="50" t="s">
        <v>22</v>
      </c>
      <c r="B17" s="55" t="s">
        <v>50</v>
      </c>
      <c r="C17" s="55" t="s">
        <v>50</v>
      </c>
      <c r="D17" s="55" t="s">
        <v>50</v>
      </c>
      <c r="E17" s="55" t="s">
        <v>50</v>
      </c>
      <c r="F17" s="55" t="s">
        <v>50</v>
      </c>
      <c r="G17" s="55" t="s">
        <v>50</v>
      </c>
      <c r="H17" s="55" t="s">
        <v>50</v>
      </c>
      <c r="I17" s="55" t="s">
        <v>50</v>
      </c>
      <c r="J17" s="55" t="s">
        <v>50</v>
      </c>
      <c r="K17" s="53" t="s">
        <v>40</v>
      </c>
      <c r="L17" s="53" t="s">
        <v>40</v>
      </c>
      <c r="M17" s="53" t="s">
        <v>40</v>
      </c>
      <c r="N17" s="53" t="s">
        <v>40</v>
      </c>
      <c r="O17" s="53" t="s">
        <v>40</v>
      </c>
      <c r="P17" s="53" t="s">
        <v>40</v>
      </c>
      <c r="Q17" s="53" t="s">
        <v>40</v>
      </c>
      <c r="R17" s="53" t="s">
        <v>40</v>
      </c>
      <c r="S17" s="53" t="s">
        <v>40</v>
      </c>
      <c r="T17" s="54" t="s">
        <v>150</v>
      </c>
      <c r="U17" s="54" t="s">
        <v>150</v>
      </c>
      <c r="V17" s="54" t="s">
        <v>150</v>
      </c>
      <c r="W17" s="54" t="s">
        <v>150</v>
      </c>
      <c r="X17" s="54" t="s">
        <v>150</v>
      </c>
      <c r="Y17" s="54" t="s">
        <v>150</v>
      </c>
      <c r="Z17" s="54" t="s">
        <v>150</v>
      </c>
      <c r="AA17" s="54" t="s">
        <v>150</v>
      </c>
      <c r="AB17" s="54" t="s">
        <v>150</v>
      </c>
    </row>
    <row r="18" spans="1:28" s="50" customFormat="1" ht="16.2" thickBot="1" x14ac:dyDescent="0.35">
      <c r="A18" s="52" t="s">
        <v>119</v>
      </c>
      <c r="B18" s="51">
        <v>201</v>
      </c>
      <c r="C18" s="51">
        <v>202</v>
      </c>
      <c r="D18" s="51">
        <v>203</v>
      </c>
      <c r="E18" s="51">
        <v>204</v>
      </c>
      <c r="F18" s="51">
        <v>205</v>
      </c>
      <c r="G18" s="51">
        <v>206</v>
      </c>
      <c r="H18" s="51">
        <v>207</v>
      </c>
      <c r="I18" s="51">
        <v>208</v>
      </c>
      <c r="J18" s="51">
        <v>209</v>
      </c>
      <c r="K18" s="51">
        <v>210</v>
      </c>
      <c r="L18" s="51">
        <v>211</v>
      </c>
      <c r="M18" s="51">
        <v>212</v>
      </c>
      <c r="N18" s="51">
        <v>213</v>
      </c>
      <c r="O18" s="51">
        <v>214</v>
      </c>
      <c r="P18" s="51">
        <v>215</v>
      </c>
      <c r="Q18" s="51">
        <v>216</v>
      </c>
      <c r="R18" s="51">
        <v>217</v>
      </c>
      <c r="S18" s="51">
        <v>218</v>
      </c>
      <c r="T18" s="51">
        <v>219</v>
      </c>
      <c r="U18" s="51">
        <v>220</v>
      </c>
      <c r="V18" s="51">
        <v>221</v>
      </c>
      <c r="W18" s="51">
        <v>222</v>
      </c>
      <c r="X18" s="51">
        <v>223</v>
      </c>
      <c r="Y18" s="51">
        <v>224</v>
      </c>
      <c r="Z18" s="51">
        <v>225</v>
      </c>
      <c r="AA18" s="51">
        <v>226</v>
      </c>
      <c r="AB18" s="51">
        <v>227</v>
      </c>
    </row>
    <row r="19" spans="1:28" s="1" customFormat="1" ht="16.8" thickTop="1" thickBot="1" x14ac:dyDescent="0.35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1:28" s="50" customFormat="1" ht="16.2" thickTop="1" x14ac:dyDescent="0.3">
      <c r="A20" s="56" t="s">
        <v>1</v>
      </c>
      <c r="B20" s="57" t="s">
        <v>120</v>
      </c>
      <c r="C20" s="57" t="s">
        <v>121</v>
      </c>
      <c r="D20" s="57" t="s">
        <v>122</v>
      </c>
      <c r="E20" s="57" t="s">
        <v>123</v>
      </c>
      <c r="F20" s="57" t="s">
        <v>124</v>
      </c>
      <c r="G20" s="57" t="s">
        <v>125</v>
      </c>
      <c r="H20" s="57" t="s">
        <v>126</v>
      </c>
      <c r="I20" s="57" t="s">
        <v>127</v>
      </c>
      <c r="J20" s="57" t="s">
        <v>128</v>
      </c>
      <c r="K20" s="57" t="s">
        <v>129</v>
      </c>
      <c r="L20" s="57" t="s">
        <v>130</v>
      </c>
      <c r="M20" s="57" t="s">
        <v>131</v>
      </c>
      <c r="N20" s="57" t="s">
        <v>132</v>
      </c>
      <c r="O20" s="57" t="s">
        <v>133</v>
      </c>
      <c r="P20" s="57" t="s">
        <v>134</v>
      </c>
      <c r="Q20" s="57" t="s">
        <v>135</v>
      </c>
      <c r="R20" s="57" t="s">
        <v>136</v>
      </c>
      <c r="S20" s="57" t="s">
        <v>137</v>
      </c>
      <c r="T20" s="57" t="s">
        <v>138</v>
      </c>
      <c r="U20" s="57" t="s">
        <v>139</v>
      </c>
      <c r="V20" s="57" t="s">
        <v>140</v>
      </c>
      <c r="W20" s="57" t="s">
        <v>141</v>
      </c>
      <c r="X20" s="57" t="s">
        <v>142</v>
      </c>
      <c r="Y20" s="57" t="s">
        <v>143</v>
      </c>
      <c r="Z20" s="57" t="s">
        <v>144</v>
      </c>
      <c r="AA20" s="57" t="s">
        <v>145</v>
      </c>
      <c r="AB20" s="57" t="s">
        <v>146</v>
      </c>
    </row>
    <row r="21" spans="1:28" ht="21.6" customHeight="1" x14ac:dyDescent="0.3">
      <c r="A21" s="50" t="s">
        <v>148</v>
      </c>
      <c r="B21" s="48">
        <v>1</v>
      </c>
      <c r="C21" s="48">
        <v>2</v>
      </c>
      <c r="D21" s="48">
        <v>3</v>
      </c>
      <c r="E21" s="48">
        <v>4</v>
      </c>
      <c r="F21" s="48">
        <v>5</v>
      </c>
      <c r="G21" s="48">
        <v>6</v>
      </c>
      <c r="H21" s="48">
        <v>7</v>
      </c>
      <c r="I21" s="48">
        <v>8</v>
      </c>
      <c r="J21" s="48">
        <v>9</v>
      </c>
      <c r="K21" s="48">
        <v>1</v>
      </c>
      <c r="L21" s="48">
        <v>2</v>
      </c>
      <c r="M21" s="48">
        <v>3</v>
      </c>
      <c r="N21" s="48">
        <v>4</v>
      </c>
      <c r="O21" s="48">
        <v>5</v>
      </c>
      <c r="P21" s="48">
        <v>6</v>
      </c>
      <c r="Q21" s="48">
        <v>7</v>
      </c>
      <c r="R21" s="48">
        <v>8</v>
      </c>
      <c r="S21" s="48">
        <v>9</v>
      </c>
      <c r="T21" s="48">
        <v>1</v>
      </c>
      <c r="U21" s="48">
        <v>2</v>
      </c>
      <c r="V21" s="48">
        <v>3</v>
      </c>
      <c r="W21" s="48">
        <v>4</v>
      </c>
      <c r="X21" s="48">
        <v>5</v>
      </c>
      <c r="Y21" s="48">
        <v>6</v>
      </c>
      <c r="Z21" s="48">
        <v>7</v>
      </c>
      <c r="AA21" s="48">
        <v>8</v>
      </c>
      <c r="AB21" s="48">
        <v>9</v>
      </c>
    </row>
    <row r="22" spans="1:28" ht="33.6" customHeight="1" x14ac:dyDescent="0.3">
      <c r="A22" s="50" t="s">
        <v>147</v>
      </c>
      <c r="B22" s="49" t="s">
        <v>0</v>
      </c>
      <c r="C22" s="49" t="s">
        <v>53</v>
      </c>
      <c r="D22" s="49" t="s">
        <v>51</v>
      </c>
      <c r="E22" s="49" t="s">
        <v>52</v>
      </c>
      <c r="F22" s="49" t="s">
        <v>54</v>
      </c>
      <c r="G22" s="49" t="s">
        <v>55</v>
      </c>
      <c r="H22" s="49" t="s">
        <v>56</v>
      </c>
      <c r="I22" s="49" t="s">
        <v>57</v>
      </c>
      <c r="J22" s="49" t="s">
        <v>58</v>
      </c>
      <c r="K22" s="49" t="s">
        <v>0</v>
      </c>
      <c r="L22" s="49" t="s">
        <v>53</v>
      </c>
      <c r="M22" s="49" t="s">
        <v>51</v>
      </c>
      <c r="N22" s="49" t="s">
        <v>52</v>
      </c>
      <c r="O22" s="49" t="s">
        <v>54</v>
      </c>
      <c r="P22" s="49" t="s">
        <v>55</v>
      </c>
      <c r="Q22" s="49" t="s">
        <v>56</v>
      </c>
      <c r="R22" s="49" t="s">
        <v>57</v>
      </c>
      <c r="S22" s="49" t="s">
        <v>58</v>
      </c>
      <c r="T22" s="49" t="s">
        <v>0</v>
      </c>
      <c r="U22" s="49" t="s">
        <v>53</v>
      </c>
      <c r="V22" s="49" t="s">
        <v>51</v>
      </c>
      <c r="W22" s="49" t="s">
        <v>52</v>
      </c>
      <c r="X22" s="49" t="s">
        <v>54</v>
      </c>
      <c r="Y22" s="49" t="s">
        <v>55</v>
      </c>
      <c r="Z22" s="49" t="s">
        <v>56</v>
      </c>
      <c r="AA22" s="49" t="s">
        <v>57</v>
      </c>
      <c r="AB22" s="49" t="s">
        <v>58</v>
      </c>
    </row>
    <row r="23" spans="1:28" x14ac:dyDescent="0.3">
      <c r="A23" s="50" t="s">
        <v>22</v>
      </c>
      <c r="B23" s="53" t="s">
        <v>40</v>
      </c>
      <c r="C23" s="53" t="s">
        <v>40</v>
      </c>
      <c r="D23" s="53" t="s">
        <v>40</v>
      </c>
      <c r="E23" s="53" t="s">
        <v>40</v>
      </c>
      <c r="F23" s="53" t="s">
        <v>40</v>
      </c>
      <c r="G23" s="53" t="s">
        <v>40</v>
      </c>
      <c r="H23" s="53" t="s">
        <v>40</v>
      </c>
      <c r="I23" s="53" t="s">
        <v>40</v>
      </c>
      <c r="J23" s="53" t="s">
        <v>40</v>
      </c>
      <c r="K23" s="54" t="s">
        <v>150</v>
      </c>
      <c r="L23" s="54" t="s">
        <v>150</v>
      </c>
      <c r="M23" s="54" t="s">
        <v>150</v>
      </c>
      <c r="N23" s="54" t="s">
        <v>150</v>
      </c>
      <c r="O23" s="54" t="s">
        <v>150</v>
      </c>
      <c r="P23" s="54" t="s">
        <v>150</v>
      </c>
      <c r="Q23" s="54" t="s">
        <v>150</v>
      </c>
      <c r="R23" s="54" t="s">
        <v>150</v>
      </c>
      <c r="S23" s="54" t="s">
        <v>150</v>
      </c>
      <c r="T23" s="55" t="s">
        <v>50</v>
      </c>
      <c r="U23" s="55" t="s">
        <v>50</v>
      </c>
      <c r="V23" s="55" t="s">
        <v>50</v>
      </c>
      <c r="W23" s="55" t="s">
        <v>50</v>
      </c>
      <c r="X23" s="55" t="s">
        <v>50</v>
      </c>
      <c r="Y23" s="55" t="s">
        <v>50</v>
      </c>
      <c r="Z23" s="55" t="s">
        <v>50</v>
      </c>
      <c r="AA23" s="55" t="s">
        <v>50</v>
      </c>
      <c r="AB23" s="55" t="s">
        <v>50</v>
      </c>
    </row>
    <row r="24" spans="1:28" s="50" customFormat="1" ht="16.2" thickBot="1" x14ac:dyDescent="0.35">
      <c r="A24" s="52" t="s">
        <v>119</v>
      </c>
      <c r="B24" s="51">
        <v>101</v>
      </c>
      <c r="C24" s="51">
        <v>102</v>
      </c>
      <c r="D24" s="51">
        <v>103</v>
      </c>
      <c r="E24" s="51">
        <v>104</v>
      </c>
      <c r="F24" s="51">
        <v>105</v>
      </c>
      <c r="G24" s="51">
        <v>106</v>
      </c>
      <c r="H24" s="51">
        <v>107</v>
      </c>
      <c r="I24" s="51">
        <v>108</v>
      </c>
      <c r="J24" s="51">
        <v>109</v>
      </c>
      <c r="K24" s="51">
        <v>110</v>
      </c>
      <c r="L24" s="51">
        <v>111</v>
      </c>
      <c r="M24" s="51">
        <v>112</v>
      </c>
      <c r="N24" s="51">
        <v>113</v>
      </c>
      <c r="O24" s="51">
        <v>114</v>
      </c>
      <c r="P24" s="51">
        <v>115</v>
      </c>
      <c r="Q24" s="51">
        <v>116</v>
      </c>
      <c r="R24" s="51">
        <v>117</v>
      </c>
      <c r="S24" s="51">
        <v>118</v>
      </c>
      <c r="T24" s="51">
        <v>119</v>
      </c>
      <c r="U24" s="51">
        <v>120</v>
      </c>
      <c r="V24" s="51">
        <v>121</v>
      </c>
      <c r="W24" s="51">
        <v>122</v>
      </c>
      <c r="X24" s="51">
        <v>123</v>
      </c>
      <c r="Y24" s="51">
        <v>124</v>
      </c>
      <c r="Z24" s="51">
        <v>125</v>
      </c>
      <c r="AA24" s="51">
        <v>126</v>
      </c>
      <c r="AB24" s="51">
        <v>127</v>
      </c>
    </row>
    <row r="25" spans="1:28" s="1" customFormat="1" ht="16.2" thickTop="1" x14ac:dyDescent="0.3"/>
    <row r="26" spans="1:28" x14ac:dyDescent="0.3">
      <c r="A26" s="1"/>
    </row>
    <row r="27" spans="1:28" x14ac:dyDescent="0.3">
      <c r="A27" s="47"/>
    </row>
  </sheetData>
  <pageMargins left="0.7" right="0.7" top="0.75" bottom="0.75" header="0.3" footer="0.3"/>
  <pageSetup paperSize="3" scale="81" fitToWidth="2" fitToHeight="0" orientation="landscape" verticalDpi="598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C74E2-A8C4-7C4B-9EAC-158A06EB245F}">
  <dimension ref="A1:E109"/>
  <sheetViews>
    <sheetView zoomScaleNormal="60" zoomScaleSheetLayoutView="100" workbookViewId="0">
      <selection activeCell="G26" sqref="G26"/>
    </sheetView>
  </sheetViews>
  <sheetFormatPr defaultRowHeight="15.6" x14ac:dyDescent="0.3"/>
  <cols>
    <col min="2" max="2" width="6.3984375" customWidth="1"/>
    <col min="3" max="3" width="6.69921875" customWidth="1"/>
    <col min="4" max="5" width="5.8984375" customWidth="1"/>
  </cols>
  <sheetData>
    <row r="1" spans="1:5" x14ac:dyDescent="0.3">
      <c r="A1" t="s">
        <v>164</v>
      </c>
      <c r="B1">
        <v>1</v>
      </c>
      <c r="C1">
        <v>2</v>
      </c>
      <c r="D1">
        <v>3</v>
      </c>
      <c r="E1">
        <v>4</v>
      </c>
    </row>
    <row r="2" spans="1:5" x14ac:dyDescent="0.3">
      <c r="A2">
        <v>101</v>
      </c>
    </row>
    <row r="3" spans="1:5" x14ac:dyDescent="0.3">
      <c r="A3">
        <v>102</v>
      </c>
    </row>
    <row r="4" spans="1:5" x14ac:dyDescent="0.3">
      <c r="A4">
        <v>103</v>
      </c>
    </row>
    <row r="5" spans="1:5" x14ac:dyDescent="0.3">
      <c r="A5">
        <v>104</v>
      </c>
    </row>
    <row r="6" spans="1:5" x14ac:dyDescent="0.3">
      <c r="A6">
        <v>105</v>
      </c>
    </row>
    <row r="7" spans="1:5" x14ac:dyDescent="0.3">
      <c r="A7">
        <v>106</v>
      </c>
    </row>
    <row r="8" spans="1:5" x14ac:dyDescent="0.3">
      <c r="A8">
        <v>107</v>
      </c>
    </row>
    <row r="9" spans="1:5" x14ac:dyDescent="0.3">
      <c r="A9">
        <v>108</v>
      </c>
    </row>
    <row r="10" spans="1:5" x14ac:dyDescent="0.3">
      <c r="A10">
        <v>109</v>
      </c>
    </row>
    <row r="11" spans="1:5" x14ac:dyDescent="0.3">
      <c r="A11">
        <v>110</v>
      </c>
    </row>
    <row r="12" spans="1:5" x14ac:dyDescent="0.3">
      <c r="A12">
        <v>111</v>
      </c>
    </row>
    <row r="13" spans="1:5" x14ac:dyDescent="0.3">
      <c r="A13">
        <v>112</v>
      </c>
    </row>
    <row r="14" spans="1:5" x14ac:dyDescent="0.3">
      <c r="A14">
        <v>113</v>
      </c>
    </row>
    <row r="15" spans="1:5" x14ac:dyDescent="0.3">
      <c r="A15">
        <v>114</v>
      </c>
    </row>
    <row r="16" spans="1:5" x14ac:dyDescent="0.3">
      <c r="A16">
        <v>115</v>
      </c>
    </row>
    <row r="17" spans="1:1" x14ac:dyDescent="0.3">
      <c r="A17">
        <v>116</v>
      </c>
    </row>
    <row r="18" spans="1:1" x14ac:dyDescent="0.3">
      <c r="A18">
        <v>117</v>
      </c>
    </row>
    <row r="19" spans="1:1" x14ac:dyDescent="0.3">
      <c r="A19">
        <v>118</v>
      </c>
    </row>
    <row r="20" spans="1:1" x14ac:dyDescent="0.3">
      <c r="A20">
        <v>119</v>
      </c>
    </row>
    <row r="21" spans="1:1" x14ac:dyDescent="0.3">
      <c r="A21">
        <v>120</v>
      </c>
    </row>
    <row r="22" spans="1:1" x14ac:dyDescent="0.3">
      <c r="A22">
        <v>121</v>
      </c>
    </row>
    <row r="23" spans="1:1" x14ac:dyDescent="0.3">
      <c r="A23">
        <v>122</v>
      </c>
    </row>
    <row r="24" spans="1:1" x14ac:dyDescent="0.3">
      <c r="A24">
        <v>123</v>
      </c>
    </row>
    <row r="25" spans="1:1" x14ac:dyDescent="0.3">
      <c r="A25">
        <v>124</v>
      </c>
    </row>
    <row r="26" spans="1:1" x14ac:dyDescent="0.3">
      <c r="A26">
        <v>125</v>
      </c>
    </row>
    <row r="27" spans="1:1" x14ac:dyDescent="0.3">
      <c r="A27">
        <v>126</v>
      </c>
    </row>
    <row r="28" spans="1:1" x14ac:dyDescent="0.3">
      <c r="A28">
        <v>127</v>
      </c>
    </row>
    <row r="29" spans="1:1" x14ac:dyDescent="0.3">
      <c r="A29">
        <v>201</v>
      </c>
    </row>
    <row r="30" spans="1:1" x14ac:dyDescent="0.3">
      <c r="A30">
        <v>202</v>
      </c>
    </row>
    <row r="31" spans="1:1" x14ac:dyDescent="0.3">
      <c r="A31">
        <v>203</v>
      </c>
    </row>
    <row r="32" spans="1:1" x14ac:dyDescent="0.3">
      <c r="A32">
        <v>204</v>
      </c>
    </row>
    <row r="33" spans="1:1" x14ac:dyDescent="0.3">
      <c r="A33">
        <v>205</v>
      </c>
    </row>
    <row r="34" spans="1:1" x14ac:dyDescent="0.3">
      <c r="A34">
        <v>206</v>
      </c>
    </row>
    <row r="35" spans="1:1" x14ac:dyDescent="0.3">
      <c r="A35">
        <v>207</v>
      </c>
    </row>
    <row r="36" spans="1:1" x14ac:dyDescent="0.3">
      <c r="A36">
        <v>208</v>
      </c>
    </row>
    <row r="37" spans="1:1" x14ac:dyDescent="0.3">
      <c r="A37">
        <v>209</v>
      </c>
    </row>
    <row r="38" spans="1:1" x14ac:dyDescent="0.3">
      <c r="A38">
        <v>210</v>
      </c>
    </row>
    <row r="39" spans="1:1" x14ac:dyDescent="0.3">
      <c r="A39">
        <v>211</v>
      </c>
    </row>
    <row r="40" spans="1:1" x14ac:dyDescent="0.3">
      <c r="A40">
        <v>212</v>
      </c>
    </row>
    <row r="41" spans="1:1" x14ac:dyDescent="0.3">
      <c r="A41">
        <v>213</v>
      </c>
    </row>
    <row r="42" spans="1:1" x14ac:dyDescent="0.3">
      <c r="A42">
        <v>214</v>
      </c>
    </row>
    <row r="43" spans="1:1" x14ac:dyDescent="0.3">
      <c r="A43">
        <v>215</v>
      </c>
    </row>
    <row r="44" spans="1:1" x14ac:dyDescent="0.3">
      <c r="A44">
        <v>216</v>
      </c>
    </row>
    <row r="45" spans="1:1" x14ac:dyDescent="0.3">
      <c r="A45">
        <v>217</v>
      </c>
    </row>
    <row r="46" spans="1:1" x14ac:dyDescent="0.3">
      <c r="A46">
        <v>218</v>
      </c>
    </row>
    <row r="47" spans="1:1" x14ac:dyDescent="0.3">
      <c r="A47">
        <v>219</v>
      </c>
    </row>
    <row r="48" spans="1:1" x14ac:dyDescent="0.3">
      <c r="A48">
        <v>220</v>
      </c>
    </row>
    <row r="49" spans="1:1" x14ac:dyDescent="0.3">
      <c r="A49">
        <v>221</v>
      </c>
    </row>
    <row r="50" spans="1:1" x14ac:dyDescent="0.3">
      <c r="A50">
        <v>222</v>
      </c>
    </row>
    <row r="51" spans="1:1" x14ac:dyDescent="0.3">
      <c r="A51">
        <v>223</v>
      </c>
    </row>
    <row r="52" spans="1:1" x14ac:dyDescent="0.3">
      <c r="A52">
        <v>224</v>
      </c>
    </row>
    <row r="53" spans="1:1" x14ac:dyDescent="0.3">
      <c r="A53">
        <v>225</v>
      </c>
    </row>
    <row r="54" spans="1:1" x14ac:dyDescent="0.3">
      <c r="A54">
        <v>226</v>
      </c>
    </row>
    <row r="55" spans="1:1" x14ac:dyDescent="0.3">
      <c r="A55">
        <v>227</v>
      </c>
    </row>
    <row r="56" spans="1:1" x14ac:dyDescent="0.3">
      <c r="A56">
        <v>301</v>
      </c>
    </row>
    <row r="57" spans="1:1" x14ac:dyDescent="0.3">
      <c r="A57">
        <v>302</v>
      </c>
    </row>
    <row r="58" spans="1:1" x14ac:dyDescent="0.3">
      <c r="A58">
        <v>303</v>
      </c>
    </row>
    <row r="59" spans="1:1" x14ac:dyDescent="0.3">
      <c r="A59">
        <v>304</v>
      </c>
    </row>
    <row r="60" spans="1:1" x14ac:dyDescent="0.3">
      <c r="A60">
        <v>305</v>
      </c>
    </row>
    <row r="61" spans="1:1" x14ac:dyDescent="0.3">
      <c r="A61">
        <v>306</v>
      </c>
    </row>
    <row r="62" spans="1:1" x14ac:dyDescent="0.3">
      <c r="A62">
        <v>307</v>
      </c>
    </row>
    <row r="63" spans="1:1" x14ac:dyDescent="0.3">
      <c r="A63">
        <v>308</v>
      </c>
    </row>
    <row r="64" spans="1:1" x14ac:dyDescent="0.3">
      <c r="A64">
        <v>309</v>
      </c>
    </row>
    <row r="65" spans="1:1" x14ac:dyDescent="0.3">
      <c r="A65">
        <v>310</v>
      </c>
    </row>
    <row r="66" spans="1:1" x14ac:dyDescent="0.3">
      <c r="A66">
        <v>311</v>
      </c>
    </row>
    <row r="67" spans="1:1" x14ac:dyDescent="0.3">
      <c r="A67">
        <v>312</v>
      </c>
    </row>
    <row r="68" spans="1:1" x14ac:dyDescent="0.3">
      <c r="A68">
        <v>313</v>
      </c>
    </row>
    <row r="69" spans="1:1" x14ac:dyDescent="0.3">
      <c r="A69">
        <v>314</v>
      </c>
    </row>
    <row r="70" spans="1:1" x14ac:dyDescent="0.3">
      <c r="A70">
        <v>315</v>
      </c>
    </row>
    <row r="71" spans="1:1" x14ac:dyDescent="0.3">
      <c r="A71">
        <v>316</v>
      </c>
    </row>
    <row r="72" spans="1:1" x14ac:dyDescent="0.3">
      <c r="A72">
        <v>317</v>
      </c>
    </row>
    <row r="73" spans="1:1" x14ac:dyDescent="0.3">
      <c r="A73">
        <v>318</v>
      </c>
    </row>
    <row r="74" spans="1:1" x14ac:dyDescent="0.3">
      <c r="A74">
        <v>319</v>
      </c>
    </row>
    <row r="75" spans="1:1" x14ac:dyDescent="0.3">
      <c r="A75">
        <v>320</v>
      </c>
    </row>
    <row r="76" spans="1:1" x14ac:dyDescent="0.3">
      <c r="A76">
        <v>321</v>
      </c>
    </row>
    <row r="77" spans="1:1" x14ac:dyDescent="0.3">
      <c r="A77">
        <v>322</v>
      </c>
    </row>
    <row r="78" spans="1:1" x14ac:dyDescent="0.3">
      <c r="A78">
        <v>323</v>
      </c>
    </row>
    <row r="79" spans="1:1" x14ac:dyDescent="0.3">
      <c r="A79">
        <v>324</v>
      </c>
    </row>
    <row r="80" spans="1:1" x14ac:dyDescent="0.3">
      <c r="A80">
        <v>325</v>
      </c>
    </row>
    <row r="81" spans="1:1" x14ac:dyDescent="0.3">
      <c r="A81">
        <v>326</v>
      </c>
    </row>
    <row r="82" spans="1:1" x14ac:dyDescent="0.3">
      <c r="A82">
        <v>327</v>
      </c>
    </row>
    <row r="83" spans="1:1" x14ac:dyDescent="0.3">
      <c r="A83">
        <v>401</v>
      </c>
    </row>
    <row r="84" spans="1:1" x14ac:dyDescent="0.3">
      <c r="A84">
        <v>402</v>
      </c>
    </row>
    <row r="85" spans="1:1" x14ac:dyDescent="0.3">
      <c r="A85">
        <v>403</v>
      </c>
    </row>
    <row r="86" spans="1:1" x14ac:dyDescent="0.3">
      <c r="A86">
        <v>404</v>
      </c>
    </row>
    <row r="87" spans="1:1" x14ac:dyDescent="0.3">
      <c r="A87">
        <v>405</v>
      </c>
    </row>
    <row r="88" spans="1:1" x14ac:dyDescent="0.3">
      <c r="A88">
        <v>406</v>
      </c>
    </row>
    <row r="89" spans="1:1" x14ac:dyDescent="0.3">
      <c r="A89">
        <v>407</v>
      </c>
    </row>
    <row r="90" spans="1:1" x14ac:dyDescent="0.3">
      <c r="A90">
        <v>408</v>
      </c>
    </row>
    <row r="91" spans="1:1" x14ac:dyDescent="0.3">
      <c r="A91">
        <v>409</v>
      </c>
    </row>
    <row r="92" spans="1:1" x14ac:dyDescent="0.3">
      <c r="A92">
        <v>410</v>
      </c>
    </row>
    <row r="93" spans="1:1" x14ac:dyDescent="0.3">
      <c r="A93">
        <v>411</v>
      </c>
    </row>
    <row r="94" spans="1:1" x14ac:dyDescent="0.3">
      <c r="A94">
        <v>412</v>
      </c>
    </row>
    <row r="95" spans="1:1" x14ac:dyDescent="0.3">
      <c r="A95">
        <v>413</v>
      </c>
    </row>
    <row r="96" spans="1:1" x14ac:dyDescent="0.3">
      <c r="A96">
        <v>414</v>
      </c>
    </row>
    <row r="97" spans="1:1" x14ac:dyDescent="0.3">
      <c r="A97">
        <v>415</v>
      </c>
    </row>
    <row r="98" spans="1:1" x14ac:dyDescent="0.3">
      <c r="A98">
        <v>416</v>
      </c>
    </row>
    <row r="99" spans="1:1" x14ac:dyDescent="0.3">
      <c r="A99">
        <v>417</v>
      </c>
    </row>
    <row r="100" spans="1:1" x14ac:dyDescent="0.3">
      <c r="A100">
        <v>418</v>
      </c>
    </row>
    <row r="101" spans="1:1" x14ac:dyDescent="0.3">
      <c r="A101">
        <v>419</v>
      </c>
    </row>
    <row r="102" spans="1:1" x14ac:dyDescent="0.3">
      <c r="A102">
        <v>420</v>
      </c>
    </row>
    <row r="103" spans="1:1" x14ac:dyDescent="0.3">
      <c r="A103">
        <v>421</v>
      </c>
    </row>
    <row r="104" spans="1:1" x14ac:dyDescent="0.3">
      <c r="A104">
        <v>422</v>
      </c>
    </row>
    <row r="105" spans="1:1" x14ac:dyDescent="0.3">
      <c r="A105">
        <v>423</v>
      </c>
    </row>
    <row r="106" spans="1:1" x14ac:dyDescent="0.3">
      <c r="A106">
        <v>424</v>
      </c>
    </row>
    <row r="107" spans="1:1" x14ac:dyDescent="0.3">
      <c r="A107">
        <v>425</v>
      </c>
    </row>
    <row r="108" spans="1:1" x14ac:dyDescent="0.3">
      <c r="A108">
        <v>426</v>
      </c>
    </row>
    <row r="109" spans="1:1" x14ac:dyDescent="0.3">
      <c r="A109">
        <v>427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E25"/>
  <sheetViews>
    <sheetView workbookViewId="0">
      <selection activeCell="B7" sqref="B7"/>
    </sheetView>
  </sheetViews>
  <sheetFormatPr defaultColWidth="11" defaultRowHeight="15.6" x14ac:dyDescent="0.3"/>
  <cols>
    <col min="2" max="2" width="17.5" customWidth="1"/>
    <col min="3" max="3" width="16.3984375" customWidth="1"/>
    <col min="4" max="4" width="18.19921875" customWidth="1"/>
    <col min="5" max="5" width="72.19921875" customWidth="1"/>
  </cols>
  <sheetData>
    <row r="2" spans="2:5" x14ac:dyDescent="0.3">
      <c r="B2" s="20"/>
    </row>
    <row r="4" spans="2:5" ht="21" x14ac:dyDescent="0.4">
      <c r="B4" s="112" t="s">
        <v>152</v>
      </c>
      <c r="C4" s="112"/>
      <c r="D4" s="112"/>
      <c r="E4" s="112"/>
    </row>
    <row r="6" spans="2:5" x14ac:dyDescent="0.3">
      <c r="B6" s="29" t="s">
        <v>7</v>
      </c>
      <c r="C6" s="30" t="s">
        <v>8</v>
      </c>
      <c r="D6" s="30" t="s">
        <v>9</v>
      </c>
      <c r="E6" s="31" t="s">
        <v>73</v>
      </c>
    </row>
    <row r="7" spans="2:5" x14ac:dyDescent="0.3">
      <c r="B7" s="91" t="s">
        <v>157</v>
      </c>
      <c r="C7" s="92">
        <v>2023</v>
      </c>
      <c r="D7" s="92" t="s">
        <v>10</v>
      </c>
      <c r="E7" s="93" t="s">
        <v>167</v>
      </c>
    </row>
    <row r="8" spans="2:5" ht="57.6" x14ac:dyDescent="0.3">
      <c r="B8" s="91" t="s">
        <v>71</v>
      </c>
      <c r="C8" s="94"/>
      <c r="D8" s="94" t="s">
        <v>10</v>
      </c>
      <c r="E8" s="93" t="s">
        <v>168</v>
      </c>
    </row>
    <row r="9" spans="2:5" ht="33.6" customHeight="1" x14ac:dyDescent="0.3">
      <c r="B9" s="95" t="s">
        <v>45</v>
      </c>
      <c r="C9" s="96">
        <v>45048</v>
      </c>
      <c r="D9" s="94" t="s">
        <v>10</v>
      </c>
      <c r="E9" s="93" t="s">
        <v>170</v>
      </c>
    </row>
    <row r="10" spans="2:5" ht="43.2" x14ac:dyDescent="0.3">
      <c r="B10" s="95" t="s">
        <v>72</v>
      </c>
      <c r="C10" s="96">
        <v>45048</v>
      </c>
      <c r="D10" s="94" t="s">
        <v>10</v>
      </c>
      <c r="E10" s="97" t="s">
        <v>206</v>
      </c>
    </row>
    <row r="11" spans="2:5" ht="48" customHeight="1" x14ac:dyDescent="0.3">
      <c r="B11" s="98" t="s">
        <v>59</v>
      </c>
      <c r="C11" s="99">
        <v>45048</v>
      </c>
      <c r="D11" s="91" t="s">
        <v>10</v>
      </c>
      <c r="E11" s="100" t="s">
        <v>75</v>
      </c>
    </row>
    <row r="12" spans="2:5" ht="43.2" x14ac:dyDescent="0.3">
      <c r="B12" s="98" t="s">
        <v>74</v>
      </c>
      <c r="C12" s="99"/>
      <c r="D12" s="94"/>
      <c r="E12" s="100" t="s">
        <v>169</v>
      </c>
    </row>
    <row r="13" spans="2:5" ht="28.8" x14ac:dyDescent="0.3">
      <c r="B13" s="98" t="s">
        <v>60</v>
      </c>
      <c r="C13" s="96">
        <v>45072</v>
      </c>
      <c r="D13" s="94" t="s">
        <v>175</v>
      </c>
      <c r="E13" s="100" t="s">
        <v>14</v>
      </c>
    </row>
    <row r="14" spans="2:5" ht="57.6" x14ac:dyDescent="0.3">
      <c r="B14" s="98" t="s">
        <v>61</v>
      </c>
      <c r="C14" s="96">
        <v>45076</v>
      </c>
      <c r="D14" s="94" t="s">
        <v>171</v>
      </c>
      <c r="E14" s="97" t="s">
        <v>207</v>
      </c>
    </row>
    <row r="15" spans="2:5" ht="72" x14ac:dyDescent="0.3">
      <c r="B15" s="98" t="s">
        <v>77</v>
      </c>
      <c r="C15" s="96"/>
      <c r="D15" s="94"/>
      <c r="E15" s="101" t="s">
        <v>78</v>
      </c>
    </row>
    <row r="16" spans="2:5" ht="43.2" x14ac:dyDescent="0.3">
      <c r="B16" s="98" t="s">
        <v>62</v>
      </c>
      <c r="C16" s="99">
        <v>45083</v>
      </c>
      <c r="D16" s="94" t="s">
        <v>171</v>
      </c>
      <c r="E16" s="97" t="s">
        <v>208</v>
      </c>
    </row>
    <row r="17" spans="2:5" ht="43.2" x14ac:dyDescent="0.3">
      <c r="B17" s="98" t="s">
        <v>63</v>
      </c>
      <c r="C17" s="99">
        <v>45089</v>
      </c>
      <c r="D17" s="94" t="s">
        <v>171</v>
      </c>
      <c r="E17" s="97" t="s">
        <v>209</v>
      </c>
    </row>
    <row r="18" spans="2:5" ht="43.2" x14ac:dyDescent="0.3">
      <c r="B18" s="98" t="s">
        <v>76</v>
      </c>
      <c r="C18" s="99">
        <v>45118</v>
      </c>
      <c r="D18" s="94" t="s">
        <v>172</v>
      </c>
      <c r="E18" s="100"/>
    </row>
    <row r="19" spans="2:5" ht="28.8" x14ac:dyDescent="0.3">
      <c r="B19" s="98" t="s">
        <v>15</v>
      </c>
      <c r="C19" s="99">
        <v>45134</v>
      </c>
      <c r="D19" s="94"/>
      <c r="E19" s="100"/>
    </row>
    <row r="20" spans="2:5" x14ac:dyDescent="0.3">
      <c r="B20" s="98" t="s">
        <v>112</v>
      </c>
      <c r="C20" s="99"/>
      <c r="D20" s="94"/>
      <c r="E20" s="100" t="s">
        <v>117</v>
      </c>
    </row>
    <row r="21" spans="2:5" x14ac:dyDescent="0.3">
      <c r="B21" s="98" t="s">
        <v>11</v>
      </c>
      <c r="C21" s="99"/>
      <c r="D21" s="94" t="s">
        <v>173</v>
      </c>
      <c r="E21" s="100" t="s">
        <v>113</v>
      </c>
    </row>
    <row r="22" spans="2:5" ht="44.4" customHeight="1" x14ac:dyDescent="0.3">
      <c r="B22" s="102" t="s">
        <v>12</v>
      </c>
      <c r="C22" s="103">
        <v>45152</v>
      </c>
      <c r="D22" s="104"/>
      <c r="E22" s="105" t="s">
        <v>174</v>
      </c>
    </row>
    <row r="23" spans="2:5" ht="31.2" x14ac:dyDescent="0.3">
      <c r="B23" s="102" t="s">
        <v>13</v>
      </c>
      <c r="C23" s="103">
        <v>45231</v>
      </c>
      <c r="D23" s="104"/>
      <c r="E23" s="105" t="s">
        <v>114</v>
      </c>
    </row>
    <row r="24" spans="2:5" ht="57.6" x14ac:dyDescent="0.3">
      <c r="B24" s="98" t="s">
        <v>115</v>
      </c>
      <c r="C24" s="25"/>
      <c r="D24" s="25"/>
      <c r="E24" s="27"/>
    </row>
    <row r="25" spans="2:5" ht="28.8" x14ac:dyDescent="0.3">
      <c r="B25" s="98" t="s">
        <v>116</v>
      </c>
      <c r="C25" s="25"/>
      <c r="D25" s="25"/>
      <c r="E25" s="27"/>
    </row>
  </sheetData>
  <mergeCells count="1">
    <mergeCell ref="B4:E4"/>
  </mergeCell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DBA75-BBBA-4AFF-9932-239528743F03}">
  <sheetPr>
    <tabColor rgb="FFFFFF00"/>
  </sheetPr>
  <dimension ref="B1:K9"/>
  <sheetViews>
    <sheetView workbookViewId="0">
      <selection activeCell="F14" sqref="F14"/>
    </sheetView>
  </sheetViews>
  <sheetFormatPr defaultColWidth="9" defaultRowHeight="14.4" x14ac:dyDescent="0.3"/>
  <cols>
    <col min="1" max="1" width="9" style="67"/>
    <col min="2" max="2" width="25.19921875" style="67" bestFit="1" customWidth="1"/>
    <col min="3" max="3" width="13.5" style="67" bestFit="1" customWidth="1"/>
    <col min="4" max="4" width="14.09765625" style="67" bestFit="1" customWidth="1"/>
    <col min="5" max="5" width="22.5" style="67" bestFit="1" customWidth="1"/>
    <col min="6" max="6" width="12.3984375" style="67" bestFit="1" customWidth="1"/>
    <col min="7" max="7" width="16.09765625" style="67" bestFit="1" customWidth="1"/>
    <col min="8" max="8" width="10.5" style="67" bestFit="1" customWidth="1"/>
    <col min="9" max="9" width="21.59765625" style="67" bestFit="1" customWidth="1"/>
    <col min="10" max="10" width="7.3984375" style="67" bestFit="1" customWidth="1"/>
    <col min="11" max="11" width="5.5" style="67" bestFit="1" customWidth="1"/>
    <col min="12" max="16384" width="9" style="67"/>
  </cols>
  <sheetData>
    <row r="1" spans="2:11" x14ac:dyDescent="0.3">
      <c r="B1" s="70" t="s">
        <v>190</v>
      </c>
    </row>
    <row r="2" spans="2:11" x14ac:dyDescent="0.3">
      <c r="B2" s="71" t="s">
        <v>191</v>
      </c>
      <c r="C2" s="72" t="s">
        <v>192</v>
      </c>
      <c r="D2" s="72" t="s">
        <v>193</v>
      </c>
      <c r="E2" s="72" t="s">
        <v>194</v>
      </c>
      <c r="F2" s="72" t="s">
        <v>195</v>
      </c>
      <c r="G2" s="72" t="s">
        <v>196</v>
      </c>
      <c r="H2" s="73" t="s">
        <v>197</v>
      </c>
      <c r="I2" s="72" t="s">
        <v>198</v>
      </c>
      <c r="J2" s="72" t="s">
        <v>6</v>
      </c>
      <c r="K2" s="74" t="s">
        <v>199</v>
      </c>
    </row>
    <row r="3" spans="2:11" x14ac:dyDescent="0.3">
      <c r="B3" s="75">
        <v>6</v>
      </c>
      <c r="C3" s="76">
        <v>45070.596747685187</v>
      </c>
      <c r="D3" s="76">
        <v>45070.59684027778</v>
      </c>
      <c r="E3" s="77" t="s">
        <v>200</v>
      </c>
      <c r="F3" s="77" t="s">
        <v>201</v>
      </c>
      <c r="G3" s="77" t="s">
        <v>202</v>
      </c>
      <c r="H3" s="78">
        <v>45070</v>
      </c>
      <c r="I3" s="79">
        <v>0.6</v>
      </c>
      <c r="J3" s="77" t="s">
        <v>203</v>
      </c>
      <c r="K3" s="80"/>
    </row>
    <row r="4" spans="2:11" x14ac:dyDescent="0.3">
      <c r="B4" s="81">
        <v>13</v>
      </c>
      <c r="C4" s="82">
        <v>45085.244756944441</v>
      </c>
      <c r="D4" s="82">
        <v>45085.244872685187</v>
      </c>
      <c r="E4" s="83" t="s">
        <v>200</v>
      </c>
      <c r="F4" s="83" t="s">
        <v>201</v>
      </c>
      <c r="G4" s="83" t="s">
        <v>202</v>
      </c>
      <c r="H4" s="84">
        <v>45086</v>
      </c>
      <c r="I4" s="85">
        <v>1.2</v>
      </c>
      <c r="J4" s="83" t="s">
        <v>203</v>
      </c>
      <c r="K4" s="86"/>
    </row>
    <row r="5" spans="2:11" x14ac:dyDescent="0.3">
      <c r="B5" s="75">
        <v>17</v>
      </c>
      <c r="C5" s="76">
        <v>45097.552870370368</v>
      </c>
      <c r="D5" s="76">
        <v>45097.553067129629</v>
      </c>
      <c r="E5" s="77" t="s">
        <v>200</v>
      </c>
      <c r="F5" s="77" t="s">
        <v>201</v>
      </c>
      <c r="G5" s="77" t="s">
        <v>202</v>
      </c>
      <c r="H5" s="78">
        <v>45096</v>
      </c>
      <c r="I5" s="79">
        <v>1.2</v>
      </c>
      <c r="J5" s="77" t="s">
        <v>203</v>
      </c>
      <c r="K5" s="80"/>
    </row>
    <row r="6" spans="2:11" x14ac:dyDescent="0.3">
      <c r="B6" s="81">
        <v>22</v>
      </c>
      <c r="C6" s="82">
        <v>45103.381608796299</v>
      </c>
      <c r="D6" s="82">
        <v>45103.381724537037</v>
      </c>
      <c r="E6" s="83" t="s">
        <v>200</v>
      </c>
      <c r="F6" s="83" t="s">
        <v>201</v>
      </c>
      <c r="G6" s="83" t="s">
        <v>202</v>
      </c>
      <c r="H6" s="84">
        <v>45104</v>
      </c>
      <c r="I6" s="85">
        <v>1.2</v>
      </c>
      <c r="J6" s="83" t="s">
        <v>203</v>
      </c>
      <c r="K6" s="86"/>
    </row>
    <row r="7" spans="2:11" x14ac:dyDescent="0.3">
      <c r="B7" s="75">
        <v>34</v>
      </c>
      <c r="C7" s="76">
        <v>45119.369872685187</v>
      </c>
      <c r="D7" s="76">
        <v>45119.370034722226</v>
      </c>
      <c r="E7" s="77" t="s">
        <v>200</v>
      </c>
      <c r="F7" s="77" t="s">
        <v>201</v>
      </c>
      <c r="G7" s="77" t="s">
        <v>202</v>
      </c>
      <c r="H7" s="78">
        <v>45113</v>
      </c>
      <c r="I7" s="79">
        <v>1.2</v>
      </c>
      <c r="J7" s="77" t="s">
        <v>203</v>
      </c>
      <c r="K7" s="80"/>
    </row>
    <row r="8" spans="2:11" x14ac:dyDescent="0.3">
      <c r="B8" s="81">
        <v>37</v>
      </c>
      <c r="C8" s="82">
        <v>45125.790925925925</v>
      </c>
      <c r="D8" s="82">
        <v>45125.791030092594</v>
      </c>
      <c r="E8" s="83" t="s">
        <v>200</v>
      </c>
      <c r="F8" s="83" t="s">
        <v>201</v>
      </c>
      <c r="G8" s="83" t="s">
        <v>202</v>
      </c>
      <c r="H8" s="84">
        <v>45126</v>
      </c>
      <c r="I8" s="85">
        <v>1.4</v>
      </c>
      <c r="J8" s="83" t="s">
        <v>203</v>
      </c>
      <c r="K8" s="86"/>
    </row>
    <row r="9" spans="2:11" x14ac:dyDescent="0.3">
      <c r="B9" s="75">
        <v>40</v>
      </c>
      <c r="C9" s="76">
        <v>45133.310752314814</v>
      </c>
      <c r="D9" s="76">
        <v>45133.310868055552</v>
      </c>
      <c r="E9" s="77" t="s">
        <v>200</v>
      </c>
      <c r="F9" s="77" t="s">
        <v>201</v>
      </c>
      <c r="G9" s="77" t="s">
        <v>202</v>
      </c>
      <c r="H9" s="78">
        <v>45133</v>
      </c>
      <c r="I9" s="79">
        <v>1</v>
      </c>
      <c r="J9" s="77" t="s">
        <v>203</v>
      </c>
      <c r="K9" s="80"/>
    </row>
  </sheetData>
  <hyperlinks>
    <hyperlink ref="E3" r:id="rId1" display="mailto:carlo@farmingsmarter.com" xr:uid="{998AA4AC-F4AE-424C-86E4-2D15FE22D7B2}"/>
    <hyperlink ref="E4" r:id="rId2" display="mailto:carlo@farmingsmarter.com" xr:uid="{4868C2F3-5D3B-45AE-BAFC-21C01A3BF149}"/>
    <hyperlink ref="E5" r:id="rId3" display="mailto:carlo@farmingsmarter.com" xr:uid="{01FFD2B5-82D7-4D34-8771-7F4136033472}"/>
    <hyperlink ref="E6" r:id="rId4" display="mailto:carlo@farmingsmarter.com" xr:uid="{C15B0A5C-7678-46DA-A090-3F1E335EF2FC}"/>
    <hyperlink ref="E7" r:id="rId5" display="mailto:carlo@farmingsmarter.com" xr:uid="{1541EC39-D064-47D9-9F28-7C3E24E77921}"/>
    <hyperlink ref="E8" r:id="rId6" display="mailto:carlo@farmingsmarter.com" xr:uid="{163D2396-A7D7-4DC2-86EC-5BA899673288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3A995-43FE-455B-B156-64EC4F023048}">
  <sheetPr>
    <tabColor rgb="FFFFFF00"/>
  </sheetPr>
  <dimension ref="B1:K12"/>
  <sheetViews>
    <sheetView workbookViewId="0">
      <selection activeCell="E17" sqref="E17"/>
    </sheetView>
  </sheetViews>
  <sheetFormatPr defaultColWidth="9" defaultRowHeight="14.4" x14ac:dyDescent="0.3"/>
  <cols>
    <col min="1" max="1" width="9" style="67"/>
    <col min="2" max="2" width="25.19921875" style="67" bestFit="1" customWidth="1"/>
    <col min="3" max="3" width="13.5" style="67" bestFit="1" customWidth="1"/>
    <col min="4" max="4" width="14.09765625" style="67" bestFit="1" customWidth="1"/>
    <col min="5" max="5" width="22.5" style="67" bestFit="1" customWidth="1"/>
    <col min="6" max="6" width="12.3984375" style="67" bestFit="1" customWidth="1"/>
    <col min="7" max="7" width="16.09765625" style="67" bestFit="1" customWidth="1"/>
    <col min="8" max="8" width="10.5" style="67" bestFit="1" customWidth="1"/>
    <col min="9" max="9" width="21.59765625" style="67" bestFit="1" customWidth="1"/>
    <col min="10" max="10" width="7.3984375" style="67" bestFit="1" customWidth="1"/>
    <col min="11" max="11" width="5.5" style="67" bestFit="1" customWidth="1"/>
    <col min="12" max="16384" width="9" style="67"/>
  </cols>
  <sheetData>
    <row r="1" spans="2:11" x14ac:dyDescent="0.3">
      <c r="B1" s="70" t="s">
        <v>190</v>
      </c>
    </row>
    <row r="2" spans="2:11" x14ac:dyDescent="0.3">
      <c r="B2" s="71" t="s">
        <v>191</v>
      </c>
      <c r="C2" s="72" t="s">
        <v>192</v>
      </c>
      <c r="D2" s="72" t="s">
        <v>193</v>
      </c>
      <c r="E2" s="72" t="s">
        <v>194</v>
      </c>
      <c r="F2" s="72" t="s">
        <v>195</v>
      </c>
      <c r="G2" s="72" t="s">
        <v>196</v>
      </c>
      <c r="H2" s="73" t="s">
        <v>197</v>
      </c>
      <c r="I2" s="72" t="s">
        <v>198</v>
      </c>
      <c r="J2" s="72" t="s">
        <v>6</v>
      </c>
      <c r="K2" s="74" t="s">
        <v>199</v>
      </c>
    </row>
    <row r="3" spans="2:11" x14ac:dyDescent="0.3">
      <c r="B3" s="75">
        <v>6</v>
      </c>
      <c r="C3" s="76">
        <v>45070.596747685187</v>
      </c>
      <c r="D3" s="76">
        <v>45070.59684027778</v>
      </c>
      <c r="E3" s="77" t="s">
        <v>200</v>
      </c>
      <c r="F3" s="77" t="s">
        <v>201</v>
      </c>
      <c r="G3" s="77" t="s">
        <v>202</v>
      </c>
      <c r="H3" s="78">
        <v>45070</v>
      </c>
      <c r="I3" s="79">
        <v>0.6</v>
      </c>
      <c r="J3" s="77" t="s">
        <v>203</v>
      </c>
      <c r="K3" s="80"/>
    </row>
    <row r="4" spans="2:11" x14ac:dyDescent="0.3">
      <c r="B4" s="81">
        <v>13</v>
      </c>
      <c r="C4" s="82">
        <v>45085.244756944441</v>
      </c>
      <c r="D4" s="82">
        <v>45085.244872685187</v>
      </c>
      <c r="E4" s="83" t="s">
        <v>200</v>
      </c>
      <c r="F4" s="83" t="s">
        <v>201</v>
      </c>
      <c r="G4" s="83" t="s">
        <v>202</v>
      </c>
      <c r="H4" s="84">
        <v>45086</v>
      </c>
      <c r="I4" s="85">
        <v>1.2</v>
      </c>
      <c r="J4" s="83" t="s">
        <v>203</v>
      </c>
      <c r="K4" s="86"/>
    </row>
    <row r="5" spans="2:11" x14ac:dyDescent="0.3">
      <c r="B5" s="75">
        <v>17</v>
      </c>
      <c r="C5" s="76">
        <v>45097.552870370368</v>
      </c>
      <c r="D5" s="76">
        <v>45097.553067129629</v>
      </c>
      <c r="E5" s="77" t="s">
        <v>200</v>
      </c>
      <c r="F5" s="77" t="s">
        <v>201</v>
      </c>
      <c r="G5" s="77" t="s">
        <v>202</v>
      </c>
      <c r="H5" s="78">
        <v>45096</v>
      </c>
      <c r="I5" s="79">
        <v>1.2</v>
      </c>
      <c r="J5" s="77" t="s">
        <v>203</v>
      </c>
      <c r="K5" s="80"/>
    </row>
    <row r="6" spans="2:11" x14ac:dyDescent="0.3">
      <c r="B6" s="81">
        <v>22</v>
      </c>
      <c r="C6" s="82">
        <v>45103.381608796299</v>
      </c>
      <c r="D6" s="82">
        <v>45103.381724537037</v>
      </c>
      <c r="E6" s="83" t="s">
        <v>200</v>
      </c>
      <c r="F6" s="83" t="s">
        <v>201</v>
      </c>
      <c r="G6" s="83" t="s">
        <v>202</v>
      </c>
      <c r="H6" s="84">
        <v>45104</v>
      </c>
      <c r="I6" s="85">
        <v>1.2</v>
      </c>
      <c r="J6" s="83" t="s">
        <v>203</v>
      </c>
      <c r="K6" s="86"/>
    </row>
    <row r="7" spans="2:11" x14ac:dyDescent="0.3">
      <c r="B7" s="75">
        <v>34</v>
      </c>
      <c r="C7" s="76">
        <v>45119.369872685187</v>
      </c>
      <c r="D7" s="76">
        <v>45119.370034722226</v>
      </c>
      <c r="E7" s="77" t="s">
        <v>200</v>
      </c>
      <c r="F7" s="77" t="s">
        <v>201</v>
      </c>
      <c r="G7" s="77" t="s">
        <v>202</v>
      </c>
      <c r="H7" s="78">
        <v>45113</v>
      </c>
      <c r="I7" s="79">
        <v>1.2</v>
      </c>
      <c r="J7" s="77" t="s">
        <v>203</v>
      </c>
      <c r="K7" s="80"/>
    </row>
    <row r="8" spans="2:11" x14ac:dyDescent="0.3">
      <c r="B8" s="81">
        <v>37</v>
      </c>
      <c r="C8" s="82">
        <v>45125.790925925925</v>
      </c>
      <c r="D8" s="82">
        <v>45125.791030092594</v>
      </c>
      <c r="E8" s="83" t="s">
        <v>200</v>
      </c>
      <c r="F8" s="83" t="s">
        <v>201</v>
      </c>
      <c r="G8" s="83" t="s">
        <v>202</v>
      </c>
      <c r="H8" s="84">
        <v>45126</v>
      </c>
      <c r="I8" s="85">
        <v>1.4</v>
      </c>
      <c r="J8" s="83" t="s">
        <v>203</v>
      </c>
      <c r="K8" s="86"/>
    </row>
    <row r="9" spans="2:11" x14ac:dyDescent="0.3">
      <c r="B9" s="75">
        <v>40</v>
      </c>
      <c r="C9" s="76">
        <v>45133.310752314814</v>
      </c>
      <c r="D9" s="76">
        <v>45133.310868055552</v>
      </c>
      <c r="E9" s="77" t="s">
        <v>200</v>
      </c>
      <c r="F9" s="77" t="s">
        <v>201</v>
      </c>
      <c r="G9" s="77" t="s">
        <v>202</v>
      </c>
      <c r="H9" s="78">
        <v>45133</v>
      </c>
      <c r="I9" s="79">
        <v>1</v>
      </c>
      <c r="J9" s="77" t="s">
        <v>203</v>
      </c>
      <c r="K9" s="80"/>
    </row>
    <row r="10" spans="2:11" ht="18" x14ac:dyDescent="0.35">
      <c r="I10" s="87">
        <f>SUM(I3:I9)</f>
        <v>7.8000000000000007</v>
      </c>
      <c r="J10" s="87" t="s">
        <v>204</v>
      </c>
    </row>
    <row r="12" spans="2:11" x14ac:dyDescent="0.3">
      <c r="I12" s="67" t="s">
        <v>205</v>
      </c>
    </row>
  </sheetData>
  <hyperlinks>
    <hyperlink ref="E3" r:id="rId1" display="mailto:carlo@farmingsmarter.com" xr:uid="{67C1ABBB-788C-406D-A333-FA4D8236D42C}"/>
    <hyperlink ref="E4" r:id="rId2" display="mailto:carlo@farmingsmarter.com" xr:uid="{8B45D59E-3792-4A1C-997C-6ADD9256FB34}"/>
    <hyperlink ref="E5" r:id="rId3" display="mailto:carlo@farmingsmarter.com" xr:uid="{B21D868B-7234-4BBE-8680-84384D1DA226}"/>
    <hyperlink ref="E6" r:id="rId4" display="mailto:carlo@farmingsmarter.com" xr:uid="{E8924529-5EC1-49D7-BC11-7F1379CC5F3A}"/>
    <hyperlink ref="E7" r:id="rId5" display="mailto:carlo@farmingsmarter.com" xr:uid="{087E12AE-6766-4367-AD40-1054F226DFE4}"/>
    <hyperlink ref="E8" r:id="rId6" display="mailto:carlo@farmingsmarter.com" xr:uid="{85467E1B-8275-4DE1-89DD-06D399E92AF9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A147B-1313-4986-A591-7794CC3433ED}">
  <sheetPr>
    <tabColor rgb="FFFFFF00"/>
  </sheetPr>
  <dimension ref="A1:L184"/>
  <sheetViews>
    <sheetView workbookViewId="0">
      <selection activeCell="D1" sqref="D1:D137"/>
    </sheetView>
  </sheetViews>
  <sheetFormatPr defaultColWidth="9" defaultRowHeight="14.4" x14ac:dyDescent="0.3"/>
  <cols>
    <col min="1" max="1" width="24" style="67" bestFit="1" customWidth="1"/>
    <col min="2" max="2" width="21.8984375" style="67" bestFit="1" customWidth="1"/>
    <col min="3" max="3" width="23.8984375" style="67" customWidth="1"/>
    <col min="4" max="4" width="16.59765625" style="67" customWidth="1"/>
    <col min="5" max="5" width="23.5" style="67" customWidth="1"/>
    <col min="6" max="6" width="24.09765625" style="67" bestFit="1" customWidth="1"/>
    <col min="7" max="7" width="30.19921875" style="67" bestFit="1" customWidth="1"/>
    <col min="8" max="8" width="41.59765625" style="67" bestFit="1" customWidth="1"/>
    <col min="9" max="9" width="19" style="67" customWidth="1"/>
    <col min="10" max="10" width="9" style="67"/>
    <col min="11" max="11" width="28.5" style="67" customWidth="1"/>
    <col min="12" max="16384" width="9" style="67"/>
  </cols>
  <sheetData>
    <row r="1" spans="1:12" x14ac:dyDescent="0.3">
      <c r="A1" s="67" t="s">
        <v>189</v>
      </c>
      <c r="B1" s="67" t="s">
        <v>188</v>
      </c>
      <c r="C1" s="67" t="s">
        <v>187</v>
      </c>
      <c r="D1" s="122" t="s">
        <v>186</v>
      </c>
      <c r="E1" s="67" t="s">
        <v>185</v>
      </c>
      <c r="F1" s="67" t="s">
        <v>184</v>
      </c>
      <c r="G1" s="67" t="s">
        <v>183</v>
      </c>
      <c r="H1" s="67" t="s">
        <v>182</v>
      </c>
      <c r="I1" s="67" t="s">
        <v>181</v>
      </c>
      <c r="J1" s="67" t="s">
        <v>180</v>
      </c>
      <c r="K1" s="67" t="s">
        <v>179</v>
      </c>
      <c r="L1" s="67" t="s">
        <v>178</v>
      </c>
    </row>
    <row r="2" spans="1:12" x14ac:dyDescent="0.3">
      <c r="A2" s="67" t="s">
        <v>177</v>
      </c>
      <c r="B2" s="69">
        <v>45017</v>
      </c>
      <c r="C2" s="67">
        <v>4.4000000000000004</v>
      </c>
      <c r="D2" s="67">
        <v>0.1</v>
      </c>
      <c r="E2" s="67">
        <v>0.8</v>
      </c>
      <c r="F2" s="67">
        <v>2.5</v>
      </c>
      <c r="G2" s="67" t="s">
        <v>176</v>
      </c>
      <c r="I2" s="67">
        <v>1.1000000000000001</v>
      </c>
      <c r="J2" s="67" t="s">
        <v>176</v>
      </c>
      <c r="K2" s="67">
        <v>0.7</v>
      </c>
      <c r="L2" s="67" t="s">
        <v>176</v>
      </c>
    </row>
    <row r="3" spans="1:12" x14ac:dyDescent="0.3">
      <c r="A3" s="67" t="s">
        <v>177</v>
      </c>
      <c r="B3" s="69">
        <v>45018</v>
      </c>
      <c r="C3" s="67">
        <v>0</v>
      </c>
      <c r="D3" s="67">
        <v>4.8</v>
      </c>
      <c r="E3" s="67">
        <v>2.2999999999999998</v>
      </c>
      <c r="F3" s="67">
        <v>2.1</v>
      </c>
      <c r="G3" s="67" t="s">
        <v>176</v>
      </c>
      <c r="I3" s="67">
        <v>2.2000000000000002</v>
      </c>
      <c r="J3" s="67" t="s">
        <v>176</v>
      </c>
      <c r="K3" s="67">
        <v>0.7</v>
      </c>
      <c r="L3" s="67" t="s">
        <v>176</v>
      </c>
    </row>
    <row r="4" spans="1:12" x14ac:dyDescent="0.3">
      <c r="A4" s="67" t="s">
        <v>177</v>
      </c>
      <c r="B4" s="69">
        <v>45019</v>
      </c>
      <c r="C4" s="67">
        <v>-2.1</v>
      </c>
      <c r="D4" s="67">
        <v>5.0999999999999996</v>
      </c>
      <c r="E4" s="67">
        <v>3.2</v>
      </c>
      <c r="F4" s="67">
        <v>2.4</v>
      </c>
      <c r="G4" s="67" t="s">
        <v>176</v>
      </c>
      <c r="I4" s="67">
        <v>3.2</v>
      </c>
      <c r="J4" s="67" t="s">
        <v>176</v>
      </c>
      <c r="K4" s="67">
        <v>0.7</v>
      </c>
      <c r="L4" s="67" t="s">
        <v>176</v>
      </c>
    </row>
    <row r="5" spans="1:12" x14ac:dyDescent="0.3">
      <c r="A5" s="67" t="s">
        <v>177</v>
      </c>
      <c r="B5" s="69">
        <v>45020</v>
      </c>
      <c r="C5" s="67">
        <v>-5.0999999999999996</v>
      </c>
      <c r="D5" s="67">
        <v>5.0999999999999996</v>
      </c>
      <c r="E5" s="67">
        <v>4.5</v>
      </c>
      <c r="F5" s="67">
        <v>3</v>
      </c>
      <c r="G5" s="67" t="s">
        <v>176</v>
      </c>
      <c r="I5" s="67">
        <v>4.3</v>
      </c>
      <c r="J5" s="67" t="s">
        <v>176</v>
      </c>
      <c r="K5" s="67">
        <v>0.7</v>
      </c>
      <c r="L5" s="67" t="s">
        <v>176</v>
      </c>
    </row>
    <row r="6" spans="1:12" x14ac:dyDescent="0.3">
      <c r="A6" s="67" t="s">
        <v>177</v>
      </c>
      <c r="B6" s="69">
        <v>45021</v>
      </c>
      <c r="C6" s="67">
        <v>-2</v>
      </c>
      <c r="D6" s="67">
        <v>5.6</v>
      </c>
      <c r="E6" s="67">
        <v>6</v>
      </c>
      <c r="F6" s="67">
        <v>2.8</v>
      </c>
      <c r="G6" s="67" t="s">
        <v>176</v>
      </c>
      <c r="I6" s="67">
        <v>5.0999999999999996</v>
      </c>
      <c r="J6" s="67" t="s">
        <v>176</v>
      </c>
      <c r="K6" s="67">
        <v>0.7</v>
      </c>
      <c r="L6" s="67" t="s">
        <v>176</v>
      </c>
    </row>
    <row r="7" spans="1:12" x14ac:dyDescent="0.3">
      <c r="A7" s="67" t="s">
        <v>177</v>
      </c>
      <c r="B7" s="69">
        <v>45022</v>
      </c>
      <c r="C7" s="67">
        <v>4.5</v>
      </c>
      <c r="D7" s="67">
        <v>5.6</v>
      </c>
      <c r="E7" s="67">
        <v>6.5</v>
      </c>
      <c r="F7" s="67">
        <v>3.8</v>
      </c>
      <c r="G7" s="67" t="s">
        <v>176</v>
      </c>
      <c r="I7" s="67">
        <v>6.4</v>
      </c>
      <c r="J7" s="67" t="s">
        <v>176</v>
      </c>
      <c r="K7" s="67">
        <v>1.7</v>
      </c>
      <c r="L7" s="67" t="s">
        <v>176</v>
      </c>
    </row>
    <row r="8" spans="1:12" x14ac:dyDescent="0.3">
      <c r="A8" s="67" t="s">
        <v>177</v>
      </c>
      <c r="B8" s="69">
        <v>45023</v>
      </c>
      <c r="C8" s="67">
        <v>8.1999999999999993</v>
      </c>
      <c r="D8" s="67">
        <v>5.7</v>
      </c>
      <c r="E8" s="67">
        <v>7.2</v>
      </c>
      <c r="F8" s="67">
        <v>4</v>
      </c>
      <c r="G8" s="67" t="s">
        <v>176</v>
      </c>
      <c r="I8" s="67">
        <v>7.7</v>
      </c>
      <c r="J8" s="67" t="s">
        <v>176</v>
      </c>
      <c r="K8" s="67">
        <v>4.9000000000000004</v>
      </c>
      <c r="L8" s="67" t="s">
        <v>176</v>
      </c>
    </row>
    <row r="9" spans="1:12" x14ac:dyDescent="0.3">
      <c r="A9" s="67" t="s">
        <v>177</v>
      </c>
      <c r="B9" s="69">
        <v>45024</v>
      </c>
      <c r="C9" s="67">
        <v>8.8000000000000007</v>
      </c>
      <c r="D9" s="67">
        <v>5.7</v>
      </c>
      <c r="E9" s="67">
        <v>8.1</v>
      </c>
      <c r="F9" s="67">
        <v>4.8</v>
      </c>
      <c r="G9" s="67" t="s">
        <v>176</v>
      </c>
      <c r="I9" s="67">
        <v>9.6999999999999993</v>
      </c>
      <c r="J9" s="67" t="s">
        <v>176</v>
      </c>
      <c r="K9" s="67">
        <v>8.3000000000000007</v>
      </c>
      <c r="L9" s="67" t="s">
        <v>176</v>
      </c>
    </row>
    <row r="10" spans="1:12" x14ac:dyDescent="0.3">
      <c r="A10" s="67" t="s">
        <v>177</v>
      </c>
      <c r="B10" s="69">
        <v>45025</v>
      </c>
      <c r="C10" s="67">
        <v>11.6</v>
      </c>
      <c r="D10" s="67">
        <v>5.7</v>
      </c>
      <c r="E10" s="67">
        <v>9.1</v>
      </c>
      <c r="F10" s="67">
        <v>4.4000000000000004</v>
      </c>
      <c r="G10" s="67" t="s">
        <v>176</v>
      </c>
      <c r="I10" s="67">
        <v>11.2</v>
      </c>
      <c r="J10" s="67" t="s">
        <v>176</v>
      </c>
      <c r="K10" s="67">
        <v>15.7</v>
      </c>
      <c r="L10" s="67" t="s">
        <v>176</v>
      </c>
    </row>
    <row r="11" spans="1:12" x14ac:dyDescent="0.3">
      <c r="A11" s="67" t="s">
        <v>177</v>
      </c>
      <c r="B11" s="69">
        <v>45026</v>
      </c>
      <c r="C11" s="67">
        <v>14</v>
      </c>
      <c r="D11" s="67">
        <v>5.7</v>
      </c>
      <c r="E11" s="67">
        <v>10.5</v>
      </c>
      <c r="F11" s="67">
        <v>4.2</v>
      </c>
      <c r="G11" s="67" t="s">
        <v>176</v>
      </c>
      <c r="I11" s="67">
        <v>12.2</v>
      </c>
      <c r="J11" s="67" t="s">
        <v>176</v>
      </c>
      <c r="K11" s="67">
        <v>24.1</v>
      </c>
      <c r="L11" s="67" t="s">
        <v>176</v>
      </c>
    </row>
    <row r="12" spans="1:12" x14ac:dyDescent="0.3">
      <c r="A12" s="67" t="s">
        <v>177</v>
      </c>
      <c r="B12" s="69">
        <v>45027</v>
      </c>
      <c r="C12" s="67">
        <v>6.9</v>
      </c>
      <c r="D12" s="67">
        <v>5.7</v>
      </c>
      <c r="E12" s="67">
        <v>11.3</v>
      </c>
      <c r="F12" s="67">
        <v>4.8</v>
      </c>
      <c r="G12" s="67" t="s">
        <v>176</v>
      </c>
      <c r="I12" s="67">
        <v>13.8</v>
      </c>
      <c r="J12" s="67" t="s">
        <v>176</v>
      </c>
      <c r="K12" s="67">
        <v>27.3</v>
      </c>
      <c r="L12" s="67" t="s">
        <v>176</v>
      </c>
    </row>
    <row r="13" spans="1:12" x14ac:dyDescent="0.3">
      <c r="A13" s="67" t="s">
        <v>177</v>
      </c>
      <c r="B13" s="69">
        <v>45028</v>
      </c>
      <c r="C13" s="67">
        <v>1.5</v>
      </c>
      <c r="D13" s="67">
        <v>6.9</v>
      </c>
      <c r="E13" s="67">
        <v>13</v>
      </c>
      <c r="F13" s="67">
        <v>4.5999999999999996</v>
      </c>
      <c r="G13" s="67" t="s">
        <v>176</v>
      </c>
      <c r="I13" s="67">
        <v>15.1</v>
      </c>
      <c r="J13" s="67" t="s">
        <v>176</v>
      </c>
      <c r="K13" s="67">
        <v>27.3</v>
      </c>
      <c r="L13" s="67" t="s">
        <v>176</v>
      </c>
    </row>
    <row r="14" spans="1:12" x14ac:dyDescent="0.3">
      <c r="A14" s="67" t="s">
        <v>177</v>
      </c>
      <c r="B14" s="69">
        <v>45029</v>
      </c>
      <c r="C14" s="67">
        <v>1.6</v>
      </c>
      <c r="D14" s="67">
        <v>6.9</v>
      </c>
      <c r="E14" s="67">
        <v>14.1</v>
      </c>
      <c r="F14" s="67">
        <v>5.2</v>
      </c>
      <c r="G14" s="67" t="s">
        <v>176</v>
      </c>
      <c r="I14" s="67">
        <v>16.7</v>
      </c>
      <c r="J14" s="67" t="s">
        <v>176</v>
      </c>
      <c r="K14" s="67">
        <v>27.3</v>
      </c>
      <c r="L14" s="67" t="s">
        <v>176</v>
      </c>
    </row>
    <row r="15" spans="1:12" x14ac:dyDescent="0.3">
      <c r="A15" s="67" t="s">
        <v>177</v>
      </c>
      <c r="B15" s="69">
        <v>45030</v>
      </c>
      <c r="C15" s="67">
        <v>2.8</v>
      </c>
      <c r="D15" s="67">
        <v>7.1</v>
      </c>
      <c r="E15" s="67">
        <v>16.399999999999999</v>
      </c>
      <c r="F15" s="67">
        <v>5</v>
      </c>
      <c r="G15" s="67" t="s">
        <v>176</v>
      </c>
      <c r="I15" s="67">
        <v>18.2</v>
      </c>
      <c r="J15" s="67" t="s">
        <v>176</v>
      </c>
      <c r="K15" s="67">
        <v>27.3</v>
      </c>
      <c r="L15" s="67" t="s">
        <v>176</v>
      </c>
    </row>
    <row r="16" spans="1:12" x14ac:dyDescent="0.3">
      <c r="A16" s="67" t="s">
        <v>177</v>
      </c>
      <c r="B16" s="69">
        <v>45031</v>
      </c>
      <c r="C16" s="67">
        <v>5.6</v>
      </c>
      <c r="D16" s="67">
        <v>7.1</v>
      </c>
      <c r="E16" s="67">
        <v>17.5</v>
      </c>
      <c r="F16" s="67">
        <v>4.4000000000000004</v>
      </c>
      <c r="G16" s="67" t="s">
        <v>176</v>
      </c>
      <c r="I16" s="67">
        <v>19.399999999999999</v>
      </c>
      <c r="J16" s="67" t="s">
        <v>176</v>
      </c>
      <c r="K16" s="67">
        <v>27.5</v>
      </c>
      <c r="L16" s="67" t="s">
        <v>176</v>
      </c>
    </row>
    <row r="17" spans="1:12" x14ac:dyDescent="0.3">
      <c r="A17" s="67" t="s">
        <v>177</v>
      </c>
      <c r="B17" s="69">
        <v>45032</v>
      </c>
      <c r="C17" s="67">
        <v>10.199999999999999</v>
      </c>
      <c r="D17" s="67">
        <v>7.2</v>
      </c>
      <c r="E17" s="67">
        <v>18.5</v>
      </c>
      <c r="F17" s="67">
        <v>5.3</v>
      </c>
      <c r="G17" s="67" t="s">
        <v>176</v>
      </c>
      <c r="I17" s="67">
        <v>21.2</v>
      </c>
      <c r="J17" s="67" t="s">
        <v>176</v>
      </c>
      <c r="K17" s="67">
        <v>32</v>
      </c>
      <c r="L17" s="67" t="s">
        <v>176</v>
      </c>
    </row>
    <row r="18" spans="1:12" x14ac:dyDescent="0.3">
      <c r="A18" s="67" t="s">
        <v>177</v>
      </c>
      <c r="B18" s="69">
        <v>45033</v>
      </c>
      <c r="C18" s="67">
        <v>7.4</v>
      </c>
      <c r="D18" s="67">
        <v>7.2</v>
      </c>
      <c r="E18" s="67">
        <v>18.8</v>
      </c>
      <c r="F18" s="67">
        <v>6.9</v>
      </c>
      <c r="G18" s="67" t="s">
        <v>176</v>
      </c>
      <c r="I18" s="67">
        <v>24</v>
      </c>
      <c r="J18" s="67" t="s">
        <v>176</v>
      </c>
      <c r="K18" s="67">
        <v>32.5</v>
      </c>
      <c r="L18" s="67" t="s">
        <v>176</v>
      </c>
    </row>
    <row r="19" spans="1:12" x14ac:dyDescent="0.3">
      <c r="A19" s="67" t="s">
        <v>177</v>
      </c>
      <c r="B19" s="69">
        <v>45034</v>
      </c>
      <c r="C19" s="67">
        <v>2.6</v>
      </c>
      <c r="D19" s="67">
        <v>7.6</v>
      </c>
      <c r="E19" s="67">
        <v>20</v>
      </c>
      <c r="F19" s="67">
        <v>6.1</v>
      </c>
      <c r="G19" s="67" t="s">
        <v>176</v>
      </c>
      <c r="I19" s="67">
        <v>25.9</v>
      </c>
      <c r="J19" s="67" t="s">
        <v>176</v>
      </c>
      <c r="K19" s="67">
        <v>32.5</v>
      </c>
      <c r="L19" s="67" t="s">
        <v>176</v>
      </c>
    </row>
    <row r="20" spans="1:12" x14ac:dyDescent="0.3">
      <c r="A20" s="67" t="s">
        <v>177</v>
      </c>
      <c r="B20" s="69">
        <v>45035</v>
      </c>
      <c r="C20" s="67">
        <v>0.4</v>
      </c>
      <c r="D20" s="67">
        <v>8.6</v>
      </c>
      <c r="E20" s="67">
        <v>20.6</v>
      </c>
      <c r="F20" s="67">
        <v>7</v>
      </c>
      <c r="G20" s="67" t="s">
        <v>176</v>
      </c>
      <c r="I20" s="67">
        <v>28.7</v>
      </c>
      <c r="J20" s="67" t="s">
        <v>176</v>
      </c>
      <c r="K20" s="67">
        <v>32.5</v>
      </c>
      <c r="L20" s="67" t="s">
        <v>176</v>
      </c>
    </row>
    <row r="21" spans="1:12" x14ac:dyDescent="0.3">
      <c r="A21" s="67" t="s">
        <v>177</v>
      </c>
      <c r="B21" s="69">
        <v>45036</v>
      </c>
      <c r="C21" s="67">
        <v>-1.4</v>
      </c>
      <c r="D21" s="67">
        <v>11.6</v>
      </c>
      <c r="E21" s="67">
        <v>21</v>
      </c>
      <c r="F21" s="67">
        <v>7.6</v>
      </c>
      <c r="G21" s="67" t="s">
        <v>176</v>
      </c>
      <c r="I21" s="67">
        <v>32.200000000000003</v>
      </c>
      <c r="J21" s="67" t="s">
        <v>176</v>
      </c>
      <c r="K21" s="67">
        <v>32.5</v>
      </c>
      <c r="L21" s="67" t="s">
        <v>176</v>
      </c>
    </row>
    <row r="22" spans="1:12" x14ac:dyDescent="0.3">
      <c r="A22" s="67" t="s">
        <v>177</v>
      </c>
      <c r="B22" s="69">
        <v>45037</v>
      </c>
      <c r="C22" s="67">
        <v>0.2</v>
      </c>
      <c r="D22" s="67">
        <v>11.6</v>
      </c>
      <c r="E22" s="67">
        <v>21.8</v>
      </c>
      <c r="F22" s="67">
        <v>8</v>
      </c>
      <c r="G22" s="67" t="s">
        <v>176</v>
      </c>
      <c r="I22" s="67">
        <v>36.200000000000003</v>
      </c>
      <c r="J22" s="67" t="s">
        <v>176</v>
      </c>
      <c r="K22" s="67">
        <v>32.5</v>
      </c>
      <c r="L22" s="67" t="s">
        <v>176</v>
      </c>
    </row>
    <row r="23" spans="1:12" x14ac:dyDescent="0.3">
      <c r="A23" s="67" t="s">
        <v>177</v>
      </c>
      <c r="B23" s="69">
        <v>45038</v>
      </c>
      <c r="C23" s="67">
        <v>4.3</v>
      </c>
      <c r="D23" s="67">
        <v>11.6</v>
      </c>
      <c r="E23" s="67">
        <v>22.4</v>
      </c>
      <c r="F23" s="67">
        <v>8.1999999999999993</v>
      </c>
      <c r="G23" s="67" t="s">
        <v>176</v>
      </c>
      <c r="I23" s="67">
        <v>40</v>
      </c>
      <c r="J23" s="67" t="s">
        <v>176</v>
      </c>
      <c r="K23" s="67">
        <v>32.5</v>
      </c>
      <c r="L23" s="67" t="s">
        <v>176</v>
      </c>
    </row>
    <row r="24" spans="1:12" x14ac:dyDescent="0.3">
      <c r="A24" s="67" t="s">
        <v>177</v>
      </c>
      <c r="B24" s="69">
        <v>45039</v>
      </c>
      <c r="C24" s="67">
        <v>8</v>
      </c>
      <c r="D24" s="67">
        <v>11.6</v>
      </c>
      <c r="E24" s="67">
        <v>23.3</v>
      </c>
      <c r="F24" s="67">
        <v>7.8</v>
      </c>
      <c r="G24" s="67" t="s">
        <v>176</v>
      </c>
      <c r="I24" s="67">
        <v>43.8</v>
      </c>
      <c r="J24" s="67" t="s">
        <v>176</v>
      </c>
      <c r="K24" s="67">
        <v>35</v>
      </c>
      <c r="L24" s="67" t="s">
        <v>176</v>
      </c>
    </row>
    <row r="25" spans="1:12" x14ac:dyDescent="0.3">
      <c r="A25" s="67" t="s">
        <v>177</v>
      </c>
      <c r="B25" s="69">
        <v>45040</v>
      </c>
      <c r="C25" s="67">
        <v>10.3</v>
      </c>
      <c r="D25" s="67">
        <v>11.6</v>
      </c>
      <c r="E25" s="67">
        <v>24</v>
      </c>
      <c r="F25" s="67">
        <v>7.3</v>
      </c>
      <c r="G25" s="67" t="s">
        <v>176</v>
      </c>
      <c r="I25" s="67">
        <v>47</v>
      </c>
      <c r="J25" s="67" t="s">
        <v>176</v>
      </c>
      <c r="K25" s="67">
        <v>40.299999999999997</v>
      </c>
      <c r="L25" s="67" t="s">
        <v>176</v>
      </c>
    </row>
    <row r="26" spans="1:12" x14ac:dyDescent="0.3">
      <c r="A26" s="67" t="s">
        <v>177</v>
      </c>
      <c r="B26" s="69">
        <v>45041</v>
      </c>
      <c r="C26" s="67">
        <v>12.1</v>
      </c>
      <c r="D26" s="67">
        <v>11.7</v>
      </c>
      <c r="E26" s="67">
        <v>25</v>
      </c>
      <c r="F26" s="67">
        <v>7.2</v>
      </c>
      <c r="G26" s="67" t="s">
        <v>176</v>
      </c>
      <c r="I26" s="67">
        <v>50</v>
      </c>
      <c r="J26" s="67" t="s">
        <v>176</v>
      </c>
      <c r="K26" s="67">
        <v>46.5</v>
      </c>
      <c r="L26" s="67" t="s">
        <v>176</v>
      </c>
    </row>
    <row r="27" spans="1:12" x14ac:dyDescent="0.3">
      <c r="A27" s="67" t="s">
        <v>177</v>
      </c>
      <c r="B27" s="69">
        <v>45042</v>
      </c>
      <c r="C27" s="67">
        <v>10.199999999999999</v>
      </c>
      <c r="D27" s="67">
        <v>11.7</v>
      </c>
      <c r="E27" s="67">
        <v>26.5</v>
      </c>
      <c r="F27" s="67">
        <v>8.1</v>
      </c>
      <c r="G27" s="67" t="s">
        <v>176</v>
      </c>
      <c r="I27" s="67">
        <v>53.6</v>
      </c>
      <c r="J27" s="67" t="s">
        <v>176</v>
      </c>
      <c r="K27" s="67">
        <v>49.7</v>
      </c>
      <c r="L27" s="67" t="s">
        <v>176</v>
      </c>
    </row>
    <row r="28" spans="1:12" x14ac:dyDescent="0.3">
      <c r="A28" s="67" t="s">
        <v>177</v>
      </c>
      <c r="B28" s="69">
        <v>45043</v>
      </c>
      <c r="C28" s="67">
        <v>8.5</v>
      </c>
      <c r="D28" s="67">
        <v>13.6</v>
      </c>
      <c r="E28" s="67">
        <v>28</v>
      </c>
      <c r="F28" s="67">
        <v>7.8</v>
      </c>
      <c r="G28" s="67" t="s">
        <v>176</v>
      </c>
      <c r="I28" s="67">
        <v>57.4</v>
      </c>
      <c r="J28" s="67" t="s">
        <v>176</v>
      </c>
      <c r="K28" s="67">
        <v>52.9</v>
      </c>
      <c r="L28" s="67" t="s">
        <v>176</v>
      </c>
    </row>
    <row r="29" spans="1:12" x14ac:dyDescent="0.3">
      <c r="A29" s="67" t="s">
        <v>177</v>
      </c>
      <c r="B29" s="69">
        <v>45044</v>
      </c>
      <c r="C29" s="67">
        <v>11.6</v>
      </c>
      <c r="D29" s="67">
        <v>13.9</v>
      </c>
      <c r="E29" s="67">
        <v>30.3</v>
      </c>
      <c r="F29" s="67">
        <v>7.7</v>
      </c>
      <c r="G29" s="67" t="s">
        <v>176</v>
      </c>
      <c r="I29" s="67">
        <v>61.1</v>
      </c>
      <c r="J29" s="67" t="s">
        <v>176</v>
      </c>
      <c r="K29" s="67">
        <v>58.1</v>
      </c>
      <c r="L29" s="67" t="s">
        <v>176</v>
      </c>
    </row>
    <row r="30" spans="1:12" x14ac:dyDescent="0.3">
      <c r="A30" s="67" t="s">
        <v>177</v>
      </c>
      <c r="B30" s="69">
        <v>45045</v>
      </c>
      <c r="C30" s="67">
        <v>13</v>
      </c>
      <c r="D30" s="67">
        <v>14.1</v>
      </c>
      <c r="E30" s="67">
        <v>31.5</v>
      </c>
      <c r="F30" s="67">
        <v>7.2</v>
      </c>
      <c r="G30" s="67" t="s">
        <v>176</v>
      </c>
      <c r="I30" s="67">
        <v>64.400000000000006</v>
      </c>
      <c r="J30" s="67" t="s">
        <v>176</v>
      </c>
      <c r="K30" s="67">
        <v>65.7</v>
      </c>
      <c r="L30" s="67" t="s">
        <v>176</v>
      </c>
    </row>
    <row r="31" spans="1:12" x14ac:dyDescent="0.3">
      <c r="A31" s="67" t="s">
        <v>177</v>
      </c>
      <c r="B31" s="69">
        <v>45046</v>
      </c>
      <c r="C31" s="67">
        <v>15.8</v>
      </c>
      <c r="D31" s="67">
        <v>14.1</v>
      </c>
      <c r="E31" s="67">
        <v>32.4</v>
      </c>
      <c r="F31" s="67">
        <v>7.2</v>
      </c>
      <c r="G31" s="67" t="s">
        <v>176</v>
      </c>
      <c r="I31" s="67">
        <v>67.400000000000006</v>
      </c>
      <c r="J31" s="67" t="s">
        <v>176</v>
      </c>
      <c r="K31" s="67">
        <v>75.099999999999994</v>
      </c>
      <c r="L31" s="67" t="s">
        <v>176</v>
      </c>
    </row>
    <row r="32" spans="1:12" x14ac:dyDescent="0.3">
      <c r="A32" s="67" t="s">
        <v>177</v>
      </c>
      <c r="B32" s="69">
        <v>45047</v>
      </c>
      <c r="C32" s="67">
        <v>16.899999999999999</v>
      </c>
      <c r="D32" s="67">
        <v>14.1</v>
      </c>
      <c r="E32" s="67">
        <v>33</v>
      </c>
      <c r="F32" s="67">
        <v>8.1</v>
      </c>
      <c r="G32" s="67" t="s">
        <v>176</v>
      </c>
      <c r="I32" s="67">
        <v>71</v>
      </c>
      <c r="J32" s="67" t="s">
        <v>176</v>
      </c>
      <c r="K32" s="67">
        <v>86.3</v>
      </c>
      <c r="L32" s="67" t="s">
        <v>176</v>
      </c>
    </row>
    <row r="33" spans="1:12" x14ac:dyDescent="0.3">
      <c r="A33" s="67" t="s">
        <v>177</v>
      </c>
      <c r="B33" s="69">
        <v>45048</v>
      </c>
      <c r="C33" s="67">
        <v>16</v>
      </c>
      <c r="D33" s="67">
        <v>14.1</v>
      </c>
      <c r="E33" s="67">
        <v>34.1</v>
      </c>
      <c r="F33" s="67">
        <v>8.6999999999999993</v>
      </c>
      <c r="G33" s="67" t="s">
        <v>176</v>
      </c>
      <c r="I33" s="67">
        <v>74.900000000000006</v>
      </c>
      <c r="J33" s="67" t="s">
        <v>176</v>
      </c>
      <c r="K33" s="67">
        <v>96</v>
      </c>
      <c r="L33" s="67" t="s">
        <v>176</v>
      </c>
    </row>
    <row r="34" spans="1:12" x14ac:dyDescent="0.3">
      <c r="A34" s="67" t="s">
        <v>177</v>
      </c>
      <c r="B34" s="69">
        <v>45049</v>
      </c>
      <c r="C34" s="67">
        <v>17.5</v>
      </c>
      <c r="D34" s="67">
        <v>14.1</v>
      </c>
      <c r="E34" s="67">
        <v>36.200000000000003</v>
      </c>
      <c r="F34" s="67">
        <v>8.3000000000000007</v>
      </c>
      <c r="G34" s="67" t="s">
        <v>176</v>
      </c>
      <c r="I34" s="67">
        <v>78.7</v>
      </c>
      <c r="J34" s="67" t="s">
        <v>176</v>
      </c>
      <c r="K34" s="67">
        <v>107.5</v>
      </c>
      <c r="L34" s="67" t="s">
        <v>176</v>
      </c>
    </row>
    <row r="35" spans="1:12" x14ac:dyDescent="0.3">
      <c r="A35" s="67" t="s">
        <v>177</v>
      </c>
      <c r="B35" s="69">
        <v>45050</v>
      </c>
      <c r="C35" s="67">
        <v>18.3</v>
      </c>
      <c r="D35" s="67">
        <v>14.1</v>
      </c>
      <c r="E35" s="67">
        <v>37</v>
      </c>
      <c r="F35" s="67">
        <v>9.1</v>
      </c>
      <c r="G35" s="67" t="s">
        <v>176</v>
      </c>
      <c r="I35" s="67">
        <v>83.2</v>
      </c>
      <c r="J35" s="67" t="s">
        <v>176</v>
      </c>
      <c r="K35" s="67">
        <v>120.6</v>
      </c>
      <c r="L35" s="67" t="s">
        <v>176</v>
      </c>
    </row>
    <row r="36" spans="1:12" x14ac:dyDescent="0.3">
      <c r="A36" s="67" t="s">
        <v>177</v>
      </c>
      <c r="B36" s="69">
        <v>45051</v>
      </c>
      <c r="C36" s="67">
        <v>17.5</v>
      </c>
      <c r="D36" s="67">
        <v>14.1</v>
      </c>
      <c r="E36" s="67">
        <v>38.5</v>
      </c>
      <c r="F36" s="67">
        <v>9.1</v>
      </c>
      <c r="G36" s="67" t="s">
        <v>176</v>
      </c>
      <c r="I36" s="67">
        <v>87.9</v>
      </c>
      <c r="J36" s="67" t="s">
        <v>176</v>
      </c>
      <c r="K36" s="67">
        <v>132.80000000000001</v>
      </c>
      <c r="L36" s="67" t="s">
        <v>176</v>
      </c>
    </row>
    <row r="37" spans="1:12" x14ac:dyDescent="0.3">
      <c r="A37" s="67" t="s">
        <v>177</v>
      </c>
      <c r="B37" s="69">
        <v>45052</v>
      </c>
      <c r="C37" s="109">
        <v>9.6</v>
      </c>
      <c r="D37" s="67">
        <v>15.3</v>
      </c>
      <c r="E37" s="67">
        <v>39.9</v>
      </c>
      <c r="F37" s="67">
        <v>9.5</v>
      </c>
      <c r="G37" s="67" t="s">
        <v>176</v>
      </c>
      <c r="I37" s="67">
        <v>92.9</v>
      </c>
      <c r="J37" s="67" t="s">
        <v>176</v>
      </c>
      <c r="K37" s="67">
        <v>138.4</v>
      </c>
      <c r="L37" s="67" t="s">
        <v>176</v>
      </c>
    </row>
    <row r="38" spans="1:12" x14ac:dyDescent="0.3">
      <c r="A38" s="67" t="s">
        <v>177</v>
      </c>
      <c r="B38" s="69">
        <v>45053</v>
      </c>
      <c r="C38" s="67">
        <v>10.5</v>
      </c>
      <c r="D38" s="67">
        <v>15.3</v>
      </c>
      <c r="E38" s="67">
        <v>42.2</v>
      </c>
      <c r="F38" s="67">
        <v>8.8000000000000007</v>
      </c>
      <c r="G38" s="67" t="s">
        <v>176</v>
      </c>
      <c r="I38" s="67">
        <v>97.3</v>
      </c>
      <c r="J38" s="67" t="s">
        <v>176</v>
      </c>
      <c r="K38" s="67">
        <v>145.19999999999999</v>
      </c>
      <c r="L38" s="67" t="s">
        <v>176</v>
      </c>
    </row>
    <row r="39" spans="1:12" x14ac:dyDescent="0.3">
      <c r="A39" s="67" t="s">
        <v>177</v>
      </c>
      <c r="B39" s="69">
        <v>45054</v>
      </c>
      <c r="C39" s="67">
        <v>12.6</v>
      </c>
      <c r="D39" s="67">
        <v>23.6</v>
      </c>
      <c r="E39" s="67">
        <v>43.5</v>
      </c>
      <c r="F39" s="67">
        <v>9.1999999999999993</v>
      </c>
      <c r="G39" s="67" t="s">
        <v>176</v>
      </c>
      <c r="I39" s="67">
        <v>102</v>
      </c>
      <c r="J39" s="67" t="s">
        <v>176</v>
      </c>
      <c r="K39" s="67">
        <v>153</v>
      </c>
      <c r="L39" s="67" t="s">
        <v>176</v>
      </c>
    </row>
    <row r="40" spans="1:12" x14ac:dyDescent="0.3">
      <c r="A40" s="67" t="s">
        <v>177</v>
      </c>
      <c r="B40" s="69">
        <v>45055</v>
      </c>
      <c r="C40" s="67">
        <v>11.4</v>
      </c>
      <c r="D40" s="67">
        <v>28.3</v>
      </c>
      <c r="E40" s="67">
        <v>44.3</v>
      </c>
      <c r="F40" s="67">
        <v>8.5</v>
      </c>
      <c r="G40" s="67" t="s">
        <v>176</v>
      </c>
      <c r="I40" s="67">
        <v>105.9</v>
      </c>
      <c r="J40" s="67" t="s">
        <v>176</v>
      </c>
      <c r="K40" s="67">
        <v>159.1</v>
      </c>
      <c r="L40" s="67" t="s">
        <v>176</v>
      </c>
    </row>
    <row r="41" spans="1:12" x14ac:dyDescent="0.3">
      <c r="A41" s="67" t="s">
        <v>177</v>
      </c>
      <c r="B41" s="69">
        <v>45056</v>
      </c>
      <c r="C41" s="67">
        <v>12.5</v>
      </c>
      <c r="D41" s="67">
        <v>29.3</v>
      </c>
      <c r="E41" s="67">
        <v>44.9</v>
      </c>
      <c r="F41" s="67">
        <v>8.6999999999999993</v>
      </c>
      <c r="G41" s="67" t="s">
        <v>176</v>
      </c>
      <c r="I41" s="67">
        <v>109.8</v>
      </c>
      <c r="J41" s="67" t="s">
        <v>176</v>
      </c>
      <c r="K41" s="67">
        <v>167</v>
      </c>
      <c r="L41" s="67" t="s">
        <v>176</v>
      </c>
    </row>
    <row r="42" spans="1:12" x14ac:dyDescent="0.3">
      <c r="A42" s="67" t="s">
        <v>177</v>
      </c>
      <c r="B42" s="69">
        <v>45057</v>
      </c>
      <c r="C42" s="67">
        <v>12.7</v>
      </c>
      <c r="D42" s="67">
        <v>29.3</v>
      </c>
      <c r="E42" s="67">
        <v>45.9</v>
      </c>
      <c r="F42" s="67">
        <v>9.1</v>
      </c>
      <c r="G42" s="67" t="s">
        <v>176</v>
      </c>
      <c r="I42" s="67">
        <v>114.1</v>
      </c>
      <c r="J42" s="67" t="s">
        <v>176</v>
      </c>
      <c r="K42" s="67">
        <v>175.2</v>
      </c>
      <c r="L42" s="67" t="s">
        <v>176</v>
      </c>
    </row>
    <row r="43" spans="1:12" x14ac:dyDescent="0.3">
      <c r="A43" s="67" t="s">
        <v>177</v>
      </c>
      <c r="B43" s="69">
        <v>45058</v>
      </c>
      <c r="C43" s="67">
        <v>13.9</v>
      </c>
      <c r="D43" s="67">
        <v>29.3</v>
      </c>
      <c r="E43" s="67">
        <v>48.4</v>
      </c>
      <c r="F43" s="67">
        <v>10.6</v>
      </c>
      <c r="G43" s="67" t="s">
        <v>176</v>
      </c>
      <c r="I43" s="67">
        <v>119.9</v>
      </c>
      <c r="J43" s="67" t="s">
        <v>176</v>
      </c>
      <c r="K43" s="67">
        <v>183.1</v>
      </c>
      <c r="L43" s="67" t="s">
        <v>176</v>
      </c>
    </row>
    <row r="44" spans="1:12" x14ac:dyDescent="0.3">
      <c r="A44" s="67" t="s">
        <v>177</v>
      </c>
      <c r="B44" s="69">
        <v>45059</v>
      </c>
      <c r="C44" s="67">
        <v>14.7</v>
      </c>
      <c r="D44" s="67">
        <v>29.4</v>
      </c>
      <c r="E44" s="67">
        <v>48.8</v>
      </c>
      <c r="F44" s="67">
        <v>10.8</v>
      </c>
      <c r="G44" s="67" t="s">
        <v>176</v>
      </c>
      <c r="I44" s="67">
        <v>125.8</v>
      </c>
      <c r="J44" s="67" t="s">
        <v>176</v>
      </c>
      <c r="K44" s="67">
        <v>192.2</v>
      </c>
      <c r="L44" s="67" t="s">
        <v>176</v>
      </c>
    </row>
    <row r="45" spans="1:12" x14ac:dyDescent="0.3">
      <c r="A45" s="67" t="s">
        <v>177</v>
      </c>
      <c r="B45" s="69">
        <v>45060</v>
      </c>
      <c r="C45" s="67">
        <v>14.8</v>
      </c>
      <c r="D45" s="67">
        <v>29.6</v>
      </c>
      <c r="E45" s="67">
        <v>49.9</v>
      </c>
      <c r="F45" s="67">
        <v>11.6</v>
      </c>
      <c r="G45" s="67" t="s">
        <v>176</v>
      </c>
      <c r="I45" s="67">
        <v>132.4</v>
      </c>
      <c r="J45" s="67" t="s">
        <v>176</v>
      </c>
      <c r="K45" s="67">
        <v>200.8</v>
      </c>
      <c r="L45" s="67" t="s">
        <v>176</v>
      </c>
    </row>
    <row r="46" spans="1:12" x14ac:dyDescent="0.3">
      <c r="A46" s="67" t="s">
        <v>177</v>
      </c>
      <c r="B46" s="69">
        <v>45061</v>
      </c>
      <c r="C46" s="67">
        <v>18.7</v>
      </c>
      <c r="D46" s="67">
        <v>29.6</v>
      </c>
      <c r="E46" s="67">
        <v>51.2</v>
      </c>
      <c r="F46" s="67">
        <v>12</v>
      </c>
      <c r="G46" s="67" t="s">
        <v>176</v>
      </c>
      <c r="I46" s="67">
        <v>139.4</v>
      </c>
      <c r="J46" s="67" t="s">
        <v>176</v>
      </c>
      <c r="K46" s="67">
        <v>214.2</v>
      </c>
      <c r="L46" s="67" t="s">
        <v>176</v>
      </c>
    </row>
    <row r="47" spans="1:12" x14ac:dyDescent="0.3">
      <c r="A47" s="67" t="s">
        <v>177</v>
      </c>
      <c r="B47" s="69">
        <v>45062</v>
      </c>
      <c r="C47" s="67">
        <v>18.399999999999999</v>
      </c>
      <c r="D47" s="67">
        <v>29.6</v>
      </c>
      <c r="E47" s="67">
        <v>51.7</v>
      </c>
      <c r="F47" s="67">
        <v>12.3</v>
      </c>
      <c r="G47" s="67" t="s">
        <v>176</v>
      </c>
      <c r="I47" s="67">
        <v>146.69999999999999</v>
      </c>
      <c r="J47" s="67" t="s">
        <v>176</v>
      </c>
      <c r="K47" s="67">
        <v>227.4</v>
      </c>
      <c r="L47" s="67" t="s">
        <v>176</v>
      </c>
    </row>
    <row r="48" spans="1:12" x14ac:dyDescent="0.3">
      <c r="A48" s="67" t="s">
        <v>177</v>
      </c>
      <c r="B48" s="69">
        <v>45063</v>
      </c>
      <c r="C48" s="67">
        <v>14.3</v>
      </c>
      <c r="D48" s="67">
        <v>29.6</v>
      </c>
      <c r="E48" s="67">
        <v>54</v>
      </c>
      <c r="F48" s="67">
        <v>11.9</v>
      </c>
      <c r="G48" s="67" t="s">
        <v>176</v>
      </c>
      <c r="I48" s="67">
        <v>153.69999999999999</v>
      </c>
      <c r="J48" s="67" t="s">
        <v>176</v>
      </c>
      <c r="K48" s="67">
        <v>236.3</v>
      </c>
      <c r="L48" s="67" t="s">
        <v>176</v>
      </c>
    </row>
    <row r="49" spans="1:12" x14ac:dyDescent="0.3">
      <c r="A49" s="67" t="s">
        <v>177</v>
      </c>
      <c r="B49" s="69">
        <v>45064</v>
      </c>
      <c r="C49" s="67">
        <v>12.1</v>
      </c>
      <c r="D49" s="67">
        <v>29.6</v>
      </c>
      <c r="E49" s="67">
        <v>55.8</v>
      </c>
      <c r="F49" s="67">
        <v>11.7</v>
      </c>
      <c r="G49" s="67" t="s">
        <v>176</v>
      </c>
      <c r="I49" s="67">
        <v>160.4</v>
      </c>
      <c r="J49" s="67" t="s">
        <v>176</v>
      </c>
      <c r="K49" s="67">
        <v>242.2</v>
      </c>
      <c r="L49" s="67" t="s">
        <v>176</v>
      </c>
    </row>
    <row r="50" spans="1:12" x14ac:dyDescent="0.3">
      <c r="A50" s="67" t="s">
        <v>177</v>
      </c>
      <c r="B50" s="69">
        <v>45065</v>
      </c>
      <c r="C50" s="67">
        <v>20.3</v>
      </c>
      <c r="D50" s="67">
        <v>29.7</v>
      </c>
      <c r="E50" s="67">
        <v>57.8</v>
      </c>
      <c r="F50" s="67">
        <v>11.8</v>
      </c>
      <c r="G50" s="67" t="s">
        <v>176</v>
      </c>
      <c r="I50" s="67">
        <v>167.2</v>
      </c>
      <c r="J50" s="67" t="s">
        <v>176</v>
      </c>
      <c r="K50" s="67">
        <v>255.8</v>
      </c>
      <c r="L50" s="67" t="s">
        <v>176</v>
      </c>
    </row>
    <row r="51" spans="1:12" x14ac:dyDescent="0.3">
      <c r="A51" s="67" t="s">
        <v>177</v>
      </c>
      <c r="B51" s="69">
        <v>45066</v>
      </c>
      <c r="C51" s="67">
        <v>20.2</v>
      </c>
      <c r="D51" s="67">
        <v>29.7</v>
      </c>
      <c r="E51" s="67">
        <v>60.4</v>
      </c>
      <c r="F51" s="67">
        <v>11.4</v>
      </c>
      <c r="G51" s="67" t="s">
        <v>176</v>
      </c>
      <c r="I51" s="67">
        <v>173.7</v>
      </c>
      <c r="J51" s="67" t="s">
        <v>176</v>
      </c>
      <c r="K51" s="67">
        <v>270.3</v>
      </c>
      <c r="L51" s="67" t="s">
        <v>176</v>
      </c>
    </row>
    <row r="52" spans="1:12" x14ac:dyDescent="0.3">
      <c r="A52" s="67" t="s">
        <v>177</v>
      </c>
      <c r="B52" s="69">
        <v>45067</v>
      </c>
      <c r="C52" s="67">
        <v>21.8</v>
      </c>
      <c r="D52" s="67">
        <v>29.7</v>
      </c>
      <c r="E52" s="67">
        <v>64.099999999999994</v>
      </c>
      <c r="F52" s="67">
        <v>11.3</v>
      </c>
      <c r="G52" s="67" t="s">
        <v>176</v>
      </c>
      <c r="I52" s="67">
        <v>180</v>
      </c>
      <c r="J52" s="67" t="s">
        <v>176</v>
      </c>
      <c r="K52" s="67">
        <v>286.7</v>
      </c>
      <c r="L52" s="67" t="s">
        <v>176</v>
      </c>
    </row>
    <row r="53" spans="1:12" x14ac:dyDescent="0.3">
      <c r="A53" s="67" t="s">
        <v>177</v>
      </c>
      <c r="B53" s="69">
        <v>45068</v>
      </c>
      <c r="C53" s="67">
        <v>18.3</v>
      </c>
      <c r="D53" s="67">
        <v>29.7</v>
      </c>
      <c r="E53" s="67">
        <v>67.099999999999994</v>
      </c>
      <c r="F53" s="67">
        <v>11.4</v>
      </c>
      <c r="G53" s="67" t="s">
        <v>176</v>
      </c>
      <c r="I53" s="67">
        <v>186.6</v>
      </c>
      <c r="J53" s="67" t="s">
        <v>176</v>
      </c>
      <c r="K53" s="67">
        <v>299.7</v>
      </c>
      <c r="L53" s="67" t="s">
        <v>176</v>
      </c>
    </row>
    <row r="54" spans="1:12" x14ac:dyDescent="0.3">
      <c r="A54" s="67" t="s">
        <v>177</v>
      </c>
      <c r="B54" s="69">
        <v>45069</v>
      </c>
      <c r="C54" s="67">
        <v>15.8</v>
      </c>
      <c r="D54" s="67">
        <v>29.7</v>
      </c>
      <c r="E54" s="67">
        <v>68.900000000000006</v>
      </c>
      <c r="F54" s="67">
        <v>11.8</v>
      </c>
      <c r="G54" s="67" t="s">
        <v>176</v>
      </c>
      <c r="I54" s="67">
        <v>193.6</v>
      </c>
      <c r="J54" s="67" t="s">
        <v>176</v>
      </c>
      <c r="K54" s="67">
        <v>310.2</v>
      </c>
      <c r="L54" s="67" t="s">
        <v>176</v>
      </c>
    </row>
    <row r="55" spans="1:12" x14ac:dyDescent="0.3">
      <c r="A55" s="67" t="s">
        <v>177</v>
      </c>
      <c r="B55" s="69">
        <v>45070</v>
      </c>
      <c r="C55" s="67">
        <v>14.8</v>
      </c>
      <c r="D55" s="67">
        <v>33.799999999999997</v>
      </c>
      <c r="E55" s="67">
        <v>71.3</v>
      </c>
      <c r="F55" s="67">
        <v>11.7</v>
      </c>
      <c r="G55" s="67" t="s">
        <v>176</v>
      </c>
      <c r="I55" s="67">
        <v>200.4</v>
      </c>
      <c r="J55" s="67" t="s">
        <v>176</v>
      </c>
      <c r="K55" s="67">
        <v>320.39999999999998</v>
      </c>
      <c r="L55" s="67" t="s">
        <v>176</v>
      </c>
    </row>
    <row r="56" spans="1:12" x14ac:dyDescent="0.3">
      <c r="A56" s="67" t="s">
        <v>177</v>
      </c>
      <c r="B56" s="69">
        <v>45071</v>
      </c>
      <c r="C56" s="67">
        <v>15.2</v>
      </c>
      <c r="D56" s="67">
        <v>33.9</v>
      </c>
      <c r="E56" s="67">
        <v>74.2</v>
      </c>
      <c r="F56" s="67">
        <v>12.8</v>
      </c>
      <c r="G56" s="67" t="s">
        <v>176</v>
      </c>
      <c r="I56" s="67">
        <v>208.3</v>
      </c>
      <c r="J56" s="67" t="s">
        <v>176</v>
      </c>
      <c r="K56" s="67">
        <v>329.9</v>
      </c>
      <c r="L56" s="67" t="s">
        <v>176</v>
      </c>
    </row>
    <row r="57" spans="1:12" x14ac:dyDescent="0.3">
      <c r="A57" s="67" t="s">
        <v>177</v>
      </c>
      <c r="B57" s="69">
        <v>45072</v>
      </c>
      <c r="C57" s="67">
        <v>15.8</v>
      </c>
      <c r="D57" s="67">
        <v>33.9</v>
      </c>
      <c r="E57" s="67">
        <v>75.8</v>
      </c>
      <c r="F57" s="67">
        <v>12.8</v>
      </c>
      <c r="G57" s="67" t="s">
        <v>176</v>
      </c>
      <c r="I57" s="67">
        <v>216.1</v>
      </c>
      <c r="J57" s="67" t="s">
        <v>176</v>
      </c>
      <c r="K57" s="67">
        <v>340.7</v>
      </c>
      <c r="L57" s="67" t="s">
        <v>176</v>
      </c>
    </row>
    <row r="58" spans="1:12" x14ac:dyDescent="0.3">
      <c r="A58" s="67" t="s">
        <v>177</v>
      </c>
      <c r="B58" s="69">
        <v>45073</v>
      </c>
      <c r="C58" s="67">
        <v>14.2</v>
      </c>
      <c r="D58" s="67">
        <v>36.200000000000003</v>
      </c>
      <c r="E58" s="67">
        <v>79.099999999999994</v>
      </c>
      <c r="F58" s="67">
        <v>12.6</v>
      </c>
      <c r="G58" s="67" t="s">
        <v>176</v>
      </c>
      <c r="I58" s="67">
        <v>223.8</v>
      </c>
      <c r="J58" s="67" t="s">
        <v>176</v>
      </c>
      <c r="K58" s="67">
        <v>349.3</v>
      </c>
      <c r="L58" s="67" t="s">
        <v>176</v>
      </c>
    </row>
    <row r="59" spans="1:12" x14ac:dyDescent="0.3">
      <c r="A59" s="67" t="s">
        <v>177</v>
      </c>
      <c r="B59" s="69">
        <v>45074</v>
      </c>
      <c r="C59" s="67">
        <v>16.8</v>
      </c>
      <c r="D59" s="67">
        <v>36.4</v>
      </c>
      <c r="E59" s="67">
        <v>82.1</v>
      </c>
      <c r="F59" s="67">
        <v>12.7</v>
      </c>
      <c r="G59" s="67" t="s">
        <v>176</v>
      </c>
      <c r="I59" s="67">
        <v>231.5</v>
      </c>
      <c r="J59" s="67" t="s">
        <v>176</v>
      </c>
      <c r="K59" s="67">
        <v>361.1</v>
      </c>
      <c r="L59" s="67" t="s">
        <v>176</v>
      </c>
    </row>
    <row r="60" spans="1:12" x14ac:dyDescent="0.3">
      <c r="A60" s="67" t="s">
        <v>177</v>
      </c>
      <c r="B60" s="69">
        <v>45075</v>
      </c>
      <c r="C60" s="67">
        <v>20.3</v>
      </c>
      <c r="D60" s="67">
        <v>36.799999999999997</v>
      </c>
      <c r="E60" s="67">
        <v>83.6</v>
      </c>
      <c r="F60" s="67">
        <v>13.3</v>
      </c>
      <c r="G60" s="67" t="s">
        <v>176</v>
      </c>
      <c r="I60" s="67">
        <v>239.8</v>
      </c>
      <c r="J60" s="67" t="s">
        <v>176</v>
      </c>
      <c r="K60" s="67">
        <v>376.8</v>
      </c>
      <c r="L60" s="67" t="s">
        <v>176</v>
      </c>
    </row>
    <row r="61" spans="1:12" x14ac:dyDescent="0.3">
      <c r="A61" s="67" t="s">
        <v>177</v>
      </c>
      <c r="B61" s="69">
        <v>45076</v>
      </c>
      <c r="C61" s="67">
        <v>20.5</v>
      </c>
      <c r="D61" s="67">
        <v>36.799999999999997</v>
      </c>
      <c r="E61" s="67">
        <v>85.6</v>
      </c>
      <c r="F61" s="67">
        <v>13.5</v>
      </c>
      <c r="G61" s="67" t="s">
        <v>176</v>
      </c>
      <c r="I61" s="67">
        <v>248.3</v>
      </c>
      <c r="J61" s="67" t="s">
        <v>176</v>
      </c>
      <c r="K61" s="67">
        <v>391.1</v>
      </c>
      <c r="L61" s="67" t="s">
        <v>176</v>
      </c>
    </row>
    <row r="62" spans="1:12" x14ac:dyDescent="0.3">
      <c r="A62" s="67" t="s">
        <v>177</v>
      </c>
      <c r="B62" s="69">
        <v>45077</v>
      </c>
      <c r="C62" s="67">
        <v>17.7</v>
      </c>
      <c r="D62" s="67">
        <v>36.799999999999997</v>
      </c>
      <c r="E62" s="67">
        <v>86.3</v>
      </c>
      <c r="F62" s="67">
        <v>14.2</v>
      </c>
      <c r="G62" s="67" t="s">
        <v>176</v>
      </c>
      <c r="I62" s="67">
        <v>257.5</v>
      </c>
      <c r="J62" s="67" t="s">
        <v>176</v>
      </c>
      <c r="K62" s="67">
        <v>402.9</v>
      </c>
      <c r="L62" s="67" t="s">
        <v>176</v>
      </c>
    </row>
    <row r="63" spans="1:12" x14ac:dyDescent="0.3">
      <c r="A63" s="67" t="s">
        <v>177</v>
      </c>
      <c r="B63" s="69">
        <v>45078</v>
      </c>
      <c r="C63" s="67">
        <v>14</v>
      </c>
      <c r="D63" s="67">
        <v>36.9</v>
      </c>
      <c r="E63" s="67">
        <v>88.9</v>
      </c>
      <c r="F63" s="67">
        <v>14.5</v>
      </c>
      <c r="G63" s="67" t="s">
        <v>176</v>
      </c>
      <c r="I63" s="67">
        <v>267</v>
      </c>
      <c r="J63" s="67" t="s">
        <v>176</v>
      </c>
      <c r="K63" s="67">
        <v>410.9</v>
      </c>
      <c r="L63" s="67" t="s">
        <v>176</v>
      </c>
    </row>
    <row r="64" spans="1:12" x14ac:dyDescent="0.3">
      <c r="A64" s="67" t="s">
        <v>177</v>
      </c>
      <c r="B64" s="69">
        <v>45079</v>
      </c>
      <c r="C64" s="67">
        <v>14.7</v>
      </c>
      <c r="D64" s="67">
        <v>36.9</v>
      </c>
      <c r="E64" s="67">
        <v>92.5</v>
      </c>
      <c r="F64" s="67">
        <v>14.3</v>
      </c>
      <c r="G64" s="67" t="s">
        <v>176</v>
      </c>
      <c r="I64" s="67">
        <v>276.3</v>
      </c>
      <c r="J64" s="67" t="s">
        <v>176</v>
      </c>
      <c r="K64" s="67">
        <v>420.1</v>
      </c>
      <c r="L64" s="67" t="s">
        <v>176</v>
      </c>
    </row>
    <row r="65" spans="1:12" x14ac:dyDescent="0.3">
      <c r="A65" s="67" t="s">
        <v>177</v>
      </c>
      <c r="B65" s="69">
        <v>45080</v>
      </c>
      <c r="C65" s="67">
        <v>15.1</v>
      </c>
      <c r="D65" s="67">
        <v>39.200000000000003</v>
      </c>
      <c r="E65" s="67">
        <v>96.7</v>
      </c>
      <c r="F65" s="67">
        <v>14.1</v>
      </c>
      <c r="G65" s="67" t="s">
        <v>176</v>
      </c>
      <c r="I65" s="67">
        <v>285.39999999999998</v>
      </c>
      <c r="J65" s="67" t="s">
        <v>176</v>
      </c>
      <c r="K65" s="67">
        <v>430.8</v>
      </c>
      <c r="L65" s="67" t="s">
        <v>176</v>
      </c>
    </row>
    <row r="66" spans="1:12" x14ac:dyDescent="0.3">
      <c r="A66" s="67" t="s">
        <v>177</v>
      </c>
      <c r="B66" s="69">
        <v>45081</v>
      </c>
      <c r="C66" s="67">
        <v>19.399999999999999</v>
      </c>
      <c r="D66" s="67">
        <v>39.200000000000003</v>
      </c>
      <c r="E66" s="67">
        <v>98.3</v>
      </c>
      <c r="F66" s="67">
        <v>14.8</v>
      </c>
      <c r="G66" s="67" t="s">
        <v>176</v>
      </c>
      <c r="I66" s="67">
        <v>295.2</v>
      </c>
      <c r="J66" s="67" t="s">
        <v>176</v>
      </c>
      <c r="K66" s="67">
        <v>444.6</v>
      </c>
      <c r="L66" s="67" t="s">
        <v>176</v>
      </c>
    </row>
    <row r="67" spans="1:12" x14ac:dyDescent="0.3">
      <c r="A67" s="67" t="s">
        <v>177</v>
      </c>
      <c r="B67" s="69">
        <v>45082</v>
      </c>
      <c r="C67" s="67">
        <v>20.399999999999999</v>
      </c>
      <c r="D67" s="67">
        <v>39.200000000000003</v>
      </c>
      <c r="E67" s="67">
        <v>100.7</v>
      </c>
      <c r="F67" s="67">
        <v>14.6</v>
      </c>
      <c r="G67" s="67" t="s">
        <v>176</v>
      </c>
      <c r="I67" s="67">
        <v>304.8</v>
      </c>
      <c r="J67" s="67" t="s">
        <v>176</v>
      </c>
      <c r="K67" s="67">
        <v>459.4</v>
      </c>
      <c r="L67" s="67" t="s">
        <v>176</v>
      </c>
    </row>
    <row r="68" spans="1:12" x14ac:dyDescent="0.3">
      <c r="A68" s="67" t="s">
        <v>177</v>
      </c>
      <c r="B68" s="69">
        <v>45083</v>
      </c>
      <c r="C68" s="67">
        <v>16</v>
      </c>
      <c r="D68" s="67">
        <v>39.200000000000003</v>
      </c>
      <c r="E68" s="67">
        <v>106.8</v>
      </c>
      <c r="F68" s="67">
        <v>13.4</v>
      </c>
      <c r="G68" s="67" t="s">
        <v>176</v>
      </c>
      <c r="I68" s="67">
        <v>313.2</v>
      </c>
      <c r="J68" s="67" t="s">
        <v>176</v>
      </c>
      <c r="K68" s="67">
        <v>470.7</v>
      </c>
      <c r="L68" s="67" t="s">
        <v>176</v>
      </c>
    </row>
    <row r="69" spans="1:12" x14ac:dyDescent="0.3">
      <c r="A69" s="67" t="s">
        <v>177</v>
      </c>
      <c r="B69" s="69">
        <v>45084</v>
      </c>
      <c r="C69" s="67">
        <v>20</v>
      </c>
      <c r="D69" s="67">
        <v>39.200000000000003</v>
      </c>
      <c r="E69" s="67">
        <v>110.7</v>
      </c>
      <c r="F69" s="67">
        <v>13.6</v>
      </c>
      <c r="G69" s="67" t="s">
        <v>176</v>
      </c>
      <c r="I69" s="67">
        <v>321.8</v>
      </c>
      <c r="J69" s="67" t="s">
        <v>176</v>
      </c>
      <c r="K69" s="67">
        <v>484.5</v>
      </c>
      <c r="L69" s="67" t="s">
        <v>176</v>
      </c>
    </row>
    <row r="70" spans="1:12" x14ac:dyDescent="0.3">
      <c r="A70" s="67" t="s">
        <v>177</v>
      </c>
      <c r="B70" s="69">
        <v>45085</v>
      </c>
      <c r="C70" s="67">
        <v>21.2</v>
      </c>
      <c r="D70" s="67">
        <v>39.200000000000003</v>
      </c>
      <c r="E70" s="67">
        <v>114.2</v>
      </c>
      <c r="F70" s="67">
        <v>13.9</v>
      </c>
      <c r="G70" s="67" t="s">
        <v>176</v>
      </c>
      <c r="I70" s="67">
        <v>330.7</v>
      </c>
      <c r="J70" s="67" t="s">
        <v>176</v>
      </c>
      <c r="K70" s="67">
        <v>500.3</v>
      </c>
      <c r="L70" s="67" t="s">
        <v>176</v>
      </c>
    </row>
    <row r="71" spans="1:12" x14ac:dyDescent="0.3">
      <c r="A71" s="67" t="s">
        <v>177</v>
      </c>
      <c r="B71" s="69">
        <v>45086</v>
      </c>
      <c r="C71" s="67">
        <v>18.2</v>
      </c>
      <c r="D71" s="67">
        <v>57.6</v>
      </c>
      <c r="E71" s="67">
        <v>116.8</v>
      </c>
      <c r="F71" s="67">
        <v>13.6</v>
      </c>
      <c r="G71" s="67" t="s">
        <v>176</v>
      </c>
      <c r="I71" s="67">
        <v>339.3</v>
      </c>
      <c r="J71" s="67" t="s">
        <v>176</v>
      </c>
      <c r="K71" s="67">
        <v>514.79999999999995</v>
      </c>
      <c r="L71" s="67" t="s">
        <v>176</v>
      </c>
    </row>
    <row r="72" spans="1:12" x14ac:dyDescent="0.3">
      <c r="A72" s="67" t="s">
        <v>177</v>
      </c>
      <c r="B72" s="69">
        <v>45087</v>
      </c>
      <c r="C72" s="67">
        <v>19.3</v>
      </c>
      <c r="D72" s="67">
        <v>62.2</v>
      </c>
      <c r="E72" s="67">
        <v>120.6</v>
      </c>
      <c r="F72" s="67">
        <v>13.9</v>
      </c>
      <c r="G72" s="67" t="s">
        <v>176</v>
      </c>
      <c r="I72" s="67">
        <v>348.2</v>
      </c>
      <c r="J72" s="67" t="s">
        <v>176</v>
      </c>
      <c r="K72" s="67">
        <v>530.29999999999995</v>
      </c>
      <c r="L72" s="67" t="s">
        <v>176</v>
      </c>
    </row>
    <row r="73" spans="1:12" x14ac:dyDescent="0.3">
      <c r="A73" s="67" t="s">
        <v>177</v>
      </c>
      <c r="B73" s="69">
        <v>45088</v>
      </c>
      <c r="C73" s="67">
        <v>20.7</v>
      </c>
      <c r="D73" s="67">
        <v>62.3</v>
      </c>
      <c r="E73" s="67">
        <v>124.8</v>
      </c>
      <c r="F73" s="67">
        <v>14.1</v>
      </c>
      <c r="G73" s="67" t="s">
        <v>176</v>
      </c>
      <c r="I73" s="67">
        <v>357.3</v>
      </c>
      <c r="J73" s="67" t="s">
        <v>176</v>
      </c>
      <c r="K73" s="67">
        <v>545.79999999999995</v>
      </c>
      <c r="L73" s="67" t="s">
        <v>176</v>
      </c>
    </row>
    <row r="74" spans="1:12" x14ac:dyDescent="0.3">
      <c r="A74" s="67" t="s">
        <v>177</v>
      </c>
      <c r="B74" s="69">
        <v>45089</v>
      </c>
      <c r="C74" s="67">
        <v>21</v>
      </c>
      <c r="D74" s="67">
        <v>62.3</v>
      </c>
      <c r="E74" s="67">
        <v>127.5</v>
      </c>
      <c r="F74" s="67">
        <v>13.8</v>
      </c>
      <c r="G74" s="67" t="s">
        <v>176</v>
      </c>
      <c r="I74" s="67">
        <v>366.1</v>
      </c>
      <c r="J74" s="67" t="s">
        <v>176</v>
      </c>
      <c r="K74" s="67">
        <v>561.79999999999995</v>
      </c>
      <c r="L74" s="67" t="s">
        <v>176</v>
      </c>
    </row>
    <row r="75" spans="1:12" x14ac:dyDescent="0.3">
      <c r="A75" s="67" t="s">
        <v>177</v>
      </c>
      <c r="B75" s="69">
        <v>45090</v>
      </c>
      <c r="C75" s="67">
        <v>21.8</v>
      </c>
      <c r="D75" s="67">
        <v>62.3</v>
      </c>
      <c r="E75" s="67">
        <v>131.80000000000001</v>
      </c>
      <c r="F75" s="67">
        <v>15</v>
      </c>
      <c r="G75" s="67" t="s">
        <v>176</v>
      </c>
      <c r="I75" s="67">
        <v>376.1</v>
      </c>
      <c r="J75" s="67" t="s">
        <v>176</v>
      </c>
      <c r="K75" s="67">
        <v>578</v>
      </c>
      <c r="L75" s="67" t="s">
        <v>176</v>
      </c>
    </row>
    <row r="76" spans="1:12" x14ac:dyDescent="0.3">
      <c r="A76" s="67" t="s">
        <v>177</v>
      </c>
      <c r="B76" s="69">
        <v>45091</v>
      </c>
      <c r="C76" s="67">
        <v>14.7</v>
      </c>
      <c r="D76" s="67">
        <v>65</v>
      </c>
      <c r="E76" s="67">
        <v>133.9</v>
      </c>
      <c r="F76" s="67">
        <v>14.1</v>
      </c>
      <c r="G76" s="67" t="s">
        <v>176</v>
      </c>
      <c r="I76" s="67">
        <v>385.2</v>
      </c>
      <c r="J76" s="67" t="s">
        <v>176</v>
      </c>
      <c r="K76" s="67">
        <v>587.6</v>
      </c>
      <c r="L76" s="67" t="s">
        <v>176</v>
      </c>
    </row>
    <row r="77" spans="1:12" x14ac:dyDescent="0.3">
      <c r="A77" s="67" t="s">
        <v>177</v>
      </c>
      <c r="B77" s="69">
        <v>45092</v>
      </c>
      <c r="C77" s="67">
        <v>13.1</v>
      </c>
      <c r="D77" s="67">
        <v>66.5</v>
      </c>
      <c r="E77" s="67">
        <v>137.5</v>
      </c>
      <c r="F77" s="67">
        <v>13.5</v>
      </c>
      <c r="G77" s="67" t="s">
        <v>176</v>
      </c>
      <c r="I77" s="67">
        <v>393.7</v>
      </c>
      <c r="J77" s="67" t="s">
        <v>176</v>
      </c>
      <c r="K77" s="67">
        <v>595.9</v>
      </c>
      <c r="L77" s="67" t="s">
        <v>176</v>
      </c>
    </row>
    <row r="78" spans="1:12" x14ac:dyDescent="0.3">
      <c r="A78" s="67" t="s">
        <v>177</v>
      </c>
      <c r="B78" s="69">
        <v>45093</v>
      </c>
      <c r="C78" s="67">
        <v>17.100000000000001</v>
      </c>
      <c r="D78" s="67">
        <v>66.599999999999994</v>
      </c>
      <c r="E78" s="67">
        <v>140.80000000000001</v>
      </c>
      <c r="F78" s="67">
        <v>14.5</v>
      </c>
      <c r="G78" s="67" t="s">
        <v>176</v>
      </c>
      <c r="I78" s="67">
        <v>403.2</v>
      </c>
      <c r="J78" s="67" t="s">
        <v>176</v>
      </c>
      <c r="K78" s="67">
        <v>607.20000000000005</v>
      </c>
      <c r="L78" s="67" t="s">
        <v>176</v>
      </c>
    </row>
    <row r="79" spans="1:12" x14ac:dyDescent="0.3">
      <c r="A79" s="67" t="s">
        <v>177</v>
      </c>
      <c r="B79" s="69">
        <v>45094</v>
      </c>
      <c r="C79" s="67">
        <v>18.7</v>
      </c>
      <c r="D79" s="67">
        <v>66.599999999999994</v>
      </c>
      <c r="E79" s="67">
        <v>147.30000000000001</v>
      </c>
      <c r="F79" s="67">
        <v>14.5</v>
      </c>
      <c r="G79" s="67" t="s">
        <v>176</v>
      </c>
      <c r="I79" s="67">
        <v>412.7</v>
      </c>
      <c r="J79" s="67" t="s">
        <v>176</v>
      </c>
      <c r="K79" s="67">
        <v>621.29999999999995</v>
      </c>
      <c r="L79" s="67" t="s">
        <v>176</v>
      </c>
    </row>
    <row r="80" spans="1:12" x14ac:dyDescent="0.3">
      <c r="A80" s="67" t="s">
        <v>177</v>
      </c>
      <c r="B80" s="69">
        <v>45095</v>
      </c>
      <c r="C80" s="67">
        <v>14</v>
      </c>
      <c r="D80" s="67">
        <v>67.599999999999994</v>
      </c>
      <c r="E80" s="67">
        <v>149.80000000000001</v>
      </c>
      <c r="F80" s="67">
        <v>14.6</v>
      </c>
      <c r="G80" s="67" t="s">
        <v>176</v>
      </c>
      <c r="I80" s="67">
        <v>422.3</v>
      </c>
      <c r="J80" s="67" t="s">
        <v>176</v>
      </c>
      <c r="K80" s="67">
        <v>630.5</v>
      </c>
      <c r="L80" s="67" t="s">
        <v>176</v>
      </c>
    </row>
    <row r="81" spans="1:12" x14ac:dyDescent="0.3">
      <c r="A81" s="67" t="s">
        <v>177</v>
      </c>
      <c r="B81" s="69">
        <v>45096</v>
      </c>
      <c r="C81" s="67">
        <v>12.7</v>
      </c>
      <c r="D81" s="67">
        <v>67.599999999999994</v>
      </c>
      <c r="E81" s="67">
        <v>153.30000000000001</v>
      </c>
      <c r="F81" s="67">
        <v>14.7</v>
      </c>
      <c r="G81" s="67" t="s">
        <v>176</v>
      </c>
      <c r="I81" s="67">
        <v>432</v>
      </c>
      <c r="J81" s="67" t="s">
        <v>176</v>
      </c>
      <c r="K81" s="67">
        <v>637.79999999999995</v>
      </c>
      <c r="L81" s="67" t="s">
        <v>176</v>
      </c>
    </row>
    <row r="82" spans="1:12" x14ac:dyDescent="0.3">
      <c r="A82" s="67" t="s">
        <v>177</v>
      </c>
      <c r="B82" s="69">
        <v>45097</v>
      </c>
      <c r="C82" s="67">
        <v>9.9</v>
      </c>
      <c r="D82" s="67">
        <v>67.599999999999994</v>
      </c>
      <c r="E82" s="67">
        <v>156</v>
      </c>
      <c r="F82" s="67">
        <v>15.2</v>
      </c>
      <c r="G82" s="67" t="s">
        <v>176</v>
      </c>
      <c r="I82" s="67">
        <v>442.2</v>
      </c>
      <c r="J82" s="67" t="s">
        <v>176</v>
      </c>
      <c r="K82" s="67">
        <v>642.9</v>
      </c>
      <c r="L82" s="67" t="s">
        <v>176</v>
      </c>
    </row>
    <row r="83" spans="1:12" x14ac:dyDescent="0.3">
      <c r="A83" s="67" t="s">
        <v>177</v>
      </c>
      <c r="B83" s="69">
        <v>45098</v>
      </c>
      <c r="C83" s="67">
        <v>11.9</v>
      </c>
      <c r="D83" s="67">
        <v>67.599999999999994</v>
      </c>
      <c r="E83" s="67">
        <v>157.9</v>
      </c>
      <c r="F83" s="67">
        <v>16.100000000000001</v>
      </c>
      <c r="G83" s="67" t="s">
        <v>176</v>
      </c>
      <c r="I83" s="67">
        <v>453.3</v>
      </c>
      <c r="J83" s="67" t="s">
        <v>176</v>
      </c>
      <c r="K83" s="67">
        <v>649.9</v>
      </c>
      <c r="L83" s="67" t="s">
        <v>176</v>
      </c>
    </row>
    <row r="84" spans="1:12" x14ac:dyDescent="0.3">
      <c r="A84" s="67" t="s">
        <v>177</v>
      </c>
      <c r="B84" s="69">
        <v>45099</v>
      </c>
      <c r="C84" s="67">
        <v>14.3</v>
      </c>
      <c r="D84" s="67">
        <v>67.599999999999994</v>
      </c>
      <c r="E84" s="67">
        <v>159.9</v>
      </c>
      <c r="F84" s="67">
        <v>15.9</v>
      </c>
      <c r="G84" s="67" t="s">
        <v>176</v>
      </c>
      <c r="I84" s="67">
        <v>464.2</v>
      </c>
      <c r="J84" s="67" t="s">
        <v>176</v>
      </c>
      <c r="K84" s="67">
        <v>657.8</v>
      </c>
      <c r="L84" s="67" t="s">
        <v>176</v>
      </c>
    </row>
    <row r="85" spans="1:12" x14ac:dyDescent="0.3">
      <c r="A85" s="67" t="s">
        <v>177</v>
      </c>
      <c r="B85" s="69">
        <v>45100</v>
      </c>
      <c r="C85" s="67">
        <v>16</v>
      </c>
      <c r="D85" s="67">
        <v>67.599999999999994</v>
      </c>
      <c r="E85" s="67">
        <v>161.4</v>
      </c>
      <c r="F85" s="67">
        <v>16.100000000000001</v>
      </c>
      <c r="G85" s="67" t="s">
        <v>176</v>
      </c>
      <c r="I85" s="67">
        <v>475.3</v>
      </c>
      <c r="J85" s="67" t="s">
        <v>176</v>
      </c>
      <c r="K85" s="67">
        <v>667.7</v>
      </c>
      <c r="L85" s="67" t="s">
        <v>176</v>
      </c>
    </row>
    <row r="86" spans="1:12" x14ac:dyDescent="0.3">
      <c r="A86" s="67" t="s">
        <v>177</v>
      </c>
      <c r="B86" s="69">
        <v>45101</v>
      </c>
      <c r="C86" s="67">
        <v>17.5</v>
      </c>
      <c r="D86" s="67">
        <v>67.900000000000006</v>
      </c>
      <c r="E86" s="67">
        <v>163.4</v>
      </c>
      <c r="F86" s="67">
        <v>15.5</v>
      </c>
      <c r="G86" s="67" t="s">
        <v>176</v>
      </c>
      <c r="I86" s="67">
        <v>485.8</v>
      </c>
      <c r="J86" s="67" t="s">
        <v>176</v>
      </c>
      <c r="K86" s="67">
        <v>680.3</v>
      </c>
      <c r="L86" s="67" t="s">
        <v>176</v>
      </c>
    </row>
    <row r="87" spans="1:12" x14ac:dyDescent="0.3">
      <c r="A87" s="67" t="s">
        <v>177</v>
      </c>
      <c r="B87" s="69">
        <v>45102</v>
      </c>
      <c r="C87" s="67">
        <v>18.399999999999999</v>
      </c>
      <c r="D87" s="67">
        <v>68</v>
      </c>
      <c r="E87" s="67">
        <v>164</v>
      </c>
      <c r="F87" s="67">
        <v>16</v>
      </c>
      <c r="G87" s="67" t="s">
        <v>176</v>
      </c>
      <c r="I87" s="67">
        <v>496.8</v>
      </c>
      <c r="J87" s="67" t="s">
        <v>176</v>
      </c>
      <c r="K87" s="67">
        <v>692.9</v>
      </c>
      <c r="L87" s="67" t="s">
        <v>176</v>
      </c>
    </row>
    <row r="88" spans="1:12" x14ac:dyDescent="0.3">
      <c r="A88" s="67" t="s">
        <v>177</v>
      </c>
      <c r="B88" s="69">
        <v>45103</v>
      </c>
      <c r="C88" s="67">
        <v>19.3</v>
      </c>
      <c r="D88" s="67">
        <v>68</v>
      </c>
      <c r="E88" s="67">
        <v>167.6</v>
      </c>
      <c r="F88" s="67">
        <v>15.9</v>
      </c>
      <c r="G88" s="67" t="s">
        <v>176</v>
      </c>
      <c r="I88" s="67">
        <v>507.7</v>
      </c>
      <c r="J88" s="67" t="s">
        <v>176</v>
      </c>
      <c r="K88" s="67">
        <v>706.5</v>
      </c>
      <c r="L88" s="67" t="s">
        <v>176</v>
      </c>
    </row>
    <row r="89" spans="1:12" x14ac:dyDescent="0.3">
      <c r="A89" s="67" t="s">
        <v>177</v>
      </c>
      <c r="B89" s="69">
        <v>45104</v>
      </c>
      <c r="C89" s="67">
        <v>19.600000000000001</v>
      </c>
      <c r="D89" s="67">
        <v>68.3</v>
      </c>
      <c r="E89" s="67">
        <v>169.7</v>
      </c>
      <c r="F89" s="67">
        <v>16.399999999999999</v>
      </c>
      <c r="G89" s="67" t="s">
        <v>176</v>
      </c>
      <c r="I89" s="67">
        <v>519.1</v>
      </c>
      <c r="J89" s="67" t="s">
        <v>176</v>
      </c>
      <c r="K89" s="67">
        <v>720.3</v>
      </c>
      <c r="L89" s="67" t="s">
        <v>176</v>
      </c>
    </row>
    <row r="90" spans="1:12" x14ac:dyDescent="0.3">
      <c r="A90" s="67" t="s">
        <v>177</v>
      </c>
      <c r="B90" s="69">
        <v>45105</v>
      </c>
      <c r="C90" s="67">
        <v>20.8</v>
      </c>
      <c r="D90" s="67">
        <v>68.3</v>
      </c>
      <c r="E90" s="67">
        <v>172</v>
      </c>
      <c r="F90" s="67">
        <v>16.899999999999999</v>
      </c>
      <c r="G90" s="67" t="s">
        <v>176</v>
      </c>
      <c r="I90" s="67">
        <v>531</v>
      </c>
      <c r="J90" s="67" t="s">
        <v>176</v>
      </c>
      <c r="K90" s="67">
        <v>736.1</v>
      </c>
      <c r="L90" s="67" t="s">
        <v>176</v>
      </c>
    </row>
    <row r="91" spans="1:12" x14ac:dyDescent="0.3">
      <c r="A91" s="67" t="s">
        <v>177</v>
      </c>
      <c r="B91" s="69">
        <v>45106</v>
      </c>
      <c r="C91" s="67">
        <v>22</v>
      </c>
      <c r="D91" s="67">
        <v>68.3</v>
      </c>
      <c r="E91" s="67">
        <v>175.6</v>
      </c>
      <c r="F91" s="67">
        <v>16.899999999999999</v>
      </c>
      <c r="G91" s="67" t="s">
        <v>176</v>
      </c>
      <c r="I91" s="67">
        <v>542.9</v>
      </c>
      <c r="J91" s="67" t="s">
        <v>176</v>
      </c>
      <c r="K91" s="67">
        <v>752.5</v>
      </c>
      <c r="L91" s="67" t="s">
        <v>176</v>
      </c>
    </row>
    <row r="92" spans="1:12" x14ac:dyDescent="0.3">
      <c r="A92" s="67" t="s">
        <v>177</v>
      </c>
      <c r="B92" s="69">
        <v>45107</v>
      </c>
      <c r="C92" s="67">
        <v>22</v>
      </c>
      <c r="D92" s="67">
        <v>70.599999999999994</v>
      </c>
      <c r="E92" s="67">
        <v>179.7</v>
      </c>
      <c r="F92" s="67">
        <v>17</v>
      </c>
      <c r="G92" s="67" t="s">
        <v>176</v>
      </c>
      <c r="I92" s="67">
        <v>554.9</v>
      </c>
      <c r="J92" s="67" t="s">
        <v>176</v>
      </c>
      <c r="K92" s="67">
        <v>769.2</v>
      </c>
      <c r="L92" s="67" t="s">
        <v>176</v>
      </c>
    </row>
    <row r="93" spans="1:12" x14ac:dyDescent="0.3">
      <c r="A93" s="67" t="s">
        <v>177</v>
      </c>
      <c r="B93" s="69">
        <v>45108</v>
      </c>
      <c r="C93" s="67">
        <v>22.6</v>
      </c>
      <c r="D93" s="67">
        <v>70.7</v>
      </c>
      <c r="E93" s="67">
        <v>182</v>
      </c>
      <c r="F93" s="67">
        <v>17</v>
      </c>
      <c r="G93" s="67" t="s">
        <v>176</v>
      </c>
      <c r="I93" s="67">
        <v>566.9</v>
      </c>
      <c r="J93" s="67" t="s">
        <v>176</v>
      </c>
      <c r="K93" s="67">
        <v>785.9</v>
      </c>
      <c r="L93" s="67" t="s">
        <v>176</v>
      </c>
    </row>
    <row r="94" spans="1:12" x14ac:dyDescent="0.3">
      <c r="A94" s="67" t="s">
        <v>177</v>
      </c>
      <c r="B94" s="69">
        <v>45109</v>
      </c>
      <c r="C94" s="67">
        <v>15.2</v>
      </c>
      <c r="D94" s="67">
        <v>70.900000000000006</v>
      </c>
      <c r="E94" s="67">
        <v>182.6</v>
      </c>
      <c r="F94" s="67">
        <v>16.7</v>
      </c>
      <c r="G94" s="67" t="s">
        <v>176</v>
      </c>
      <c r="I94" s="67">
        <v>578.6</v>
      </c>
      <c r="J94" s="67" t="s">
        <v>176</v>
      </c>
      <c r="K94" s="67">
        <v>796.6</v>
      </c>
      <c r="L94" s="67" t="s">
        <v>176</v>
      </c>
    </row>
    <row r="95" spans="1:12" x14ac:dyDescent="0.3">
      <c r="A95" s="67" t="s">
        <v>177</v>
      </c>
      <c r="B95" s="69">
        <v>45110</v>
      </c>
      <c r="C95" s="67">
        <v>15.2</v>
      </c>
      <c r="D95" s="67">
        <v>70.900000000000006</v>
      </c>
      <c r="E95" s="67">
        <v>184.4</v>
      </c>
      <c r="F95" s="67">
        <v>17.100000000000001</v>
      </c>
      <c r="G95" s="67" t="s">
        <v>176</v>
      </c>
      <c r="I95" s="67">
        <v>590.70000000000005</v>
      </c>
      <c r="J95" s="67" t="s">
        <v>176</v>
      </c>
      <c r="K95" s="67">
        <v>807.1</v>
      </c>
      <c r="L95" s="67" t="s">
        <v>176</v>
      </c>
    </row>
    <row r="96" spans="1:12" x14ac:dyDescent="0.3">
      <c r="A96" s="67" t="s">
        <v>177</v>
      </c>
      <c r="B96" s="69">
        <v>45111</v>
      </c>
      <c r="C96" s="67">
        <v>15.6</v>
      </c>
      <c r="D96" s="67">
        <v>70.900000000000006</v>
      </c>
      <c r="E96" s="67">
        <v>185.4</v>
      </c>
      <c r="F96" s="67">
        <v>17.3</v>
      </c>
      <c r="G96" s="67" t="s">
        <v>176</v>
      </c>
      <c r="I96" s="67">
        <v>603</v>
      </c>
      <c r="J96" s="67" t="s">
        <v>176</v>
      </c>
      <c r="K96" s="67">
        <v>818.2</v>
      </c>
      <c r="L96" s="67" t="s">
        <v>176</v>
      </c>
    </row>
    <row r="97" spans="1:12" x14ac:dyDescent="0.3">
      <c r="A97" s="67" t="s">
        <v>177</v>
      </c>
      <c r="B97" s="69">
        <v>45112</v>
      </c>
      <c r="C97" s="67">
        <v>17.5</v>
      </c>
      <c r="D97" s="67">
        <v>70.900000000000006</v>
      </c>
      <c r="E97" s="67">
        <v>186.8</v>
      </c>
      <c r="F97" s="67">
        <v>16.899999999999999</v>
      </c>
      <c r="G97" s="67" t="s">
        <v>176</v>
      </c>
      <c r="I97" s="67">
        <v>614.9</v>
      </c>
      <c r="J97" s="67" t="s">
        <v>176</v>
      </c>
      <c r="K97" s="67">
        <v>829.7</v>
      </c>
      <c r="L97" s="67" t="s">
        <v>176</v>
      </c>
    </row>
    <row r="98" spans="1:12" x14ac:dyDescent="0.3">
      <c r="A98" s="67" t="s">
        <v>177</v>
      </c>
      <c r="B98" s="69">
        <v>45113</v>
      </c>
      <c r="C98" s="67">
        <v>18.100000000000001</v>
      </c>
      <c r="D98" s="67">
        <v>70.900000000000006</v>
      </c>
      <c r="E98" s="67">
        <v>187.7</v>
      </c>
      <c r="F98" s="67">
        <v>17.100000000000001</v>
      </c>
      <c r="G98" s="67" t="s">
        <v>176</v>
      </c>
      <c r="I98" s="67">
        <v>627</v>
      </c>
      <c r="J98" s="67" t="s">
        <v>176</v>
      </c>
      <c r="K98" s="67">
        <v>841.7</v>
      </c>
      <c r="L98" s="67" t="s">
        <v>176</v>
      </c>
    </row>
    <row r="99" spans="1:12" x14ac:dyDescent="0.3">
      <c r="A99" s="67" t="s">
        <v>177</v>
      </c>
      <c r="B99" s="69">
        <v>45114</v>
      </c>
      <c r="C99" s="67">
        <v>18.100000000000001</v>
      </c>
      <c r="D99" s="67">
        <v>73.2</v>
      </c>
      <c r="E99" s="67">
        <v>189.1</v>
      </c>
      <c r="F99" s="67">
        <v>17.399999999999999</v>
      </c>
      <c r="G99" s="67" t="s">
        <v>176</v>
      </c>
      <c r="I99" s="67">
        <v>639.4</v>
      </c>
      <c r="J99" s="67" t="s">
        <v>176</v>
      </c>
      <c r="K99" s="67">
        <v>855.2</v>
      </c>
      <c r="L99" s="67" t="s">
        <v>176</v>
      </c>
    </row>
    <row r="100" spans="1:12" x14ac:dyDescent="0.3">
      <c r="A100" s="67" t="s">
        <v>177</v>
      </c>
      <c r="B100" s="69">
        <v>45115</v>
      </c>
      <c r="C100" s="67">
        <v>19.7</v>
      </c>
      <c r="D100" s="67">
        <v>73.2</v>
      </c>
      <c r="E100" s="67">
        <v>190.5</v>
      </c>
      <c r="F100" s="67">
        <v>17.600000000000001</v>
      </c>
      <c r="G100" s="67" t="s">
        <v>176</v>
      </c>
      <c r="I100" s="67">
        <v>652</v>
      </c>
      <c r="J100" s="67" t="s">
        <v>176</v>
      </c>
      <c r="K100" s="67">
        <v>869.8</v>
      </c>
      <c r="L100" s="67" t="s">
        <v>176</v>
      </c>
    </row>
    <row r="101" spans="1:12" x14ac:dyDescent="0.3">
      <c r="A101" s="67" t="s">
        <v>177</v>
      </c>
      <c r="B101" s="69">
        <v>45116</v>
      </c>
      <c r="C101" s="67">
        <v>22.4</v>
      </c>
      <c r="D101" s="67">
        <v>73.2</v>
      </c>
      <c r="E101" s="67">
        <v>191.7</v>
      </c>
      <c r="F101" s="67">
        <v>18.3</v>
      </c>
      <c r="G101" s="67" t="s">
        <v>176</v>
      </c>
      <c r="I101" s="67">
        <v>665.3</v>
      </c>
      <c r="J101" s="67" t="s">
        <v>176</v>
      </c>
      <c r="K101" s="67">
        <v>886</v>
      </c>
      <c r="L101" s="67" t="s">
        <v>176</v>
      </c>
    </row>
    <row r="102" spans="1:12" x14ac:dyDescent="0.3">
      <c r="A102" s="67" t="s">
        <v>177</v>
      </c>
      <c r="B102" s="69">
        <v>45117</v>
      </c>
      <c r="C102" s="67">
        <v>20.8</v>
      </c>
      <c r="D102" s="67">
        <v>74.2</v>
      </c>
      <c r="E102" s="67">
        <v>192.7</v>
      </c>
      <c r="F102" s="67">
        <v>17.899999999999999</v>
      </c>
      <c r="G102" s="67" t="s">
        <v>176</v>
      </c>
      <c r="I102" s="67">
        <v>678.2</v>
      </c>
      <c r="J102" s="67" t="s">
        <v>176</v>
      </c>
      <c r="K102" s="67">
        <v>901.6</v>
      </c>
      <c r="L102" s="67" t="s">
        <v>176</v>
      </c>
    </row>
    <row r="103" spans="1:12" x14ac:dyDescent="0.3">
      <c r="A103" s="67" t="s">
        <v>177</v>
      </c>
      <c r="B103" s="69">
        <v>45118</v>
      </c>
      <c r="C103" s="67">
        <v>16.600000000000001</v>
      </c>
      <c r="D103" s="67">
        <v>84.7</v>
      </c>
      <c r="E103" s="67">
        <v>194.2</v>
      </c>
      <c r="F103" s="67">
        <v>17.899999999999999</v>
      </c>
      <c r="G103" s="67" t="s">
        <v>176</v>
      </c>
      <c r="I103" s="67">
        <v>691.1</v>
      </c>
      <c r="J103" s="67" t="s">
        <v>176</v>
      </c>
      <c r="K103" s="67">
        <v>913.9</v>
      </c>
      <c r="L103" s="67" t="s">
        <v>176</v>
      </c>
    </row>
    <row r="104" spans="1:12" x14ac:dyDescent="0.3">
      <c r="A104" s="67" t="s">
        <v>177</v>
      </c>
      <c r="B104" s="69">
        <v>45119</v>
      </c>
      <c r="C104" s="67">
        <v>18.8</v>
      </c>
      <c r="D104" s="67">
        <v>84.7</v>
      </c>
      <c r="E104" s="67">
        <v>196.1</v>
      </c>
      <c r="F104" s="67">
        <v>18.5</v>
      </c>
      <c r="G104" s="67" t="s">
        <v>176</v>
      </c>
      <c r="I104" s="67">
        <v>704.6</v>
      </c>
      <c r="J104" s="67" t="s">
        <v>176</v>
      </c>
      <c r="K104" s="67">
        <v>927.6</v>
      </c>
      <c r="L104" s="67" t="s">
        <v>176</v>
      </c>
    </row>
    <row r="105" spans="1:12" x14ac:dyDescent="0.3">
      <c r="A105" s="67" t="s">
        <v>177</v>
      </c>
      <c r="B105" s="69">
        <v>45120</v>
      </c>
      <c r="C105" s="67">
        <v>18.100000000000001</v>
      </c>
      <c r="D105" s="67">
        <v>84.7</v>
      </c>
      <c r="E105" s="67">
        <v>197.1</v>
      </c>
      <c r="F105" s="67">
        <v>18.600000000000001</v>
      </c>
      <c r="G105" s="67" t="s">
        <v>176</v>
      </c>
      <c r="I105" s="67">
        <v>718.2</v>
      </c>
      <c r="J105" s="67" t="s">
        <v>176</v>
      </c>
      <c r="K105" s="67">
        <v>940</v>
      </c>
      <c r="L105" s="67" t="s">
        <v>176</v>
      </c>
    </row>
    <row r="106" spans="1:12" x14ac:dyDescent="0.3">
      <c r="A106" s="67" t="s">
        <v>177</v>
      </c>
      <c r="B106" s="69">
        <v>45121</v>
      </c>
      <c r="C106" s="67">
        <v>18.8</v>
      </c>
      <c r="D106" s="67">
        <v>84.7</v>
      </c>
      <c r="E106" s="67">
        <v>198</v>
      </c>
      <c r="F106" s="67">
        <v>18</v>
      </c>
      <c r="G106" s="67" t="s">
        <v>176</v>
      </c>
      <c r="I106" s="67">
        <v>731.2</v>
      </c>
      <c r="J106" s="67" t="s">
        <v>176</v>
      </c>
      <c r="K106" s="67">
        <v>954</v>
      </c>
      <c r="L106" s="67" t="s">
        <v>176</v>
      </c>
    </row>
    <row r="107" spans="1:12" x14ac:dyDescent="0.3">
      <c r="A107" s="67" t="s">
        <v>177</v>
      </c>
      <c r="B107" s="69">
        <v>45122</v>
      </c>
      <c r="C107" s="67">
        <v>19.3</v>
      </c>
      <c r="D107" s="67">
        <v>84.7</v>
      </c>
      <c r="E107" s="67">
        <v>199.4</v>
      </c>
      <c r="F107" s="67">
        <v>17.600000000000001</v>
      </c>
      <c r="G107" s="67" t="s">
        <v>176</v>
      </c>
      <c r="I107" s="67">
        <v>743.8</v>
      </c>
      <c r="J107" s="67" t="s">
        <v>176</v>
      </c>
      <c r="K107" s="67">
        <v>968.2</v>
      </c>
      <c r="L107" s="67" t="s">
        <v>176</v>
      </c>
    </row>
    <row r="108" spans="1:12" x14ac:dyDescent="0.3">
      <c r="A108" s="67" t="s">
        <v>177</v>
      </c>
      <c r="B108" s="69">
        <v>45123</v>
      </c>
      <c r="C108" s="67">
        <v>21</v>
      </c>
      <c r="D108" s="67">
        <v>84.7</v>
      </c>
      <c r="E108" s="67">
        <v>200.6</v>
      </c>
      <c r="F108" s="67">
        <v>17.899999999999999</v>
      </c>
      <c r="G108" s="67" t="s">
        <v>176</v>
      </c>
      <c r="I108" s="67">
        <v>756.7</v>
      </c>
      <c r="J108" s="67" t="s">
        <v>176</v>
      </c>
      <c r="K108" s="67">
        <v>984</v>
      </c>
      <c r="L108" s="67" t="s">
        <v>176</v>
      </c>
    </row>
    <row r="109" spans="1:12" x14ac:dyDescent="0.3">
      <c r="A109" s="67" t="s">
        <v>177</v>
      </c>
      <c r="B109" s="69">
        <v>45124</v>
      </c>
      <c r="C109" s="67">
        <v>21.9</v>
      </c>
      <c r="D109" s="67">
        <v>84.8</v>
      </c>
      <c r="E109" s="67">
        <v>202.8</v>
      </c>
      <c r="F109" s="67">
        <v>18.2</v>
      </c>
      <c r="G109" s="67" t="s">
        <v>176</v>
      </c>
      <c r="I109" s="67">
        <v>769.9</v>
      </c>
      <c r="J109" s="67" t="s">
        <v>176</v>
      </c>
      <c r="K109" s="68">
        <v>1000.8</v>
      </c>
      <c r="L109" s="67" t="s">
        <v>176</v>
      </c>
    </row>
    <row r="110" spans="1:12" x14ac:dyDescent="0.3">
      <c r="A110" s="67" t="s">
        <v>177</v>
      </c>
      <c r="B110" s="69">
        <v>45125</v>
      </c>
      <c r="C110" s="67">
        <v>18.2</v>
      </c>
      <c r="D110" s="67">
        <v>84.8</v>
      </c>
      <c r="E110" s="67">
        <v>205.7</v>
      </c>
      <c r="F110" s="67">
        <v>18.399999999999999</v>
      </c>
      <c r="G110" s="67" t="s">
        <v>176</v>
      </c>
      <c r="I110" s="67">
        <v>783.3</v>
      </c>
      <c r="J110" s="67" t="s">
        <v>176</v>
      </c>
      <c r="K110" s="68">
        <v>1014.1</v>
      </c>
      <c r="L110" s="67" t="s">
        <v>176</v>
      </c>
    </row>
    <row r="111" spans="1:12" x14ac:dyDescent="0.3">
      <c r="A111" s="67" t="s">
        <v>177</v>
      </c>
      <c r="B111" s="69">
        <v>45126</v>
      </c>
      <c r="C111" s="67">
        <v>17.5</v>
      </c>
      <c r="D111" s="67">
        <v>84.8</v>
      </c>
      <c r="E111" s="67">
        <v>206.7</v>
      </c>
      <c r="F111" s="67">
        <v>18.3</v>
      </c>
      <c r="G111" s="67" t="s">
        <v>176</v>
      </c>
      <c r="I111" s="67">
        <v>796.6</v>
      </c>
      <c r="J111" s="67" t="s">
        <v>176</v>
      </c>
      <c r="K111" s="68">
        <v>1025.8</v>
      </c>
      <c r="L111" s="67" t="s">
        <v>176</v>
      </c>
    </row>
    <row r="112" spans="1:12" x14ac:dyDescent="0.3">
      <c r="A112" s="67" t="s">
        <v>177</v>
      </c>
      <c r="B112" s="69">
        <v>45127</v>
      </c>
      <c r="C112" s="67">
        <v>20.100000000000001</v>
      </c>
      <c r="D112" s="67">
        <v>84.8</v>
      </c>
      <c r="E112" s="67">
        <v>208.2</v>
      </c>
      <c r="F112" s="67">
        <v>18.2</v>
      </c>
      <c r="G112" s="67" t="s">
        <v>176</v>
      </c>
      <c r="I112" s="67">
        <v>809.8</v>
      </c>
      <c r="J112" s="67" t="s">
        <v>176</v>
      </c>
      <c r="K112" s="68">
        <v>1040</v>
      </c>
      <c r="L112" s="67" t="s">
        <v>176</v>
      </c>
    </row>
    <row r="113" spans="1:12" x14ac:dyDescent="0.3">
      <c r="A113" s="67" t="s">
        <v>177</v>
      </c>
      <c r="B113" s="69">
        <v>45128</v>
      </c>
      <c r="C113" s="67">
        <v>21.5</v>
      </c>
      <c r="D113" s="67">
        <v>85</v>
      </c>
      <c r="E113" s="67">
        <v>208.8</v>
      </c>
      <c r="F113" s="67">
        <v>18.2</v>
      </c>
      <c r="G113" s="67" t="s">
        <v>176</v>
      </c>
      <c r="I113" s="67">
        <v>823</v>
      </c>
      <c r="J113" s="67" t="s">
        <v>176</v>
      </c>
      <c r="K113" s="68">
        <v>1056.7</v>
      </c>
      <c r="L113" s="67" t="s">
        <v>176</v>
      </c>
    </row>
    <row r="114" spans="1:12" x14ac:dyDescent="0.3">
      <c r="A114" s="67" t="s">
        <v>177</v>
      </c>
      <c r="B114" s="69">
        <v>45129</v>
      </c>
      <c r="C114" s="67">
        <v>23.6</v>
      </c>
      <c r="D114" s="67">
        <v>85</v>
      </c>
      <c r="E114" s="67">
        <v>209.2</v>
      </c>
      <c r="F114" s="67">
        <v>18.5</v>
      </c>
      <c r="G114" s="67" t="s">
        <v>176</v>
      </c>
      <c r="I114" s="67">
        <v>836.5</v>
      </c>
      <c r="J114" s="67" t="s">
        <v>176</v>
      </c>
      <c r="K114" s="68">
        <v>1074.2</v>
      </c>
      <c r="L114" s="67" t="s">
        <v>176</v>
      </c>
    </row>
    <row r="115" spans="1:12" x14ac:dyDescent="0.3">
      <c r="A115" s="67" t="s">
        <v>177</v>
      </c>
      <c r="B115" s="69">
        <v>45130</v>
      </c>
      <c r="C115" s="67">
        <v>23.9</v>
      </c>
      <c r="D115" s="67">
        <v>85</v>
      </c>
      <c r="E115" s="67">
        <v>211.4</v>
      </c>
      <c r="F115" s="67">
        <v>19.399999999999999</v>
      </c>
      <c r="G115" s="67" t="s">
        <v>176</v>
      </c>
      <c r="I115" s="67">
        <v>850.9</v>
      </c>
      <c r="J115" s="67" t="s">
        <v>176</v>
      </c>
      <c r="K115" s="68">
        <v>1093</v>
      </c>
      <c r="L115" s="67" t="s">
        <v>176</v>
      </c>
    </row>
    <row r="116" spans="1:12" x14ac:dyDescent="0.3">
      <c r="A116" s="67" t="s">
        <v>177</v>
      </c>
      <c r="B116" s="69">
        <v>45131</v>
      </c>
      <c r="C116" s="111">
        <v>24.6</v>
      </c>
      <c r="D116" s="67">
        <v>85</v>
      </c>
      <c r="E116" s="67">
        <v>212.7</v>
      </c>
      <c r="F116" s="67">
        <v>18.399999999999999</v>
      </c>
      <c r="G116" s="67" t="s">
        <v>176</v>
      </c>
      <c r="I116" s="67">
        <v>864.3</v>
      </c>
      <c r="J116" s="67" t="s">
        <v>176</v>
      </c>
      <c r="K116" s="68">
        <v>1112.0999999999999</v>
      </c>
      <c r="L116" s="67" t="s">
        <v>176</v>
      </c>
    </row>
    <row r="117" spans="1:12" x14ac:dyDescent="0.3">
      <c r="A117" s="67" t="s">
        <v>177</v>
      </c>
      <c r="B117" s="69">
        <v>45132</v>
      </c>
      <c r="C117" s="67">
        <v>23.6</v>
      </c>
      <c r="D117" s="67">
        <v>85.1</v>
      </c>
      <c r="E117" s="67">
        <v>213.3</v>
      </c>
      <c r="F117" s="67">
        <v>18.3</v>
      </c>
      <c r="G117" s="67" t="s">
        <v>176</v>
      </c>
      <c r="I117" s="67">
        <v>877.6</v>
      </c>
      <c r="J117" s="67" t="s">
        <v>176</v>
      </c>
      <c r="K117" s="68">
        <v>1129.5</v>
      </c>
      <c r="L117" s="67" t="s">
        <v>176</v>
      </c>
    </row>
    <row r="118" spans="1:12" x14ac:dyDescent="0.3">
      <c r="A118" s="67" t="s">
        <v>177</v>
      </c>
      <c r="B118" s="69">
        <v>45133</v>
      </c>
      <c r="C118" s="67">
        <v>19.3</v>
      </c>
      <c r="D118" s="67">
        <v>85.1</v>
      </c>
      <c r="E118" s="67">
        <v>215.1</v>
      </c>
      <c r="F118" s="67">
        <v>18.8</v>
      </c>
      <c r="G118" s="67" t="s">
        <v>176</v>
      </c>
      <c r="I118" s="67">
        <v>891.4</v>
      </c>
      <c r="J118" s="67" t="s">
        <v>176</v>
      </c>
      <c r="K118" s="68">
        <v>1143.0999999999999</v>
      </c>
      <c r="L118" s="67" t="s">
        <v>176</v>
      </c>
    </row>
    <row r="119" spans="1:12" x14ac:dyDescent="0.3">
      <c r="A119" s="67" t="s">
        <v>177</v>
      </c>
      <c r="B119" s="69">
        <v>45134</v>
      </c>
      <c r="C119" s="67">
        <v>15.6</v>
      </c>
      <c r="D119" s="67">
        <v>86.8</v>
      </c>
      <c r="E119" s="67">
        <v>216.1</v>
      </c>
      <c r="F119" s="67">
        <v>18.7</v>
      </c>
      <c r="G119" s="67" t="s">
        <v>176</v>
      </c>
      <c r="I119" s="67">
        <v>905.1</v>
      </c>
      <c r="J119" s="67" t="s">
        <v>176</v>
      </c>
      <c r="K119" s="68">
        <v>1153.3</v>
      </c>
      <c r="L119" s="67" t="s">
        <v>176</v>
      </c>
    </row>
    <row r="120" spans="1:12" x14ac:dyDescent="0.3">
      <c r="A120" s="67" t="s">
        <v>177</v>
      </c>
      <c r="B120" s="69">
        <v>45135</v>
      </c>
      <c r="C120" s="67">
        <v>14.2</v>
      </c>
      <c r="D120" s="67">
        <v>89.8</v>
      </c>
      <c r="E120" s="67">
        <v>217.1</v>
      </c>
      <c r="F120" s="67">
        <v>19.100000000000001</v>
      </c>
      <c r="G120" s="67" t="s">
        <v>176</v>
      </c>
      <c r="I120" s="67">
        <v>919.2</v>
      </c>
      <c r="J120" s="67" t="s">
        <v>176</v>
      </c>
      <c r="K120" s="68">
        <v>1163.5</v>
      </c>
      <c r="L120" s="67" t="s">
        <v>176</v>
      </c>
    </row>
    <row r="121" spans="1:12" x14ac:dyDescent="0.3">
      <c r="A121" s="67" t="s">
        <v>177</v>
      </c>
      <c r="B121" s="69">
        <v>45136</v>
      </c>
      <c r="C121" s="67">
        <v>18.5</v>
      </c>
      <c r="D121" s="67">
        <v>89.9</v>
      </c>
      <c r="E121" s="67">
        <v>217.8</v>
      </c>
      <c r="F121" s="67">
        <v>19.600000000000001</v>
      </c>
      <c r="G121" s="67" t="s">
        <v>176</v>
      </c>
      <c r="I121" s="67">
        <v>933.8</v>
      </c>
      <c r="J121" s="67" t="s">
        <v>176</v>
      </c>
      <c r="K121" s="68">
        <v>1178.0999999999999</v>
      </c>
      <c r="L121" s="67" t="s">
        <v>176</v>
      </c>
    </row>
    <row r="122" spans="1:12" x14ac:dyDescent="0.3">
      <c r="A122" s="67" t="s">
        <v>177</v>
      </c>
      <c r="B122" s="69">
        <v>45137</v>
      </c>
      <c r="C122" s="67">
        <v>21.2</v>
      </c>
      <c r="D122" s="67">
        <v>92.2</v>
      </c>
      <c r="E122" s="67">
        <v>218.1</v>
      </c>
      <c r="F122" s="67">
        <v>19</v>
      </c>
      <c r="G122" s="67" t="s">
        <v>176</v>
      </c>
      <c r="I122" s="67">
        <v>947.8</v>
      </c>
      <c r="J122" s="67" t="s">
        <v>176</v>
      </c>
      <c r="K122" s="68">
        <v>1195.9000000000001</v>
      </c>
      <c r="L122" s="67" t="s">
        <v>176</v>
      </c>
    </row>
    <row r="123" spans="1:12" x14ac:dyDescent="0.3">
      <c r="A123" s="67" t="s">
        <v>177</v>
      </c>
      <c r="B123" s="69">
        <v>45138</v>
      </c>
      <c r="C123" s="67">
        <v>21.7</v>
      </c>
      <c r="D123" s="67">
        <v>92.2</v>
      </c>
      <c r="E123" s="67">
        <v>218.7</v>
      </c>
      <c r="F123" s="67">
        <v>18.7</v>
      </c>
      <c r="G123" s="67" t="s">
        <v>176</v>
      </c>
      <c r="I123" s="67">
        <v>961.5</v>
      </c>
      <c r="J123" s="67" t="s">
        <v>176</v>
      </c>
      <c r="K123" s="68">
        <v>1212</v>
      </c>
      <c r="L123" s="67" t="s">
        <v>176</v>
      </c>
    </row>
    <row r="124" spans="1:12" x14ac:dyDescent="0.3">
      <c r="A124" s="67" t="s">
        <v>177</v>
      </c>
      <c r="B124" s="69">
        <v>45139</v>
      </c>
      <c r="C124" s="67">
        <v>19.899999999999999</v>
      </c>
      <c r="D124" s="67">
        <v>92.2</v>
      </c>
      <c r="E124" s="67">
        <v>220.4</v>
      </c>
      <c r="F124" s="67">
        <v>18.7</v>
      </c>
      <c r="G124" s="67" t="s">
        <v>176</v>
      </c>
      <c r="I124" s="67">
        <v>975.2</v>
      </c>
      <c r="J124" s="67" t="s">
        <v>176</v>
      </c>
      <c r="K124" s="68">
        <v>1226.5</v>
      </c>
      <c r="L124" s="67" t="s">
        <v>176</v>
      </c>
    </row>
    <row r="125" spans="1:12" x14ac:dyDescent="0.3">
      <c r="A125" s="67" t="s">
        <v>177</v>
      </c>
      <c r="B125" s="69">
        <v>45140</v>
      </c>
      <c r="C125" s="67">
        <v>20.3</v>
      </c>
      <c r="D125" s="67">
        <v>92.2</v>
      </c>
      <c r="E125" s="67">
        <v>222.8</v>
      </c>
      <c r="F125" s="67">
        <v>18.3</v>
      </c>
      <c r="G125" s="67" t="s">
        <v>176</v>
      </c>
      <c r="I125" s="67">
        <v>988.5</v>
      </c>
      <c r="J125" s="67" t="s">
        <v>176</v>
      </c>
      <c r="K125" s="68">
        <v>1241.0999999999999</v>
      </c>
      <c r="L125" s="67" t="s">
        <v>176</v>
      </c>
    </row>
    <row r="126" spans="1:12" x14ac:dyDescent="0.3">
      <c r="A126" s="67" t="s">
        <v>177</v>
      </c>
      <c r="B126" s="69">
        <v>45141</v>
      </c>
      <c r="C126" s="67">
        <v>20.9</v>
      </c>
      <c r="D126" s="67">
        <v>92.2</v>
      </c>
      <c r="E126" s="67">
        <v>223.3</v>
      </c>
      <c r="F126" s="67">
        <v>17.8</v>
      </c>
      <c r="G126" s="67" t="s">
        <v>176</v>
      </c>
      <c r="I126" s="68">
        <v>1001.3</v>
      </c>
      <c r="J126" s="67" t="s">
        <v>176</v>
      </c>
      <c r="K126" s="68">
        <v>1256.9000000000001</v>
      </c>
      <c r="L126" s="67" t="s">
        <v>176</v>
      </c>
    </row>
    <row r="127" spans="1:12" x14ac:dyDescent="0.3">
      <c r="A127" s="67" t="s">
        <v>177</v>
      </c>
      <c r="B127" s="69">
        <v>45142</v>
      </c>
      <c r="C127" s="67">
        <v>19.3</v>
      </c>
      <c r="D127" s="67">
        <v>92.2</v>
      </c>
      <c r="E127" s="67">
        <v>224.4</v>
      </c>
      <c r="F127" s="67">
        <v>18</v>
      </c>
      <c r="G127" s="67" t="s">
        <v>176</v>
      </c>
      <c r="I127" s="68">
        <v>1014.3</v>
      </c>
      <c r="J127" s="67" t="s">
        <v>176</v>
      </c>
      <c r="K127" s="68">
        <v>1271.9000000000001</v>
      </c>
      <c r="L127" s="67" t="s">
        <v>176</v>
      </c>
    </row>
    <row r="128" spans="1:12" x14ac:dyDescent="0.3">
      <c r="A128" s="67" t="s">
        <v>177</v>
      </c>
      <c r="B128" s="69">
        <v>45143</v>
      </c>
      <c r="C128" s="67">
        <v>18.8</v>
      </c>
      <c r="D128" s="67">
        <v>92.4</v>
      </c>
      <c r="E128" s="67">
        <v>225.1</v>
      </c>
      <c r="F128" s="67">
        <v>18.600000000000001</v>
      </c>
      <c r="G128" s="67" t="s">
        <v>176</v>
      </c>
      <c r="I128" s="68">
        <v>1027.9000000000001</v>
      </c>
      <c r="J128" s="67" t="s">
        <v>176</v>
      </c>
      <c r="K128" s="68">
        <v>1286.2</v>
      </c>
      <c r="L128" s="67" t="s">
        <v>176</v>
      </c>
    </row>
    <row r="129" spans="1:12" x14ac:dyDescent="0.3">
      <c r="A129" s="67" t="s">
        <v>177</v>
      </c>
      <c r="B129" s="69">
        <v>45144</v>
      </c>
      <c r="C129" s="67">
        <v>18.8</v>
      </c>
      <c r="D129" s="67">
        <v>92.4</v>
      </c>
      <c r="E129" s="67">
        <v>225.4</v>
      </c>
      <c r="F129" s="67">
        <v>19.100000000000001</v>
      </c>
      <c r="G129" s="67" t="s">
        <v>176</v>
      </c>
      <c r="I129" s="68">
        <v>1042</v>
      </c>
      <c r="J129" s="67" t="s">
        <v>176</v>
      </c>
      <c r="K129" s="68">
        <v>1300.7</v>
      </c>
      <c r="L129" s="67" t="s">
        <v>176</v>
      </c>
    </row>
    <row r="130" spans="1:12" x14ac:dyDescent="0.3">
      <c r="A130" s="67" t="s">
        <v>177</v>
      </c>
      <c r="B130" s="69">
        <v>45145</v>
      </c>
      <c r="C130" s="67">
        <v>19.5</v>
      </c>
      <c r="D130" s="67">
        <v>92.4</v>
      </c>
      <c r="E130" s="67">
        <v>226.7</v>
      </c>
      <c r="F130" s="67">
        <v>18.600000000000001</v>
      </c>
      <c r="G130" s="67" t="s">
        <v>176</v>
      </c>
      <c r="I130" s="68">
        <v>1055.5999999999999</v>
      </c>
      <c r="J130" s="67" t="s">
        <v>176</v>
      </c>
      <c r="K130" s="68">
        <v>1315.2</v>
      </c>
      <c r="L130" s="67" t="s">
        <v>176</v>
      </c>
    </row>
    <row r="131" spans="1:12" x14ac:dyDescent="0.3">
      <c r="A131" s="67" t="s">
        <v>177</v>
      </c>
      <c r="B131" s="69">
        <v>45146</v>
      </c>
      <c r="C131" s="67">
        <v>20.6</v>
      </c>
      <c r="D131" s="67">
        <v>92.5</v>
      </c>
      <c r="E131" s="67">
        <v>227.4</v>
      </c>
      <c r="F131" s="67">
        <v>17.7</v>
      </c>
      <c r="G131" s="67" t="s">
        <v>176</v>
      </c>
      <c r="I131" s="68">
        <v>1068.3</v>
      </c>
      <c r="J131" s="67" t="s">
        <v>176</v>
      </c>
      <c r="K131" s="68">
        <v>1330.4</v>
      </c>
      <c r="L131" s="67" t="s">
        <v>176</v>
      </c>
    </row>
    <row r="132" spans="1:12" x14ac:dyDescent="0.3">
      <c r="A132" s="67" t="s">
        <v>177</v>
      </c>
      <c r="B132" s="69">
        <v>45147</v>
      </c>
      <c r="C132" s="67">
        <v>18.5</v>
      </c>
      <c r="D132" s="67">
        <v>94.3</v>
      </c>
      <c r="E132" s="67">
        <v>227.7</v>
      </c>
      <c r="F132" s="67">
        <v>18.100000000000001</v>
      </c>
      <c r="G132" s="67" t="s">
        <v>176</v>
      </c>
      <c r="I132" s="68">
        <v>1081.4000000000001</v>
      </c>
      <c r="J132" s="67" t="s">
        <v>176</v>
      </c>
      <c r="K132" s="68">
        <v>1345</v>
      </c>
      <c r="L132" s="67" t="s">
        <v>176</v>
      </c>
    </row>
    <row r="133" spans="1:12" x14ac:dyDescent="0.3">
      <c r="A133" s="67" t="s">
        <v>177</v>
      </c>
      <c r="B133" s="69">
        <v>45148</v>
      </c>
      <c r="C133" s="67">
        <v>19</v>
      </c>
      <c r="D133" s="67">
        <v>94.3</v>
      </c>
      <c r="E133" s="67">
        <v>228.9</v>
      </c>
      <c r="F133" s="67">
        <v>18</v>
      </c>
      <c r="G133" s="67" t="s">
        <v>176</v>
      </c>
      <c r="I133" s="68">
        <v>1094.4000000000001</v>
      </c>
      <c r="J133" s="67" t="s">
        <v>176</v>
      </c>
      <c r="K133" s="68">
        <v>1359.1</v>
      </c>
      <c r="L133" s="67" t="s">
        <v>176</v>
      </c>
    </row>
    <row r="134" spans="1:12" x14ac:dyDescent="0.3">
      <c r="A134" s="67" t="s">
        <v>177</v>
      </c>
      <c r="B134" s="69">
        <v>45149</v>
      </c>
      <c r="C134" s="67">
        <v>17.100000000000001</v>
      </c>
      <c r="D134" s="67">
        <v>94.3</v>
      </c>
      <c r="E134" s="67">
        <v>230.8</v>
      </c>
      <c r="F134" s="67">
        <v>17.8</v>
      </c>
      <c r="G134" s="67" t="s">
        <v>176</v>
      </c>
      <c r="I134" s="68">
        <v>1107.2</v>
      </c>
      <c r="J134" s="67" t="s">
        <v>176</v>
      </c>
      <c r="K134" s="68">
        <v>1369.9</v>
      </c>
      <c r="L134" s="67" t="s">
        <v>176</v>
      </c>
    </row>
    <row r="135" spans="1:12" x14ac:dyDescent="0.3">
      <c r="A135" s="67" t="s">
        <v>177</v>
      </c>
      <c r="B135" s="69">
        <v>45150</v>
      </c>
      <c r="C135" s="67">
        <v>17.3</v>
      </c>
      <c r="D135" s="67">
        <v>94.3</v>
      </c>
      <c r="E135" s="67">
        <v>232.1</v>
      </c>
      <c r="F135" s="67">
        <v>17.600000000000001</v>
      </c>
      <c r="G135" s="67" t="s">
        <v>176</v>
      </c>
      <c r="I135" s="68">
        <v>1119.8</v>
      </c>
      <c r="J135" s="67" t="s">
        <v>176</v>
      </c>
      <c r="K135" s="68">
        <v>1381.6</v>
      </c>
      <c r="L135" s="67" t="s">
        <v>176</v>
      </c>
    </row>
    <row r="136" spans="1:12" x14ac:dyDescent="0.3">
      <c r="A136" s="67" t="s">
        <v>177</v>
      </c>
      <c r="B136" s="69">
        <v>45151</v>
      </c>
      <c r="C136" s="67">
        <v>19.5</v>
      </c>
      <c r="D136" s="67">
        <v>94.3</v>
      </c>
      <c r="E136" s="67">
        <v>233.7</v>
      </c>
      <c r="F136" s="67">
        <v>18</v>
      </c>
      <c r="G136" s="67" t="s">
        <v>176</v>
      </c>
      <c r="I136" s="68">
        <v>1132.8</v>
      </c>
      <c r="J136" s="67" t="s">
        <v>176</v>
      </c>
      <c r="K136" s="68">
        <v>1395.4</v>
      </c>
      <c r="L136" s="67" t="s">
        <v>176</v>
      </c>
    </row>
    <row r="137" spans="1:12" ht="15.6" x14ac:dyDescent="0.3">
      <c r="A137" s="67" t="s">
        <v>177</v>
      </c>
      <c r="B137" s="69">
        <v>45152</v>
      </c>
      <c r="C137" s="67">
        <v>23.3</v>
      </c>
      <c r="D137" s="110">
        <v>94.3</v>
      </c>
      <c r="E137" s="67">
        <v>234.6</v>
      </c>
      <c r="F137" s="67">
        <v>18.5</v>
      </c>
      <c r="G137" s="67" t="s">
        <v>176</v>
      </c>
      <c r="I137" s="68">
        <v>1146.3</v>
      </c>
      <c r="J137" s="67" t="s">
        <v>176</v>
      </c>
      <c r="K137" s="68">
        <v>1413.2</v>
      </c>
      <c r="L137" s="67" t="s">
        <v>176</v>
      </c>
    </row>
    <row r="138" spans="1:12" x14ac:dyDescent="0.3">
      <c r="A138" s="67" t="s">
        <v>177</v>
      </c>
      <c r="B138" s="69">
        <v>45153</v>
      </c>
      <c r="C138" s="67">
        <v>24.2</v>
      </c>
      <c r="D138" s="67">
        <v>94.3</v>
      </c>
      <c r="E138" s="67">
        <v>236.4</v>
      </c>
      <c r="F138" s="67">
        <v>17.5</v>
      </c>
      <c r="G138" s="67" t="s">
        <v>176</v>
      </c>
      <c r="I138" s="68">
        <v>1158.8</v>
      </c>
      <c r="J138" s="67" t="s">
        <v>176</v>
      </c>
      <c r="K138" s="68">
        <v>1432.1</v>
      </c>
      <c r="L138" s="67" t="s">
        <v>176</v>
      </c>
    </row>
    <row r="139" spans="1:12" x14ac:dyDescent="0.3">
      <c r="A139" s="67" t="s">
        <v>177</v>
      </c>
      <c r="B139" s="69">
        <v>45154</v>
      </c>
      <c r="C139" s="67">
        <v>21.3</v>
      </c>
      <c r="D139" s="67">
        <v>94.3</v>
      </c>
      <c r="E139" s="67">
        <v>239.8</v>
      </c>
      <c r="F139" s="67">
        <v>17.3</v>
      </c>
      <c r="G139" s="67" t="s">
        <v>176</v>
      </c>
      <c r="I139" s="68">
        <v>1171.0999999999999</v>
      </c>
      <c r="J139" s="67" t="s">
        <v>176</v>
      </c>
      <c r="K139" s="68">
        <v>1447.3</v>
      </c>
      <c r="L139" s="67" t="s">
        <v>176</v>
      </c>
    </row>
    <row r="140" spans="1:12" x14ac:dyDescent="0.3">
      <c r="A140" s="67" t="s">
        <v>177</v>
      </c>
      <c r="B140" s="69">
        <v>45155</v>
      </c>
      <c r="C140" s="67">
        <v>25.8</v>
      </c>
      <c r="D140" s="67">
        <v>94.3</v>
      </c>
      <c r="E140" s="67">
        <v>240.8</v>
      </c>
      <c r="F140" s="67">
        <v>17.899999999999999</v>
      </c>
      <c r="G140" s="67" t="s">
        <v>176</v>
      </c>
      <c r="I140" s="68">
        <v>1184</v>
      </c>
      <c r="J140" s="67" t="s">
        <v>176</v>
      </c>
      <c r="K140" s="68">
        <v>1467.1</v>
      </c>
      <c r="L140" s="67" t="s">
        <v>176</v>
      </c>
    </row>
    <row r="141" spans="1:12" x14ac:dyDescent="0.3">
      <c r="A141" s="67" t="s">
        <v>177</v>
      </c>
      <c r="B141" s="69">
        <v>45156</v>
      </c>
      <c r="C141" s="67">
        <v>18.8</v>
      </c>
      <c r="D141" s="67">
        <v>94.4</v>
      </c>
      <c r="E141" s="67">
        <v>241.2</v>
      </c>
      <c r="F141" s="67">
        <v>18</v>
      </c>
      <c r="G141" s="67" t="s">
        <v>176</v>
      </c>
      <c r="I141" s="68">
        <v>1197</v>
      </c>
      <c r="J141" s="67" t="s">
        <v>176</v>
      </c>
      <c r="K141" s="68">
        <v>1480.3</v>
      </c>
      <c r="L141" s="67" t="s">
        <v>176</v>
      </c>
    </row>
    <row r="142" spans="1:12" x14ac:dyDescent="0.3">
      <c r="A142" s="67" t="s">
        <v>177</v>
      </c>
      <c r="B142" s="69">
        <v>45157</v>
      </c>
      <c r="C142" s="67">
        <v>11.3</v>
      </c>
      <c r="D142" s="67">
        <v>94.4</v>
      </c>
      <c r="E142" s="67">
        <v>241.9</v>
      </c>
      <c r="F142" s="67">
        <v>18</v>
      </c>
      <c r="G142" s="67" t="s">
        <v>176</v>
      </c>
      <c r="I142" s="68">
        <v>1210</v>
      </c>
      <c r="J142" s="67" t="s">
        <v>176</v>
      </c>
      <c r="K142" s="68">
        <v>1486.8</v>
      </c>
      <c r="L142" s="67" t="s">
        <v>176</v>
      </c>
    </row>
    <row r="143" spans="1:12" x14ac:dyDescent="0.3">
      <c r="A143" s="67" t="s">
        <v>177</v>
      </c>
      <c r="B143" s="69">
        <v>45158</v>
      </c>
      <c r="C143" s="67">
        <v>15.2</v>
      </c>
      <c r="D143" s="67">
        <v>94.4</v>
      </c>
      <c r="E143" s="67">
        <v>242.2</v>
      </c>
      <c r="F143" s="67">
        <v>17.5</v>
      </c>
      <c r="G143" s="67" t="s">
        <v>176</v>
      </c>
      <c r="I143" s="68">
        <v>1222.5</v>
      </c>
      <c r="J143" s="67" t="s">
        <v>176</v>
      </c>
      <c r="K143" s="68">
        <v>1496.3</v>
      </c>
      <c r="L143" s="67" t="s">
        <v>176</v>
      </c>
    </row>
    <row r="144" spans="1:12" x14ac:dyDescent="0.3">
      <c r="A144" s="67" t="s">
        <v>177</v>
      </c>
      <c r="B144" s="69">
        <v>45159</v>
      </c>
      <c r="C144" s="67">
        <v>15.4</v>
      </c>
      <c r="D144" s="67">
        <v>104.4</v>
      </c>
      <c r="E144" s="67">
        <v>243</v>
      </c>
      <c r="F144" s="67">
        <v>17.899999999999999</v>
      </c>
      <c r="G144" s="67" t="s">
        <v>176</v>
      </c>
      <c r="I144" s="68">
        <v>1235.4000000000001</v>
      </c>
      <c r="J144" s="67" t="s">
        <v>176</v>
      </c>
      <c r="K144" s="68">
        <v>1506.5</v>
      </c>
      <c r="L144" s="67" t="s">
        <v>176</v>
      </c>
    </row>
    <row r="145" spans="1:12" x14ac:dyDescent="0.3">
      <c r="A145" s="67" t="s">
        <v>177</v>
      </c>
      <c r="B145" s="69">
        <v>45160</v>
      </c>
      <c r="C145" s="67">
        <v>17.7</v>
      </c>
      <c r="D145" s="67">
        <v>108.1</v>
      </c>
      <c r="E145" s="67">
        <v>244.2</v>
      </c>
      <c r="F145" s="67">
        <v>17.3</v>
      </c>
      <c r="G145" s="67" t="s">
        <v>176</v>
      </c>
      <c r="I145" s="68">
        <v>1247.8</v>
      </c>
      <c r="J145" s="67" t="s">
        <v>176</v>
      </c>
      <c r="K145" s="68">
        <v>1520.4</v>
      </c>
      <c r="L145" s="67" t="s">
        <v>176</v>
      </c>
    </row>
    <row r="146" spans="1:12" x14ac:dyDescent="0.3">
      <c r="A146" s="67" t="s">
        <v>177</v>
      </c>
      <c r="B146" s="69">
        <v>45161</v>
      </c>
      <c r="C146" s="67">
        <v>18.600000000000001</v>
      </c>
      <c r="D146" s="67">
        <v>108.2</v>
      </c>
      <c r="E146" s="67">
        <v>245.2</v>
      </c>
      <c r="F146" s="67">
        <v>17</v>
      </c>
      <c r="G146" s="67" t="s">
        <v>176</v>
      </c>
      <c r="I146" s="68">
        <v>1259.9000000000001</v>
      </c>
      <c r="J146" s="67" t="s">
        <v>176</v>
      </c>
      <c r="K146" s="68">
        <v>1534.4</v>
      </c>
      <c r="L146" s="67" t="s">
        <v>176</v>
      </c>
    </row>
    <row r="147" spans="1:12" x14ac:dyDescent="0.3">
      <c r="A147" s="67" t="s">
        <v>177</v>
      </c>
      <c r="B147" s="69">
        <v>45162</v>
      </c>
      <c r="C147" s="67">
        <v>17.100000000000001</v>
      </c>
      <c r="D147" s="67">
        <v>108.2</v>
      </c>
      <c r="E147" s="67">
        <v>247.5</v>
      </c>
      <c r="F147" s="67">
        <v>16.399999999999999</v>
      </c>
      <c r="G147" s="67" t="s">
        <v>176</v>
      </c>
      <c r="I147" s="68">
        <v>1271.3</v>
      </c>
      <c r="J147" s="67" t="s">
        <v>176</v>
      </c>
      <c r="K147" s="68">
        <v>1546.6</v>
      </c>
      <c r="L147" s="67" t="s">
        <v>176</v>
      </c>
    </row>
    <row r="148" spans="1:12" x14ac:dyDescent="0.3">
      <c r="A148" s="67" t="s">
        <v>177</v>
      </c>
      <c r="B148" s="69">
        <v>45163</v>
      </c>
      <c r="C148" s="67">
        <v>16.8</v>
      </c>
      <c r="D148" s="67">
        <v>108.2</v>
      </c>
      <c r="E148" s="67">
        <v>247.8</v>
      </c>
      <c r="F148" s="67">
        <v>16.600000000000001</v>
      </c>
      <c r="G148" s="67" t="s">
        <v>176</v>
      </c>
      <c r="I148" s="68">
        <v>1282.9000000000001</v>
      </c>
      <c r="J148" s="67" t="s">
        <v>176</v>
      </c>
      <c r="K148" s="68">
        <v>1558.1</v>
      </c>
      <c r="L148" s="67" t="s">
        <v>176</v>
      </c>
    </row>
    <row r="149" spans="1:12" x14ac:dyDescent="0.3">
      <c r="A149" s="67" t="s">
        <v>177</v>
      </c>
      <c r="B149" s="69">
        <v>45164</v>
      </c>
      <c r="C149" s="67">
        <v>21</v>
      </c>
      <c r="D149" s="67">
        <v>108.2</v>
      </c>
      <c r="E149" s="67">
        <v>248.6</v>
      </c>
      <c r="F149" s="67">
        <v>16.8</v>
      </c>
      <c r="G149" s="67" t="s">
        <v>176</v>
      </c>
      <c r="I149" s="68">
        <v>1294.7</v>
      </c>
      <c r="J149" s="67" t="s">
        <v>176</v>
      </c>
      <c r="K149" s="68">
        <v>1574</v>
      </c>
      <c r="L149" s="67" t="s">
        <v>176</v>
      </c>
    </row>
    <row r="150" spans="1:12" x14ac:dyDescent="0.3">
      <c r="A150" s="67" t="s">
        <v>177</v>
      </c>
      <c r="B150" s="69">
        <v>45165</v>
      </c>
      <c r="C150" s="67">
        <v>19.3</v>
      </c>
      <c r="D150" s="67">
        <v>108.2</v>
      </c>
      <c r="E150" s="67">
        <v>249.3</v>
      </c>
      <c r="F150" s="67">
        <v>17</v>
      </c>
      <c r="G150" s="67" t="s">
        <v>176</v>
      </c>
      <c r="I150" s="68">
        <v>1306.7</v>
      </c>
      <c r="J150" s="67" t="s">
        <v>176</v>
      </c>
      <c r="K150" s="68">
        <v>1588.4</v>
      </c>
      <c r="L150" s="67" t="s">
        <v>176</v>
      </c>
    </row>
    <row r="151" spans="1:12" x14ac:dyDescent="0.3">
      <c r="A151" s="67" t="s">
        <v>177</v>
      </c>
      <c r="B151" s="69">
        <v>45166</v>
      </c>
      <c r="C151" s="67">
        <v>21.2</v>
      </c>
      <c r="D151" s="67">
        <v>108.2</v>
      </c>
      <c r="E151" s="67">
        <v>250.1</v>
      </c>
      <c r="F151" s="67">
        <v>16.600000000000001</v>
      </c>
      <c r="G151" s="67" t="s">
        <v>176</v>
      </c>
      <c r="I151" s="68">
        <v>1318.3</v>
      </c>
      <c r="J151" s="67" t="s">
        <v>176</v>
      </c>
      <c r="K151" s="68">
        <v>1604</v>
      </c>
      <c r="L151" s="67" t="s">
        <v>176</v>
      </c>
    </row>
    <row r="152" spans="1:12" x14ac:dyDescent="0.3">
      <c r="A152" s="67" t="s">
        <v>177</v>
      </c>
      <c r="B152" s="69">
        <v>45167</v>
      </c>
      <c r="C152" s="67">
        <v>21.1</v>
      </c>
      <c r="D152" s="67">
        <v>108.2</v>
      </c>
      <c r="E152" s="67">
        <v>250.8</v>
      </c>
      <c r="F152" s="67">
        <v>17.399999999999999</v>
      </c>
      <c r="G152" s="67" t="s">
        <v>176</v>
      </c>
      <c r="I152" s="68">
        <v>1330.7</v>
      </c>
      <c r="J152" s="67" t="s">
        <v>176</v>
      </c>
      <c r="K152" s="68">
        <v>1619.8</v>
      </c>
      <c r="L152" s="67" t="s">
        <v>176</v>
      </c>
    </row>
    <row r="153" spans="1:12" x14ac:dyDescent="0.3">
      <c r="A153" s="67" t="s">
        <v>177</v>
      </c>
      <c r="B153" s="69">
        <v>45168</v>
      </c>
      <c r="C153" s="67">
        <v>17.7</v>
      </c>
      <c r="D153" s="67">
        <v>108.5</v>
      </c>
      <c r="E153" s="67">
        <v>251.6</v>
      </c>
      <c r="F153" s="67">
        <v>16.2</v>
      </c>
      <c r="G153" s="67" t="s">
        <v>176</v>
      </c>
      <c r="I153" s="68">
        <v>1341.9</v>
      </c>
      <c r="J153" s="67" t="s">
        <v>176</v>
      </c>
      <c r="K153" s="68">
        <v>1633.4</v>
      </c>
      <c r="L153" s="67" t="s">
        <v>176</v>
      </c>
    </row>
    <row r="154" spans="1:12" x14ac:dyDescent="0.3">
      <c r="A154" s="67" t="s">
        <v>177</v>
      </c>
      <c r="B154" s="69">
        <v>45169</v>
      </c>
      <c r="C154" s="67">
        <v>17.2</v>
      </c>
      <c r="D154" s="67">
        <v>116.2</v>
      </c>
      <c r="E154" s="67">
        <v>252.5</v>
      </c>
      <c r="F154" s="67">
        <v>15.8</v>
      </c>
      <c r="G154" s="67" t="s">
        <v>176</v>
      </c>
      <c r="I154" s="68">
        <v>1352.7</v>
      </c>
      <c r="J154" s="67" t="s">
        <v>176</v>
      </c>
      <c r="K154" s="68">
        <v>1645.9</v>
      </c>
      <c r="L154" s="67" t="s">
        <v>176</v>
      </c>
    </row>
    <row r="155" spans="1:12" x14ac:dyDescent="0.3">
      <c r="A155" s="67" t="s">
        <v>177</v>
      </c>
      <c r="B155" s="69">
        <v>45170</v>
      </c>
      <c r="C155" s="67">
        <v>16.399999999999999</v>
      </c>
      <c r="D155" s="67">
        <v>116.2</v>
      </c>
      <c r="E155" s="67">
        <v>253.2</v>
      </c>
      <c r="F155" s="67">
        <v>16.3</v>
      </c>
      <c r="G155" s="67" t="s">
        <v>176</v>
      </c>
      <c r="I155" s="68">
        <v>1364</v>
      </c>
      <c r="J155" s="67" t="s">
        <v>176</v>
      </c>
      <c r="K155" s="68">
        <v>1657.3</v>
      </c>
      <c r="L155" s="67" t="s">
        <v>176</v>
      </c>
    </row>
    <row r="156" spans="1:12" x14ac:dyDescent="0.3">
      <c r="A156" s="67" t="s">
        <v>177</v>
      </c>
      <c r="B156" s="69">
        <v>45171</v>
      </c>
      <c r="C156" s="67">
        <v>22.8</v>
      </c>
      <c r="D156" s="67">
        <v>116.2</v>
      </c>
      <c r="E156" s="67">
        <v>254.1</v>
      </c>
      <c r="F156" s="67">
        <v>15.8</v>
      </c>
      <c r="G156" s="67" t="s">
        <v>176</v>
      </c>
      <c r="I156" s="68">
        <v>1374.8</v>
      </c>
      <c r="J156" s="67" t="s">
        <v>176</v>
      </c>
      <c r="K156" s="68">
        <v>1674.9</v>
      </c>
      <c r="L156" s="67" t="s">
        <v>176</v>
      </c>
    </row>
    <row r="157" spans="1:12" x14ac:dyDescent="0.3">
      <c r="A157" s="67" t="s">
        <v>177</v>
      </c>
      <c r="B157" s="69">
        <v>45172</v>
      </c>
      <c r="C157" s="67">
        <v>22.3</v>
      </c>
      <c r="D157" s="67">
        <v>116.2</v>
      </c>
      <c r="E157" s="67">
        <v>255.7</v>
      </c>
      <c r="F157" s="67">
        <v>15.8</v>
      </c>
      <c r="G157" s="67" t="s">
        <v>176</v>
      </c>
      <c r="I157" s="68">
        <v>1385.6</v>
      </c>
      <c r="J157" s="67" t="s">
        <v>176</v>
      </c>
      <c r="K157" s="68">
        <v>1691</v>
      </c>
      <c r="L157" s="67" t="s">
        <v>176</v>
      </c>
    </row>
    <row r="158" spans="1:12" x14ac:dyDescent="0.3">
      <c r="A158" s="67" t="s">
        <v>177</v>
      </c>
      <c r="B158" s="69">
        <v>45173</v>
      </c>
      <c r="C158" s="67">
        <v>13</v>
      </c>
      <c r="D158" s="67">
        <v>116.3</v>
      </c>
      <c r="E158" s="67">
        <v>256.2</v>
      </c>
      <c r="F158" s="67">
        <v>14.8</v>
      </c>
      <c r="G158" s="67" t="s">
        <v>176</v>
      </c>
      <c r="I158" s="68">
        <v>1395.4</v>
      </c>
      <c r="J158" s="67" t="s">
        <v>176</v>
      </c>
      <c r="K158" s="68">
        <v>1698.4</v>
      </c>
      <c r="L158" s="67" t="s">
        <v>176</v>
      </c>
    </row>
    <row r="159" spans="1:12" x14ac:dyDescent="0.3">
      <c r="A159" s="67" t="s">
        <v>177</v>
      </c>
      <c r="B159" s="69">
        <v>45174</v>
      </c>
      <c r="C159" s="67">
        <v>15.3</v>
      </c>
      <c r="D159" s="67">
        <v>116.3</v>
      </c>
      <c r="E159" s="67">
        <v>258.2</v>
      </c>
      <c r="F159" s="67">
        <v>14.1</v>
      </c>
      <c r="G159" s="67" t="s">
        <v>176</v>
      </c>
      <c r="I159" s="68">
        <v>1404.5</v>
      </c>
      <c r="J159" s="67" t="s">
        <v>176</v>
      </c>
      <c r="K159" s="68">
        <v>1709.4</v>
      </c>
      <c r="L159" s="67" t="s">
        <v>176</v>
      </c>
    </row>
    <row r="160" spans="1:12" x14ac:dyDescent="0.3">
      <c r="A160" s="67" t="s">
        <v>177</v>
      </c>
      <c r="B160" s="69">
        <v>45175</v>
      </c>
      <c r="C160" s="67">
        <v>14.2</v>
      </c>
      <c r="D160" s="67">
        <v>116.3</v>
      </c>
      <c r="E160" s="67">
        <v>259.2</v>
      </c>
      <c r="F160" s="67">
        <v>14.3</v>
      </c>
      <c r="G160" s="67" t="s">
        <v>176</v>
      </c>
      <c r="I160" s="68">
        <v>1413.8</v>
      </c>
      <c r="J160" s="67" t="s">
        <v>176</v>
      </c>
      <c r="K160" s="68">
        <v>1719.2</v>
      </c>
      <c r="L160" s="67" t="s">
        <v>176</v>
      </c>
    </row>
    <row r="161" spans="1:12" x14ac:dyDescent="0.3">
      <c r="A161" s="67" t="s">
        <v>177</v>
      </c>
      <c r="B161" s="69">
        <v>45176</v>
      </c>
      <c r="C161" s="67">
        <v>14.7</v>
      </c>
      <c r="D161" s="67">
        <v>116.3</v>
      </c>
      <c r="E161" s="67">
        <v>260</v>
      </c>
      <c r="F161" s="67">
        <v>14.4</v>
      </c>
      <c r="G161" s="67" t="s">
        <v>176</v>
      </c>
      <c r="I161" s="68">
        <v>1423.2</v>
      </c>
      <c r="J161" s="67" t="s">
        <v>176</v>
      </c>
      <c r="K161" s="68">
        <v>1728.5</v>
      </c>
      <c r="L161" s="67" t="s">
        <v>176</v>
      </c>
    </row>
    <row r="162" spans="1:12" x14ac:dyDescent="0.3">
      <c r="A162" s="67" t="s">
        <v>177</v>
      </c>
      <c r="B162" s="69">
        <v>45177</v>
      </c>
      <c r="C162" s="67">
        <v>13.4</v>
      </c>
      <c r="D162" s="67">
        <v>116.3</v>
      </c>
      <c r="E162" s="67">
        <v>260.39999999999998</v>
      </c>
      <c r="F162" s="67">
        <v>14.3</v>
      </c>
      <c r="G162" s="67" t="s">
        <v>176</v>
      </c>
      <c r="I162" s="68">
        <v>1432.5</v>
      </c>
      <c r="J162" s="67" t="s">
        <v>176</v>
      </c>
      <c r="K162" s="68">
        <v>1737.7</v>
      </c>
      <c r="L162" s="67" t="s">
        <v>176</v>
      </c>
    </row>
    <row r="163" spans="1:12" x14ac:dyDescent="0.3">
      <c r="A163" s="67" t="s">
        <v>177</v>
      </c>
      <c r="B163" s="69">
        <v>45178</v>
      </c>
      <c r="C163" s="67">
        <v>12.9</v>
      </c>
      <c r="D163" s="67">
        <v>116.3</v>
      </c>
      <c r="E163" s="67">
        <v>262.10000000000002</v>
      </c>
      <c r="F163" s="67">
        <v>13.4</v>
      </c>
      <c r="G163" s="67" t="s">
        <v>176</v>
      </c>
      <c r="I163" s="68">
        <v>1441</v>
      </c>
      <c r="J163" s="67" t="s">
        <v>176</v>
      </c>
      <c r="K163" s="68">
        <v>1745.5</v>
      </c>
      <c r="L163" s="67" t="s">
        <v>176</v>
      </c>
    </row>
    <row r="164" spans="1:12" x14ac:dyDescent="0.3">
      <c r="A164" s="67" t="s">
        <v>177</v>
      </c>
      <c r="B164" s="69">
        <v>45179</v>
      </c>
      <c r="C164" s="67">
        <v>14.8</v>
      </c>
      <c r="D164" s="67">
        <v>116.3</v>
      </c>
      <c r="E164" s="67">
        <v>265.89999999999998</v>
      </c>
      <c r="F164" s="67">
        <v>13.5</v>
      </c>
      <c r="G164" s="67" t="s">
        <v>176</v>
      </c>
      <c r="I164" s="68">
        <v>1449.6</v>
      </c>
      <c r="J164" s="67" t="s">
        <v>176</v>
      </c>
      <c r="K164" s="68">
        <v>1754.7</v>
      </c>
      <c r="L164" s="67" t="s">
        <v>176</v>
      </c>
    </row>
    <row r="165" spans="1:12" x14ac:dyDescent="0.3">
      <c r="A165" s="67" t="s">
        <v>177</v>
      </c>
      <c r="B165" s="69">
        <v>45180</v>
      </c>
      <c r="C165" s="67">
        <v>17.399999999999999</v>
      </c>
      <c r="D165" s="67">
        <v>116.3</v>
      </c>
      <c r="E165" s="67">
        <v>267.7</v>
      </c>
      <c r="F165" s="67">
        <v>14</v>
      </c>
      <c r="G165" s="67" t="s">
        <v>176</v>
      </c>
      <c r="I165" s="68">
        <v>1458.6</v>
      </c>
      <c r="J165" s="67" t="s">
        <v>176</v>
      </c>
      <c r="K165" s="68">
        <v>1766.7</v>
      </c>
      <c r="L165" s="67" t="s">
        <v>176</v>
      </c>
    </row>
    <row r="166" spans="1:12" x14ac:dyDescent="0.3">
      <c r="A166" s="67" t="s">
        <v>177</v>
      </c>
      <c r="B166" s="69">
        <v>45181</v>
      </c>
      <c r="C166" s="67">
        <v>19</v>
      </c>
      <c r="D166" s="67">
        <v>116.3</v>
      </c>
      <c r="E166" s="67">
        <v>269.5</v>
      </c>
      <c r="F166" s="67">
        <v>13.4</v>
      </c>
      <c r="G166" s="67" t="s">
        <v>176</v>
      </c>
      <c r="I166" s="68">
        <v>1467</v>
      </c>
      <c r="J166" s="67" t="s">
        <v>176</v>
      </c>
      <c r="K166" s="68">
        <v>1781.9</v>
      </c>
      <c r="L166" s="67" t="s">
        <v>176</v>
      </c>
    </row>
    <row r="167" spans="1:12" x14ac:dyDescent="0.3">
      <c r="A167" s="67" t="s">
        <v>177</v>
      </c>
      <c r="B167" s="69">
        <v>45182</v>
      </c>
      <c r="C167" s="67">
        <v>17.899999999999999</v>
      </c>
      <c r="D167" s="67">
        <v>116.3</v>
      </c>
      <c r="E167" s="67">
        <v>270.39999999999998</v>
      </c>
      <c r="F167" s="67">
        <v>12.1</v>
      </c>
      <c r="G167" s="67" t="s">
        <v>176</v>
      </c>
      <c r="I167" s="68">
        <v>1474.2</v>
      </c>
      <c r="J167" s="67" t="s">
        <v>176</v>
      </c>
      <c r="K167" s="68">
        <v>1794.2</v>
      </c>
      <c r="L167" s="67" t="s">
        <v>176</v>
      </c>
    </row>
    <row r="168" spans="1:12" x14ac:dyDescent="0.3">
      <c r="A168" s="67" t="s">
        <v>177</v>
      </c>
      <c r="B168" s="69">
        <v>45183</v>
      </c>
      <c r="C168" s="67">
        <v>13.9</v>
      </c>
      <c r="D168" s="67">
        <v>116.3</v>
      </c>
      <c r="E168" s="67">
        <v>271</v>
      </c>
      <c r="F168" s="67">
        <v>12.6</v>
      </c>
      <c r="G168" s="67" t="s">
        <v>176</v>
      </c>
      <c r="I168" s="68">
        <v>1481.8</v>
      </c>
      <c r="J168" s="67" t="s">
        <v>176</v>
      </c>
      <c r="K168" s="68">
        <v>1803.4</v>
      </c>
      <c r="L168" s="67" t="s">
        <v>176</v>
      </c>
    </row>
    <row r="169" spans="1:12" x14ac:dyDescent="0.3">
      <c r="A169" s="67" t="s">
        <v>177</v>
      </c>
      <c r="B169" s="69">
        <v>45184</v>
      </c>
      <c r="C169" s="67">
        <v>16.100000000000001</v>
      </c>
      <c r="D169" s="67">
        <v>116.3</v>
      </c>
      <c r="E169" s="67">
        <v>272.7</v>
      </c>
      <c r="F169" s="67">
        <v>12.9</v>
      </c>
      <c r="G169" s="67" t="s">
        <v>176</v>
      </c>
      <c r="I169" s="68">
        <v>1489.7</v>
      </c>
      <c r="J169" s="67" t="s">
        <v>176</v>
      </c>
      <c r="K169" s="68">
        <v>1814.6</v>
      </c>
      <c r="L169" s="67" t="s">
        <v>176</v>
      </c>
    </row>
    <row r="170" spans="1:12" x14ac:dyDescent="0.3">
      <c r="A170" s="67" t="s">
        <v>177</v>
      </c>
      <c r="B170" s="69">
        <v>45185</v>
      </c>
      <c r="C170" s="67">
        <v>18.899999999999999</v>
      </c>
      <c r="D170" s="67">
        <v>116.3</v>
      </c>
      <c r="E170" s="67">
        <v>273.7</v>
      </c>
      <c r="F170" s="67">
        <v>13</v>
      </c>
      <c r="G170" s="67" t="s">
        <v>176</v>
      </c>
      <c r="I170" s="68">
        <v>1497.7</v>
      </c>
      <c r="J170" s="67" t="s">
        <v>176</v>
      </c>
      <c r="K170" s="68">
        <v>1829.2</v>
      </c>
      <c r="L170" s="67" t="s">
        <v>176</v>
      </c>
    </row>
    <row r="171" spans="1:12" x14ac:dyDescent="0.3">
      <c r="A171" s="67" t="s">
        <v>177</v>
      </c>
      <c r="B171" s="69">
        <v>45186</v>
      </c>
      <c r="C171" s="67">
        <v>19.3</v>
      </c>
      <c r="D171" s="67">
        <v>116.3</v>
      </c>
      <c r="E171" s="67">
        <v>275.60000000000002</v>
      </c>
      <c r="F171" s="67">
        <v>12</v>
      </c>
      <c r="G171" s="67" t="s">
        <v>176</v>
      </c>
      <c r="I171" s="68">
        <v>1504.9</v>
      </c>
      <c r="J171" s="67" t="s">
        <v>176</v>
      </c>
      <c r="K171" s="68">
        <v>1843.6</v>
      </c>
      <c r="L171" s="67" t="s">
        <v>176</v>
      </c>
    </row>
    <row r="172" spans="1:12" x14ac:dyDescent="0.3">
      <c r="A172" s="67" t="s">
        <v>177</v>
      </c>
      <c r="B172" s="69">
        <v>45187</v>
      </c>
      <c r="C172" s="67">
        <v>18.8</v>
      </c>
      <c r="D172" s="67">
        <v>116.3</v>
      </c>
      <c r="E172" s="67">
        <v>278.60000000000002</v>
      </c>
      <c r="F172" s="67">
        <v>11.8</v>
      </c>
      <c r="G172" s="67" t="s">
        <v>176</v>
      </c>
      <c r="I172" s="68">
        <v>1511.7</v>
      </c>
      <c r="J172" s="67" t="s">
        <v>176</v>
      </c>
      <c r="K172" s="68">
        <v>1856</v>
      </c>
      <c r="L172" s="67" t="s">
        <v>176</v>
      </c>
    </row>
    <row r="173" spans="1:12" x14ac:dyDescent="0.3">
      <c r="A173" s="67" t="s">
        <v>177</v>
      </c>
      <c r="B173" s="69">
        <v>45188</v>
      </c>
      <c r="C173" s="67">
        <v>11.2</v>
      </c>
      <c r="D173" s="67">
        <v>124.2</v>
      </c>
      <c r="E173" s="67">
        <v>279.8</v>
      </c>
      <c r="F173" s="67">
        <v>11.5</v>
      </c>
      <c r="G173" s="67" t="s">
        <v>176</v>
      </c>
      <c r="I173" s="68">
        <v>1518.2</v>
      </c>
      <c r="J173" s="67" t="s">
        <v>176</v>
      </c>
      <c r="K173" s="68">
        <v>1861.7</v>
      </c>
      <c r="L173" s="67" t="s">
        <v>176</v>
      </c>
    </row>
    <row r="174" spans="1:12" x14ac:dyDescent="0.3">
      <c r="A174" s="67" t="s">
        <v>177</v>
      </c>
      <c r="B174" s="69">
        <v>45189</v>
      </c>
      <c r="C174" s="67">
        <v>9.6</v>
      </c>
      <c r="D174" s="67">
        <v>124.3</v>
      </c>
      <c r="E174" s="67">
        <v>281.10000000000002</v>
      </c>
      <c r="F174" s="67">
        <v>10.5</v>
      </c>
      <c r="G174" s="67" t="s">
        <v>176</v>
      </c>
      <c r="I174" s="68">
        <v>1523.9</v>
      </c>
      <c r="J174" s="67" t="s">
        <v>176</v>
      </c>
      <c r="K174" s="68">
        <v>1866.4</v>
      </c>
      <c r="L174" s="67" t="s">
        <v>176</v>
      </c>
    </row>
    <row r="175" spans="1:12" x14ac:dyDescent="0.3">
      <c r="A175" s="67" t="s">
        <v>177</v>
      </c>
      <c r="B175" s="69">
        <v>45190</v>
      </c>
      <c r="C175" s="67">
        <v>10.9</v>
      </c>
      <c r="D175" s="67">
        <v>124.3</v>
      </c>
      <c r="E175" s="67">
        <v>282.2</v>
      </c>
      <c r="F175" s="67">
        <v>10.6</v>
      </c>
      <c r="G175" s="67" t="s">
        <v>176</v>
      </c>
      <c r="I175" s="68">
        <v>1529.7</v>
      </c>
      <c r="J175" s="67" t="s">
        <v>176</v>
      </c>
      <c r="K175" s="68">
        <v>1872.8</v>
      </c>
      <c r="L175" s="67" t="s">
        <v>176</v>
      </c>
    </row>
    <row r="176" spans="1:12" x14ac:dyDescent="0.3">
      <c r="A176" s="67" t="s">
        <v>177</v>
      </c>
      <c r="B176" s="69">
        <v>45191</v>
      </c>
      <c r="C176" s="67">
        <v>11.2</v>
      </c>
      <c r="D176" s="67">
        <v>125.1</v>
      </c>
      <c r="E176" s="67">
        <v>282.8</v>
      </c>
      <c r="F176" s="67">
        <v>11.4</v>
      </c>
      <c r="G176" s="67" t="s">
        <v>176</v>
      </c>
      <c r="I176" s="68">
        <v>1536.4</v>
      </c>
      <c r="J176" s="67" t="s">
        <v>176</v>
      </c>
      <c r="K176" s="68">
        <v>1878.6</v>
      </c>
      <c r="L176" s="67" t="s">
        <v>176</v>
      </c>
    </row>
    <row r="177" spans="1:12" x14ac:dyDescent="0.3">
      <c r="A177" s="67" t="s">
        <v>177</v>
      </c>
      <c r="B177" s="69">
        <v>45192</v>
      </c>
      <c r="C177" s="67">
        <v>12.6</v>
      </c>
      <c r="D177" s="67">
        <v>125.3</v>
      </c>
      <c r="E177" s="67">
        <v>283.5</v>
      </c>
      <c r="F177" s="67">
        <v>12.4</v>
      </c>
      <c r="G177" s="67" t="s">
        <v>176</v>
      </c>
      <c r="I177" s="68">
        <v>1543.9</v>
      </c>
      <c r="J177" s="67" t="s">
        <v>176</v>
      </c>
      <c r="K177" s="68">
        <v>1886.7</v>
      </c>
      <c r="L177" s="67" t="s">
        <v>176</v>
      </c>
    </row>
    <row r="178" spans="1:12" x14ac:dyDescent="0.3">
      <c r="A178" s="67" t="s">
        <v>177</v>
      </c>
      <c r="B178" s="69">
        <v>45193</v>
      </c>
      <c r="C178" s="67">
        <v>13.4</v>
      </c>
      <c r="D178" s="67">
        <v>125.3</v>
      </c>
      <c r="E178" s="67">
        <v>283.89999999999998</v>
      </c>
      <c r="F178" s="67">
        <v>12.6</v>
      </c>
      <c r="G178" s="67" t="s">
        <v>176</v>
      </c>
      <c r="I178" s="68">
        <v>1551.5</v>
      </c>
      <c r="J178" s="67" t="s">
        <v>176</v>
      </c>
      <c r="K178" s="68">
        <v>1895.1</v>
      </c>
      <c r="L178" s="67" t="s">
        <v>176</v>
      </c>
    </row>
    <row r="179" spans="1:12" x14ac:dyDescent="0.3">
      <c r="A179" s="67" t="s">
        <v>177</v>
      </c>
      <c r="B179" s="69">
        <v>45194</v>
      </c>
      <c r="C179" s="67">
        <v>15.4</v>
      </c>
      <c r="D179" s="67">
        <v>125.3</v>
      </c>
      <c r="E179" s="67">
        <v>284.7</v>
      </c>
      <c r="F179" s="67">
        <v>13.1</v>
      </c>
      <c r="G179" s="67" t="s">
        <v>176</v>
      </c>
      <c r="I179" s="68">
        <v>1559.6</v>
      </c>
      <c r="J179" s="67" t="s">
        <v>176</v>
      </c>
      <c r="K179" s="68">
        <v>1905.4</v>
      </c>
      <c r="L179" s="67" t="s">
        <v>176</v>
      </c>
    </row>
    <row r="180" spans="1:12" x14ac:dyDescent="0.3">
      <c r="A180" s="67" t="s">
        <v>177</v>
      </c>
      <c r="B180" s="69">
        <v>45195</v>
      </c>
      <c r="C180" s="67">
        <v>15.2</v>
      </c>
      <c r="D180" s="67">
        <v>125.3</v>
      </c>
      <c r="E180" s="67">
        <v>285</v>
      </c>
      <c r="F180" s="67">
        <v>12.1</v>
      </c>
      <c r="G180" s="67" t="s">
        <v>176</v>
      </c>
      <c r="I180" s="68">
        <v>1566.8</v>
      </c>
      <c r="J180" s="67" t="s">
        <v>176</v>
      </c>
      <c r="K180" s="68">
        <v>1916.2</v>
      </c>
      <c r="L180" s="67" t="s">
        <v>176</v>
      </c>
    </row>
    <row r="181" spans="1:12" x14ac:dyDescent="0.3">
      <c r="A181" s="67" t="s">
        <v>177</v>
      </c>
      <c r="B181" s="69">
        <v>45196</v>
      </c>
      <c r="C181" s="67">
        <v>11.5</v>
      </c>
      <c r="D181" s="67">
        <v>125.3</v>
      </c>
      <c r="E181" s="67">
        <v>285.60000000000002</v>
      </c>
      <c r="F181" s="67">
        <v>11.2</v>
      </c>
      <c r="G181" s="67" t="s">
        <v>176</v>
      </c>
      <c r="I181" s="68">
        <v>1573.1</v>
      </c>
      <c r="J181" s="67" t="s">
        <v>176</v>
      </c>
      <c r="K181" s="68">
        <v>1922.3</v>
      </c>
      <c r="L181" s="67" t="s">
        <v>176</v>
      </c>
    </row>
    <row r="182" spans="1:12" x14ac:dyDescent="0.3">
      <c r="A182" s="67" t="s">
        <v>177</v>
      </c>
      <c r="B182" s="69">
        <v>45197</v>
      </c>
      <c r="C182" s="67">
        <v>11.9</v>
      </c>
      <c r="D182" s="67">
        <v>125.3</v>
      </c>
      <c r="E182" s="67">
        <v>286.10000000000002</v>
      </c>
      <c r="F182" s="67">
        <v>11.6</v>
      </c>
      <c r="G182" s="67" t="s">
        <v>176</v>
      </c>
      <c r="I182" s="68">
        <v>1579.9</v>
      </c>
      <c r="J182" s="67" t="s">
        <v>176</v>
      </c>
      <c r="K182" s="68">
        <v>1929</v>
      </c>
      <c r="L182" s="67" t="s">
        <v>176</v>
      </c>
    </row>
    <row r="183" spans="1:12" x14ac:dyDescent="0.3">
      <c r="A183" s="67" t="s">
        <v>177</v>
      </c>
      <c r="B183" s="69">
        <v>45198</v>
      </c>
      <c r="C183" s="67">
        <v>8.9</v>
      </c>
      <c r="D183" s="67">
        <v>125.3</v>
      </c>
      <c r="E183" s="67">
        <v>287.10000000000002</v>
      </c>
      <c r="F183" s="67">
        <v>11.8</v>
      </c>
      <c r="G183" s="67" t="s">
        <v>176</v>
      </c>
      <c r="I183" s="68">
        <v>1587</v>
      </c>
      <c r="J183" s="67" t="s">
        <v>176</v>
      </c>
      <c r="K183" s="68">
        <v>1932.1</v>
      </c>
      <c r="L183" s="67" t="s">
        <v>176</v>
      </c>
    </row>
    <row r="184" spans="1:12" x14ac:dyDescent="0.3">
      <c r="A184" s="67" t="s">
        <v>177</v>
      </c>
      <c r="B184" s="69">
        <v>45199</v>
      </c>
      <c r="C184" s="67">
        <v>6.8</v>
      </c>
      <c r="D184" s="67">
        <v>140.4</v>
      </c>
      <c r="E184" s="67">
        <v>288.10000000000002</v>
      </c>
      <c r="F184" s="67">
        <v>10.3</v>
      </c>
      <c r="G184" s="67" t="s">
        <v>176</v>
      </c>
      <c r="I184" s="68">
        <v>1593</v>
      </c>
      <c r="J184" s="67" t="s">
        <v>176</v>
      </c>
      <c r="K184" s="68">
        <v>1934.2</v>
      </c>
      <c r="L184" s="67" t="s">
        <v>176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D0B38-0119-4C85-8169-1CBE5C579D92}">
  <sheetPr>
    <tabColor rgb="FFFFFF00"/>
  </sheetPr>
  <dimension ref="A1:L188"/>
  <sheetViews>
    <sheetView tabSelected="1" topLeftCell="A19" workbookViewId="0">
      <selection activeCell="D2" sqref="D2"/>
    </sheetView>
  </sheetViews>
  <sheetFormatPr defaultColWidth="9" defaultRowHeight="14.4" x14ac:dyDescent="0.3"/>
  <cols>
    <col min="1" max="1" width="24" style="67" bestFit="1" customWidth="1"/>
    <col min="2" max="2" width="21.8984375" style="67" bestFit="1" customWidth="1"/>
    <col min="3" max="3" width="23.8984375" style="67" customWidth="1"/>
    <col min="4" max="4" width="16.59765625" style="67" customWidth="1"/>
    <col min="5" max="5" width="23.5" style="67" customWidth="1"/>
    <col min="6" max="6" width="24.09765625" style="67" bestFit="1" customWidth="1"/>
    <col min="7" max="7" width="30.19921875" style="67" bestFit="1" customWidth="1"/>
    <col min="8" max="8" width="41.59765625" style="67" bestFit="1" customWidth="1"/>
    <col min="9" max="9" width="19" style="67" customWidth="1"/>
    <col min="10" max="10" width="9" style="67"/>
    <col min="11" max="11" width="28.5" style="67" customWidth="1"/>
    <col min="12" max="16384" width="9" style="67"/>
  </cols>
  <sheetData>
    <row r="1" spans="1:12" x14ac:dyDescent="0.3">
      <c r="A1" s="67" t="s">
        <v>189</v>
      </c>
      <c r="B1" s="67" t="s">
        <v>188</v>
      </c>
      <c r="C1" s="67" t="s">
        <v>187</v>
      </c>
      <c r="D1" s="122" t="s">
        <v>186</v>
      </c>
      <c r="E1" s="67" t="s">
        <v>185</v>
      </c>
      <c r="F1" s="67" t="s">
        <v>184</v>
      </c>
      <c r="G1" s="67" t="s">
        <v>183</v>
      </c>
      <c r="H1" s="67" t="s">
        <v>182</v>
      </c>
      <c r="I1" s="67" t="s">
        <v>181</v>
      </c>
      <c r="J1" s="67" t="s">
        <v>180</v>
      </c>
      <c r="K1" s="67" t="s">
        <v>179</v>
      </c>
      <c r="L1" s="67" t="s">
        <v>178</v>
      </c>
    </row>
    <row r="2" spans="1:12" x14ac:dyDescent="0.3">
      <c r="A2" s="67" t="s">
        <v>177</v>
      </c>
      <c r="B2" s="69">
        <v>45017</v>
      </c>
      <c r="C2" s="67">
        <v>4.4000000000000004</v>
      </c>
      <c r="D2" s="67">
        <v>0.1</v>
      </c>
      <c r="E2" s="67">
        <v>0.8</v>
      </c>
      <c r="F2" s="67">
        <v>2.5</v>
      </c>
      <c r="G2" s="67" t="s">
        <v>176</v>
      </c>
      <c r="I2" s="67">
        <v>1.1000000000000001</v>
      </c>
      <c r="J2" s="67" t="s">
        <v>176</v>
      </c>
      <c r="K2" s="67">
        <v>0.7</v>
      </c>
      <c r="L2" s="67" t="s">
        <v>176</v>
      </c>
    </row>
    <row r="3" spans="1:12" x14ac:dyDescent="0.3">
      <c r="A3" s="67" t="s">
        <v>177</v>
      </c>
      <c r="B3" s="69">
        <v>45018</v>
      </c>
      <c r="C3" s="67">
        <v>0</v>
      </c>
      <c r="D3" s="67">
        <v>4.8</v>
      </c>
      <c r="E3" s="67">
        <v>2.2999999999999998</v>
      </c>
      <c r="F3" s="67">
        <v>2.1</v>
      </c>
      <c r="G3" s="67" t="s">
        <v>176</v>
      </c>
      <c r="I3" s="67">
        <v>2.2000000000000002</v>
      </c>
      <c r="J3" s="67" t="s">
        <v>176</v>
      </c>
      <c r="K3" s="67">
        <v>0.7</v>
      </c>
      <c r="L3" s="67" t="s">
        <v>176</v>
      </c>
    </row>
    <row r="4" spans="1:12" x14ac:dyDescent="0.3">
      <c r="A4" s="67" t="s">
        <v>177</v>
      </c>
      <c r="B4" s="69">
        <v>45019</v>
      </c>
      <c r="C4" s="67">
        <v>-2.1</v>
      </c>
      <c r="D4" s="67">
        <v>5.0999999999999996</v>
      </c>
      <c r="E4" s="67">
        <v>3.2</v>
      </c>
      <c r="F4" s="67">
        <v>2.4</v>
      </c>
      <c r="G4" s="67" t="s">
        <v>176</v>
      </c>
      <c r="I4" s="67">
        <v>3.2</v>
      </c>
      <c r="J4" s="67" t="s">
        <v>176</v>
      </c>
      <c r="K4" s="67">
        <v>0.7</v>
      </c>
      <c r="L4" s="67" t="s">
        <v>176</v>
      </c>
    </row>
    <row r="5" spans="1:12" x14ac:dyDescent="0.3">
      <c r="A5" s="67" t="s">
        <v>177</v>
      </c>
      <c r="B5" s="69">
        <v>45020</v>
      </c>
      <c r="C5" s="67">
        <v>-5.0999999999999996</v>
      </c>
      <c r="D5" s="67">
        <v>5.0999999999999996</v>
      </c>
      <c r="E5" s="67">
        <v>4.5</v>
      </c>
      <c r="F5" s="67">
        <v>3</v>
      </c>
      <c r="G5" s="67" t="s">
        <v>176</v>
      </c>
      <c r="I5" s="67">
        <v>4.3</v>
      </c>
      <c r="J5" s="67" t="s">
        <v>176</v>
      </c>
      <c r="K5" s="67">
        <v>0.7</v>
      </c>
      <c r="L5" s="67" t="s">
        <v>176</v>
      </c>
    </row>
    <row r="6" spans="1:12" x14ac:dyDescent="0.3">
      <c r="A6" s="67" t="s">
        <v>177</v>
      </c>
      <c r="B6" s="69">
        <v>45021</v>
      </c>
      <c r="C6" s="67">
        <v>-2</v>
      </c>
      <c r="D6" s="67">
        <v>5.6</v>
      </c>
      <c r="E6" s="67">
        <v>6</v>
      </c>
      <c r="F6" s="67">
        <v>2.8</v>
      </c>
      <c r="G6" s="67" t="s">
        <v>176</v>
      </c>
      <c r="I6" s="67">
        <v>5.0999999999999996</v>
      </c>
      <c r="J6" s="67" t="s">
        <v>176</v>
      </c>
      <c r="K6" s="67">
        <v>0.7</v>
      </c>
      <c r="L6" s="67" t="s">
        <v>176</v>
      </c>
    </row>
    <row r="7" spans="1:12" x14ac:dyDescent="0.3">
      <c r="A7" s="67" t="s">
        <v>177</v>
      </c>
      <c r="B7" s="69">
        <v>45022</v>
      </c>
      <c r="C7" s="67">
        <v>4.5</v>
      </c>
      <c r="D7" s="67">
        <v>5.6</v>
      </c>
      <c r="E7" s="67">
        <v>6.5</v>
      </c>
      <c r="F7" s="67">
        <v>3.8</v>
      </c>
      <c r="G7" s="67" t="s">
        <v>176</v>
      </c>
      <c r="I7" s="67">
        <v>6.4</v>
      </c>
      <c r="J7" s="67" t="s">
        <v>176</v>
      </c>
      <c r="K7" s="67">
        <v>1.7</v>
      </c>
      <c r="L7" s="67" t="s">
        <v>176</v>
      </c>
    </row>
    <row r="8" spans="1:12" x14ac:dyDescent="0.3">
      <c r="A8" s="67" t="s">
        <v>177</v>
      </c>
      <c r="B8" s="69">
        <v>45023</v>
      </c>
      <c r="C8" s="67">
        <v>8.1999999999999993</v>
      </c>
      <c r="D8" s="67">
        <v>5.7</v>
      </c>
      <c r="E8" s="67">
        <v>7.2</v>
      </c>
      <c r="F8" s="67">
        <v>4</v>
      </c>
      <c r="G8" s="67" t="s">
        <v>176</v>
      </c>
      <c r="I8" s="67">
        <v>7.7</v>
      </c>
      <c r="J8" s="67" t="s">
        <v>176</v>
      </c>
      <c r="K8" s="67">
        <v>4.9000000000000004</v>
      </c>
      <c r="L8" s="67" t="s">
        <v>176</v>
      </c>
    </row>
    <row r="9" spans="1:12" x14ac:dyDescent="0.3">
      <c r="A9" s="67" t="s">
        <v>177</v>
      </c>
      <c r="B9" s="69">
        <v>45024</v>
      </c>
      <c r="C9" s="67">
        <v>8.8000000000000007</v>
      </c>
      <c r="D9" s="67">
        <v>5.7</v>
      </c>
      <c r="E9" s="67">
        <v>8.1</v>
      </c>
      <c r="F9" s="67">
        <v>4.8</v>
      </c>
      <c r="G9" s="67" t="s">
        <v>176</v>
      </c>
      <c r="I9" s="67">
        <v>9.6999999999999993</v>
      </c>
      <c r="J9" s="67" t="s">
        <v>176</v>
      </c>
      <c r="K9" s="67">
        <v>8.3000000000000007</v>
      </c>
      <c r="L9" s="67" t="s">
        <v>176</v>
      </c>
    </row>
    <row r="10" spans="1:12" x14ac:dyDescent="0.3">
      <c r="A10" s="67" t="s">
        <v>177</v>
      </c>
      <c r="B10" s="69">
        <v>45025</v>
      </c>
      <c r="C10" s="67">
        <v>11.6</v>
      </c>
      <c r="D10" s="67">
        <v>5.7</v>
      </c>
      <c r="E10" s="67">
        <v>9.1</v>
      </c>
      <c r="F10" s="67">
        <v>4.4000000000000004</v>
      </c>
      <c r="G10" s="67" t="s">
        <v>176</v>
      </c>
      <c r="I10" s="67">
        <v>11.2</v>
      </c>
      <c r="J10" s="67" t="s">
        <v>176</v>
      </c>
      <c r="K10" s="67">
        <v>15.7</v>
      </c>
      <c r="L10" s="67" t="s">
        <v>176</v>
      </c>
    </row>
    <row r="11" spans="1:12" x14ac:dyDescent="0.3">
      <c r="A11" s="67" t="s">
        <v>177</v>
      </c>
      <c r="B11" s="69">
        <v>45026</v>
      </c>
      <c r="C11" s="67">
        <v>14</v>
      </c>
      <c r="D11" s="67">
        <v>5.7</v>
      </c>
      <c r="E11" s="67">
        <v>10.5</v>
      </c>
      <c r="F11" s="67">
        <v>4.2</v>
      </c>
      <c r="G11" s="67" t="s">
        <v>176</v>
      </c>
      <c r="I11" s="67">
        <v>12.2</v>
      </c>
      <c r="J11" s="67" t="s">
        <v>176</v>
      </c>
      <c r="K11" s="67">
        <v>24.1</v>
      </c>
      <c r="L11" s="67" t="s">
        <v>176</v>
      </c>
    </row>
    <row r="12" spans="1:12" x14ac:dyDescent="0.3">
      <c r="A12" s="67" t="s">
        <v>177</v>
      </c>
      <c r="B12" s="69">
        <v>45027</v>
      </c>
      <c r="C12" s="67">
        <v>6.9</v>
      </c>
      <c r="D12" s="67">
        <v>5.7</v>
      </c>
      <c r="E12" s="67">
        <v>11.3</v>
      </c>
      <c r="F12" s="67">
        <v>4.8</v>
      </c>
      <c r="G12" s="67" t="s">
        <v>176</v>
      </c>
      <c r="I12" s="67">
        <v>13.8</v>
      </c>
      <c r="J12" s="67" t="s">
        <v>176</v>
      </c>
      <c r="K12" s="67">
        <v>27.3</v>
      </c>
      <c r="L12" s="67" t="s">
        <v>176</v>
      </c>
    </row>
    <row r="13" spans="1:12" x14ac:dyDescent="0.3">
      <c r="A13" s="67" t="s">
        <v>177</v>
      </c>
      <c r="B13" s="69">
        <v>45028</v>
      </c>
      <c r="C13" s="67">
        <v>1.5</v>
      </c>
      <c r="D13" s="67">
        <v>6.9</v>
      </c>
      <c r="E13" s="67">
        <v>13</v>
      </c>
      <c r="F13" s="67">
        <v>4.5999999999999996</v>
      </c>
      <c r="G13" s="67" t="s">
        <v>176</v>
      </c>
      <c r="I13" s="67">
        <v>15.1</v>
      </c>
      <c r="J13" s="67" t="s">
        <v>176</v>
      </c>
      <c r="K13" s="67">
        <v>27.3</v>
      </c>
      <c r="L13" s="67" t="s">
        <v>176</v>
      </c>
    </row>
    <row r="14" spans="1:12" x14ac:dyDescent="0.3">
      <c r="A14" s="67" t="s">
        <v>177</v>
      </c>
      <c r="B14" s="69">
        <v>45029</v>
      </c>
      <c r="C14" s="67">
        <v>1.6</v>
      </c>
      <c r="D14" s="67">
        <v>6.9</v>
      </c>
      <c r="E14" s="67">
        <v>14.1</v>
      </c>
      <c r="F14" s="67">
        <v>5.2</v>
      </c>
      <c r="G14" s="67" t="s">
        <v>176</v>
      </c>
      <c r="I14" s="67">
        <v>16.7</v>
      </c>
      <c r="J14" s="67" t="s">
        <v>176</v>
      </c>
      <c r="K14" s="67">
        <v>27.3</v>
      </c>
      <c r="L14" s="67" t="s">
        <v>176</v>
      </c>
    </row>
    <row r="15" spans="1:12" x14ac:dyDescent="0.3">
      <c r="A15" s="67" t="s">
        <v>177</v>
      </c>
      <c r="B15" s="69">
        <v>45030</v>
      </c>
      <c r="C15" s="67">
        <v>2.8</v>
      </c>
      <c r="D15" s="67">
        <v>7.1</v>
      </c>
      <c r="E15" s="67">
        <v>16.399999999999999</v>
      </c>
      <c r="F15" s="67">
        <v>5</v>
      </c>
      <c r="G15" s="67" t="s">
        <v>176</v>
      </c>
      <c r="I15" s="67">
        <v>18.2</v>
      </c>
      <c r="J15" s="67" t="s">
        <v>176</v>
      </c>
      <c r="K15" s="67">
        <v>27.3</v>
      </c>
      <c r="L15" s="67" t="s">
        <v>176</v>
      </c>
    </row>
    <row r="16" spans="1:12" x14ac:dyDescent="0.3">
      <c r="A16" s="67" t="s">
        <v>177</v>
      </c>
      <c r="B16" s="69">
        <v>45031</v>
      </c>
      <c r="C16" s="67">
        <v>5.6</v>
      </c>
      <c r="D16" s="67">
        <v>7.1</v>
      </c>
      <c r="E16" s="67">
        <v>17.5</v>
      </c>
      <c r="F16" s="67">
        <v>4.4000000000000004</v>
      </c>
      <c r="G16" s="67" t="s">
        <v>176</v>
      </c>
      <c r="I16" s="67">
        <v>19.399999999999999</v>
      </c>
      <c r="J16" s="67" t="s">
        <v>176</v>
      </c>
      <c r="K16" s="67">
        <v>27.5</v>
      </c>
      <c r="L16" s="67" t="s">
        <v>176</v>
      </c>
    </row>
    <row r="17" spans="1:12" x14ac:dyDescent="0.3">
      <c r="A17" s="67" t="s">
        <v>177</v>
      </c>
      <c r="B17" s="69">
        <v>45032</v>
      </c>
      <c r="C17" s="67">
        <v>10.199999999999999</v>
      </c>
      <c r="D17" s="67">
        <v>7.2</v>
      </c>
      <c r="E17" s="67">
        <v>18.5</v>
      </c>
      <c r="F17" s="67">
        <v>5.3</v>
      </c>
      <c r="G17" s="67" t="s">
        <v>176</v>
      </c>
      <c r="I17" s="67">
        <v>21.2</v>
      </c>
      <c r="J17" s="67" t="s">
        <v>176</v>
      </c>
      <c r="K17" s="67">
        <v>32</v>
      </c>
      <c r="L17" s="67" t="s">
        <v>176</v>
      </c>
    </row>
    <row r="18" spans="1:12" x14ac:dyDescent="0.3">
      <c r="A18" s="67" t="s">
        <v>177</v>
      </c>
      <c r="B18" s="69">
        <v>45033</v>
      </c>
      <c r="C18" s="67">
        <v>7.4</v>
      </c>
      <c r="D18" s="67">
        <v>7.2</v>
      </c>
      <c r="E18" s="67">
        <v>18.8</v>
      </c>
      <c r="F18" s="67">
        <v>6.9</v>
      </c>
      <c r="G18" s="67" t="s">
        <v>176</v>
      </c>
      <c r="I18" s="67">
        <v>24</v>
      </c>
      <c r="J18" s="67" t="s">
        <v>176</v>
      </c>
      <c r="K18" s="67">
        <v>32.5</v>
      </c>
      <c r="L18" s="67" t="s">
        <v>176</v>
      </c>
    </row>
    <row r="19" spans="1:12" x14ac:dyDescent="0.3">
      <c r="A19" s="67" t="s">
        <v>177</v>
      </c>
      <c r="B19" s="69">
        <v>45034</v>
      </c>
      <c r="C19" s="67">
        <v>2.6</v>
      </c>
      <c r="D19" s="67">
        <v>7.6</v>
      </c>
      <c r="E19" s="67">
        <v>20</v>
      </c>
      <c r="F19" s="67">
        <v>6.1</v>
      </c>
      <c r="G19" s="67" t="s">
        <v>176</v>
      </c>
      <c r="I19" s="67">
        <v>25.9</v>
      </c>
      <c r="J19" s="67" t="s">
        <v>176</v>
      </c>
      <c r="K19" s="67">
        <v>32.5</v>
      </c>
      <c r="L19" s="67" t="s">
        <v>176</v>
      </c>
    </row>
    <row r="20" spans="1:12" x14ac:dyDescent="0.3">
      <c r="A20" s="67" t="s">
        <v>177</v>
      </c>
      <c r="B20" s="69">
        <v>45035</v>
      </c>
      <c r="C20" s="67">
        <v>0.4</v>
      </c>
      <c r="D20" s="67">
        <v>8.6</v>
      </c>
      <c r="E20" s="67">
        <v>20.6</v>
      </c>
      <c r="F20" s="67">
        <v>7</v>
      </c>
      <c r="G20" s="67" t="s">
        <v>176</v>
      </c>
      <c r="I20" s="67">
        <v>28.7</v>
      </c>
      <c r="J20" s="67" t="s">
        <v>176</v>
      </c>
      <c r="K20" s="67">
        <v>32.5</v>
      </c>
      <c r="L20" s="67" t="s">
        <v>176</v>
      </c>
    </row>
    <row r="21" spans="1:12" x14ac:dyDescent="0.3">
      <c r="A21" s="67" t="s">
        <v>177</v>
      </c>
      <c r="B21" s="69">
        <v>45036</v>
      </c>
      <c r="C21" s="67">
        <v>-1.4</v>
      </c>
      <c r="D21" s="67">
        <v>11.6</v>
      </c>
      <c r="E21" s="67">
        <v>21</v>
      </c>
      <c r="F21" s="67">
        <v>7.6</v>
      </c>
      <c r="G21" s="67" t="s">
        <v>176</v>
      </c>
      <c r="I21" s="67">
        <v>32.200000000000003</v>
      </c>
      <c r="J21" s="67" t="s">
        <v>176</v>
      </c>
      <c r="K21" s="67">
        <v>32.5</v>
      </c>
      <c r="L21" s="67" t="s">
        <v>176</v>
      </c>
    </row>
    <row r="22" spans="1:12" x14ac:dyDescent="0.3">
      <c r="A22" s="67" t="s">
        <v>177</v>
      </c>
      <c r="B22" s="69">
        <v>45037</v>
      </c>
      <c r="C22" s="67">
        <v>0.2</v>
      </c>
      <c r="D22" s="67">
        <v>11.6</v>
      </c>
      <c r="E22" s="67">
        <v>21.8</v>
      </c>
      <c r="F22" s="67">
        <v>8</v>
      </c>
      <c r="G22" s="67" t="s">
        <v>176</v>
      </c>
      <c r="I22" s="67">
        <v>36.200000000000003</v>
      </c>
      <c r="J22" s="67" t="s">
        <v>176</v>
      </c>
      <c r="K22" s="67">
        <v>32.5</v>
      </c>
      <c r="L22" s="67" t="s">
        <v>176</v>
      </c>
    </row>
    <row r="23" spans="1:12" x14ac:dyDescent="0.3">
      <c r="A23" s="67" t="s">
        <v>177</v>
      </c>
      <c r="B23" s="69">
        <v>45038</v>
      </c>
      <c r="C23" s="67">
        <v>4.3</v>
      </c>
      <c r="D23" s="67">
        <v>11.6</v>
      </c>
      <c r="E23" s="67">
        <v>22.4</v>
      </c>
      <c r="F23" s="67">
        <v>8.1999999999999993</v>
      </c>
      <c r="G23" s="67" t="s">
        <v>176</v>
      </c>
      <c r="I23" s="67">
        <v>40</v>
      </c>
      <c r="J23" s="67" t="s">
        <v>176</v>
      </c>
      <c r="K23" s="67">
        <v>32.5</v>
      </c>
      <c r="L23" s="67" t="s">
        <v>176</v>
      </c>
    </row>
    <row r="24" spans="1:12" x14ac:dyDescent="0.3">
      <c r="A24" s="67" t="s">
        <v>177</v>
      </c>
      <c r="B24" s="69">
        <v>45039</v>
      </c>
      <c r="C24" s="67">
        <v>8</v>
      </c>
      <c r="D24" s="67">
        <v>11.6</v>
      </c>
      <c r="E24" s="67">
        <v>23.3</v>
      </c>
      <c r="F24" s="67">
        <v>7.8</v>
      </c>
      <c r="G24" s="67" t="s">
        <v>176</v>
      </c>
      <c r="I24" s="67">
        <v>43.8</v>
      </c>
      <c r="J24" s="67" t="s">
        <v>176</v>
      </c>
      <c r="K24" s="67">
        <v>35</v>
      </c>
      <c r="L24" s="67" t="s">
        <v>176</v>
      </c>
    </row>
    <row r="25" spans="1:12" x14ac:dyDescent="0.3">
      <c r="A25" s="67" t="s">
        <v>177</v>
      </c>
      <c r="B25" s="69">
        <v>45040</v>
      </c>
      <c r="C25" s="67">
        <v>10.3</v>
      </c>
      <c r="D25" s="67">
        <v>11.6</v>
      </c>
      <c r="E25" s="67">
        <v>24</v>
      </c>
      <c r="F25" s="67">
        <v>7.3</v>
      </c>
      <c r="G25" s="67" t="s">
        <v>176</v>
      </c>
      <c r="I25" s="67">
        <v>47</v>
      </c>
      <c r="J25" s="67" t="s">
        <v>176</v>
      </c>
      <c r="K25" s="67">
        <v>40.299999999999997</v>
      </c>
      <c r="L25" s="67" t="s">
        <v>176</v>
      </c>
    </row>
    <row r="26" spans="1:12" x14ac:dyDescent="0.3">
      <c r="A26" s="67" t="s">
        <v>177</v>
      </c>
      <c r="B26" s="69">
        <v>45041</v>
      </c>
      <c r="C26" s="67">
        <v>12.1</v>
      </c>
      <c r="D26" s="67">
        <v>11.7</v>
      </c>
      <c r="E26" s="67">
        <v>25</v>
      </c>
      <c r="F26" s="67">
        <v>7.2</v>
      </c>
      <c r="G26" s="67" t="s">
        <v>176</v>
      </c>
      <c r="I26" s="67">
        <v>50</v>
      </c>
      <c r="J26" s="67" t="s">
        <v>176</v>
      </c>
      <c r="K26" s="67">
        <v>46.5</v>
      </c>
      <c r="L26" s="67" t="s">
        <v>176</v>
      </c>
    </row>
    <row r="27" spans="1:12" x14ac:dyDescent="0.3">
      <c r="A27" s="67" t="s">
        <v>177</v>
      </c>
      <c r="B27" s="69">
        <v>45042</v>
      </c>
      <c r="C27" s="67">
        <v>10.199999999999999</v>
      </c>
      <c r="D27" s="67">
        <v>11.7</v>
      </c>
      <c r="E27" s="67">
        <v>26.5</v>
      </c>
      <c r="F27" s="67">
        <v>8.1</v>
      </c>
      <c r="G27" s="67" t="s">
        <v>176</v>
      </c>
      <c r="I27" s="67">
        <v>53.6</v>
      </c>
      <c r="J27" s="67" t="s">
        <v>176</v>
      </c>
      <c r="K27" s="67">
        <v>49.7</v>
      </c>
      <c r="L27" s="67" t="s">
        <v>176</v>
      </c>
    </row>
    <row r="28" spans="1:12" x14ac:dyDescent="0.3">
      <c r="A28" s="67" t="s">
        <v>177</v>
      </c>
      <c r="B28" s="69">
        <v>45043</v>
      </c>
      <c r="C28" s="67">
        <v>8.5</v>
      </c>
      <c r="D28" s="67">
        <v>13.6</v>
      </c>
      <c r="E28" s="67">
        <v>28</v>
      </c>
      <c r="F28" s="67">
        <v>7.8</v>
      </c>
      <c r="G28" s="67" t="s">
        <v>176</v>
      </c>
      <c r="I28" s="67">
        <v>57.4</v>
      </c>
      <c r="J28" s="67" t="s">
        <v>176</v>
      </c>
      <c r="K28" s="67">
        <v>52.9</v>
      </c>
      <c r="L28" s="67" t="s">
        <v>176</v>
      </c>
    </row>
    <row r="29" spans="1:12" x14ac:dyDescent="0.3">
      <c r="A29" s="67" t="s">
        <v>177</v>
      </c>
      <c r="B29" s="69">
        <v>45044</v>
      </c>
      <c r="C29" s="67">
        <v>11.6</v>
      </c>
      <c r="D29" s="67">
        <v>13.9</v>
      </c>
      <c r="E29" s="67">
        <v>30.3</v>
      </c>
      <c r="F29" s="67">
        <v>7.7</v>
      </c>
      <c r="G29" s="67" t="s">
        <v>176</v>
      </c>
      <c r="I29" s="67">
        <v>61.1</v>
      </c>
      <c r="J29" s="67" t="s">
        <v>176</v>
      </c>
      <c r="K29" s="67">
        <v>58.1</v>
      </c>
      <c r="L29" s="67" t="s">
        <v>176</v>
      </c>
    </row>
    <row r="30" spans="1:12" x14ac:dyDescent="0.3">
      <c r="A30" s="67" t="s">
        <v>177</v>
      </c>
      <c r="B30" s="69">
        <v>45045</v>
      </c>
      <c r="C30" s="67">
        <v>13</v>
      </c>
      <c r="D30" s="67">
        <v>14.1</v>
      </c>
      <c r="E30" s="67">
        <v>31.5</v>
      </c>
      <c r="F30" s="67">
        <v>7.2</v>
      </c>
      <c r="G30" s="67" t="s">
        <v>176</v>
      </c>
      <c r="I30" s="67">
        <v>64.400000000000006</v>
      </c>
      <c r="J30" s="67" t="s">
        <v>176</v>
      </c>
      <c r="K30" s="67">
        <v>65.7</v>
      </c>
      <c r="L30" s="67" t="s">
        <v>176</v>
      </c>
    </row>
    <row r="31" spans="1:12" x14ac:dyDescent="0.3">
      <c r="A31" s="67" t="s">
        <v>177</v>
      </c>
      <c r="B31" s="69">
        <v>45046</v>
      </c>
      <c r="C31" s="67">
        <v>15.8</v>
      </c>
      <c r="D31" s="67">
        <v>14.1</v>
      </c>
      <c r="E31" s="67">
        <v>32.4</v>
      </c>
      <c r="F31" s="67">
        <v>7.2</v>
      </c>
      <c r="G31" s="67" t="s">
        <v>176</v>
      </c>
      <c r="I31" s="67">
        <v>67.400000000000006</v>
      </c>
      <c r="J31" s="67" t="s">
        <v>176</v>
      </c>
      <c r="K31" s="67">
        <v>75.099999999999994</v>
      </c>
      <c r="L31" s="67" t="s">
        <v>176</v>
      </c>
    </row>
    <row r="32" spans="1:12" x14ac:dyDescent="0.3">
      <c r="A32" s="67" t="s">
        <v>177</v>
      </c>
      <c r="B32" s="69">
        <v>45047</v>
      </c>
      <c r="C32" s="67">
        <v>16.899999999999999</v>
      </c>
      <c r="D32" s="67">
        <v>14.1</v>
      </c>
      <c r="E32" s="67">
        <v>33</v>
      </c>
      <c r="F32" s="67">
        <v>8.1</v>
      </c>
      <c r="G32" s="67" t="s">
        <v>176</v>
      </c>
      <c r="I32" s="67">
        <v>71</v>
      </c>
      <c r="J32" s="67" t="s">
        <v>176</v>
      </c>
      <c r="K32" s="67">
        <v>86.3</v>
      </c>
      <c r="L32" s="67" t="s">
        <v>176</v>
      </c>
    </row>
    <row r="33" spans="1:12" s="108" customFormat="1" x14ac:dyDescent="0.3">
      <c r="A33" s="108" t="s">
        <v>189</v>
      </c>
      <c r="B33" s="108" t="s">
        <v>188</v>
      </c>
      <c r="C33" s="108" t="s">
        <v>187</v>
      </c>
      <c r="D33" s="108" t="s">
        <v>186</v>
      </c>
      <c r="E33" s="108" t="s">
        <v>185</v>
      </c>
      <c r="F33" s="108" t="s">
        <v>184</v>
      </c>
      <c r="G33" s="108" t="s">
        <v>183</v>
      </c>
      <c r="H33" s="108" t="s">
        <v>182</v>
      </c>
      <c r="I33" s="108" t="s">
        <v>181</v>
      </c>
      <c r="J33" s="108" t="s">
        <v>180</v>
      </c>
      <c r="K33" s="108" t="s">
        <v>179</v>
      </c>
      <c r="L33" s="108" t="s">
        <v>178</v>
      </c>
    </row>
    <row r="34" spans="1:12" x14ac:dyDescent="0.3">
      <c r="A34" s="67" t="s">
        <v>177</v>
      </c>
      <c r="B34" s="69">
        <v>45048</v>
      </c>
      <c r="C34" s="67">
        <v>16</v>
      </c>
      <c r="D34" s="67">
        <v>14.1</v>
      </c>
      <c r="E34" s="67">
        <v>34.1</v>
      </c>
      <c r="F34" s="67">
        <v>8.6999999999999993</v>
      </c>
      <c r="G34" s="67" t="s">
        <v>176</v>
      </c>
      <c r="I34" s="67">
        <v>74.900000000000006</v>
      </c>
      <c r="J34" s="67" t="s">
        <v>176</v>
      </c>
      <c r="K34" s="67">
        <v>96</v>
      </c>
      <c r="L34" s="67" t="s">
        <v>176</v>
      </c>
    </row>
    <row r="35" spans="1:12" x14ac:dyDescent="0.3">
      <c r="A35" s="67" t="s">
        <v>177</v>
      </c>
      <c r="B35" s="69">
        <v>45049</v>
      </c>
      <c r="C35" s="67">
        <v>17.5</v>
      </c>
      <c r="D35" s="67">
        <v>14.1</v>
      </c>
      <c r="E35" s="67">
        <v>36.200000000000003</v>
      </c>
      <c r="F35" s="67">
        <v>8.3000000000000007</v>
      </c>
      <c r="G35" s="67" t="s">
        <v>176</v>
      </c>
      <c r="I35" s="67">
        <v>78.7</v>
      </c>
      <c r="J35" s="67" t="s">
        <v>176</v>
      </c>
      <c r="K35" s="67">
        <v>107.5</v>
      </c>
      <c r="L35" s="67" t="s">
        <v>176</v>
      </c>
    </row>
    <row r="36" spans="1:12" x14ac:dyDescent="0.3">
      <c r="A36" s="67" t="s">
        <v>177</v>
      </c>
      <c r="B36" s="69">
        <v>45050</v>
      </c>
      <c r="C36" s="67">
        <v>18.3</v>
      </c>
      <c r="D36" s="67">
        <v>14.1</v>
      </c>
      <c r="E36" s="67">
        <v>37</v>
      </c>
      <c r="F36" s="67">
        <v>9.1</v>
      </c>
      <c r="G36" s="67" t="s">
        <v>176</v>
      </c>
      <c r="I36" s="67">
        <v>83.2</v>
      </c>
      <c r="J36" s="67" t="s">
        <v>176</v>
      </c>
      <c r="K36" s="67">
        <v>120.6</v>
      </c>
      <c r="L36" s="67" t="s">
        <v>176</v>
      </c>
    </row>
    <row r="37" spans="1:12" x14ac:dyDescent="0.3">
      <c r="A37" s="67" t="s">
        <v>177</v>
      </c>
      <c r="B37" s="69">
        <v>45051</v>
      </c>
      <c r="C37" s="67">
        <v>17.5</v>
      </c>
      <c r="D37" s="67">
        <v>14.1</v>
      </c>
      <c r="E37" s="67">
        <v>38.5</v>
      </c>
      <c r="F37" s="67">
        <v>9.1</v>
      </c>
      <c r="G37" s="67" t="s">
        <v>176</v>
      </c>
      <c r="I37" s="67">
        <v>87.9</v>
      </c>
      <c r="J37" s="67" t="s">
        <v>176</v>
      </c>
      <c r="K37" s="67">
        <v>132.80000000000001</v>
      </c>
      <c r="L37" s="67" t="s">
        <v>176</v>
      </c>
    </row>
    <row r="38" spans="1:12" x14ac:dyDescent="0.3">
      <c r="A38" s="67" t="s">
        <v>177</v>
      </c>
      <c r="B38" s="69">
        <v>45052</v>
      </c>
      <c r="C38" s="109">
        <v>9.6</v>
      </c>
      <c r="D38" s="67">
        <v>15.3</v>
      </c>
      <c r="E38" s="67">
        <v>39.9</v>
      </c>
      <c r="F38" s="67">
        <v>9.5</v>
      </c>
      <c r="G38" s="67" t="s">
        <v>176</v>
      </c>
      <c r="I38" s="67">
        <v>92.9</v>
      </c>
      <c r="J38" s="67" t="s">
        <v>176</v>
      </c>
      <c r="K38" s="67">
        <v>138.4</v>
      </c>
      <c r="L38" s="67" t="s">
        <v>176</v>
      </c>
    </row>
    <row r="39" spans="1:12" x14ac:dyDescent="0.3">
      <c r="A39" s="67" t="s">
        <v>177</v>
      </c>
      <c r="B39" s="69">
        <v>45053</v>
      </c>
      <c r="C39" s="67">
        <v>10.5</v>
      </c>
      <c r="D39" s="67">
        <v>15.3</v>
      </c>
      <c r="E39" s="67">
        <v>42.2</v>
      </c>
      <c r="F39" s="67">
        <v>8.8000000000000007</v>
      </c>
      <c r="G39" s="67" t="s">
        <v>176</v>
      </c>
      <c r="I39" s="67">
        <v>97.3</v>
      </c>
      <c r="J39" s="67" t="s">
        <v>176</v>
      </c>
      <c r="K39" s="67">
        <v>145.19999999999999</v>
      </c>
      <c r="L39" s="67" t="s">
        <v>176</v>
      </c>
    </row>
    <row r="40" spans="1:12" x14ac:dyDescent="0.3">
      <c r="A40" s="67" t="s">
        <v>177</v>
      </c>
      <c r="B40" s="69">
        <v>45054</v>
      </c>
      <c r="C40" s="67">
        <v>12.6</v>
      </c>
      <c r="D40" s="67">
        <v>23.6</v>
      </c>
      <c r="E40" s="67">
        <v>43.5</v>
      </c>
      <c r="F40" s="67">
        <v>9.1999999999999993</v>
      </c>
      <c r="G40" s="67" t="s">
        <v>176</v>
      </c>
      <c r="I40" s="67">
        <v>102</v>
      </c>
      <c r="J40" s="67" t="s">
        <v>176</v>
      </c>
      <c r="K40" s="67">
        <v>153</v>
      </c>
      <c r="L40" s="67" t="s">
        <v>176</v>
      </c>
    </row>
    <row r="41" spans="1:12" x14ac:dyDescent="0.3">
      <c r="A41" s="67" t="s">
        <v>177</v>
      </c>
      <c r="B41" s="69">
        <v>45055</v>
      </c>
      <c r="C41" s="67">
        <v>11.4</v>
      </c>
      <c r="D41" s="67">
        <v>28.3</v>
      </c>
      <c r="E41" s="67">
        <v>44.3</v>
      </c>
      <c r="F41" s="67">
        <v>8.5</v>
      </c>
      <c r="G41" s="67" t="s">
        <v>176</v>
      </c>
      <c r="I41" s="67">
        <v>105.9</v>
      </c>
      <c r="J41" s="67" t="s">
        <v>176</v>
      </c>
      <c r="K41" s="67">
        <v>159.1</v>
      </c>
      <c r="L41" s="67" t="s">
        <v>176</v>
      </c>
    </row>
    <row r="42" spans="1:12" x14ac:dyDescent="0.3">
      <c r="A42" s="67" t="s">
        <v>177</v>
      </c>
      <c r="B42" s="69">
        <v>45056</v>
      </c>
      <c r="C42" s="67">
        <v>12.5</v>
      </c>
      <c r="D42" s="67">
        <v>29.3</v>
      </c>
      <c r="E42" s="67">
        <v>44.9</v>
      </c>
      <c r="F42" s="67">
        <v>8.6999999999999993</v>
      </c>
      <c r="G42" s="67" t="s">
        <v>176</v>
      </c>
      <c r="I42" s="67">
        <v>109.8</v>
      </c>
      <c r="J42" s="67" t="s">
        <v>176</v>
      </c>
      <c r="K42" s="67">
        <v>167</v>
      </c>
      <c r="L42" s="67" t="s">
        <v>176</v>
      </c>
    </row>
    <row r="43" spans="1:12" x14ac:dyDescent="0.3">
      <c r="A43" s="67" t="s">
        <v>177</v>
      </c>
      <c r="B43" s="69">
        <v>45057</v>
      </c>
      <c r="C43" s="67">
        <v>12.7</v>
      </c>
      <c r="D43" s="67">
        <v>29.3</v>
      </c>
      <c r="E43" s="67">
        <v>45.9</v>
      </c>
      <c r="F43" s="67">
        <v>9.1</v>
      </c>
      <c r="G43" s="67" t="s">
        <v>176</v>
      </c>
      <c r="I43" s="67">
        <v>114.1</v>
      </c>
      <c r="J43" s="67" t="s">
        <v>176</v>
      </c>
      <c r="K43" s="67">
        <v>175.2</v>
      </c>
      <c r="L43" s="67" t="s">
        <v>176</v>
      </c>
    </row>
    <row r="44" spans="1:12" x14ac:dyDescent="0.3">
      <c r="A44" s="67" t="s">
        <v>177</v>
      </c>
      <c r="B44" s="69">
        <v>45058</v>
      </c>
      <c r="C44" s="67">
        <v>13.9</v>
      </c>
      <c r="D44" s="67">
        <v>29.3</v>
      </c>
      <c r="E44" s="67">
        <v>48.4</v>
      </c>
      <c r="F44" s="67">
        <v>10.6</v>
      </c>
      <c r="G44" s="67" t="s">
        <v>176</v>
      </c>
      <c r="I44" s="67">
        <v>119.9</v>
      </c>
      <c r="J44" s="67" t="s">
        <v>176</v>
      </c>
      <c r="K44" s="67">
        <v>183.1</v>
      </c>
      <c r="L44" s="67" t="s">
        <v>176</v>
      </c>
    </row>
    <row r="45" spans="1:12" x14ac:dyDescent="0.3">
      <c r="A45" s="67" t="s">
        <v>177</v>
      </c>
      <c r="B45" s="69">
        <v>45059</v>
      </c>
      <c r="C45" s="67">
        <v>14.7</v>
      </c>
      <c r="D45" s="67">
        <v>29.4</v>
      </c>
      <c r="E45" s="67">
        <v>48.8</v>
      </c>
      <c r="F45" s="67">
        <v>10.8</v>
      </c>
      <c r="G45" s="67" t="s">
        <v>176</v>
      </c>
      <c r="I45" s="67">
        <v>125.8</v>
      </c>
      <c r="J45" s="67" t="s">
        <v>176</v>
      </c>
      <c r="K45" s="67">
        <v>192.2</v>
      </c>
      <c r="L45" s="67" t="s">
        <v>176</v>
      </c>
    </row>
    <row r="46" spans="1:12" x14ac:dyDescent="0.3">
      <c r="A46" s="67" t="s">
        <v>177</v>
      </c>
      <c r="B46" s="69">
        <v>45060</v>
      </c>
      <c r="C46" s="67">
        <v>14.8</v>
      </c>
      <c r="D46" s="67">
        <v>29.6</v>
      </c>
      <c r="E46" s="67">
        <v>49.9</v>
      </c>
      <c r="F46" s="67">
        <v>11.6</v>
      </c>
      <c r="G46" s="67" t="s">
        <v>176</v>
      </c>
      <c r="I46" s="67">
        <v>132.4</v>
      </c>
      <c r="J46" s="67" t="s">
        <v>176</v>
      </c>
      <c r="K46" s="67">
        <v>200.8</v>
      </c>
      <c r="L46" s="67" t="s">
        <v>176</v>
      </c>
    </row>
    <row r="47" spans="1:12" x14ac:dyDescent="0.3">
      <c r="A47" s="67" t="s">
        <v>177</v>
      </c>
      <c r="B47" s="69">
        <v>45061</v>
      </c>
      <c r="C47" s="67">
        <v>18.7</v>
      </c>
      <c r="D47" s="67">
        <v>29.6</v>
      </c>
      <c r="E47" s="67">
        <v>51.2</v>
      </c>
      <c r="F47" s="67">
        <v>12</v>
      </c>
      <c r="G47" s="67" t="s">
        <v>176</v>
      </c>
      <c r="I47" s="67">
        <v>139.4</v>
      </c>
      <c r="J47" s="67" t="s">
        <v>176</v>
      </c>
      <c r="K47" s="67">
        <v>214.2</v>
      </c>
      <c r="L47" s="67" t="s">
        <v>176</v>
      </c>
    </row>
    <row r="48" spans="1:12" x14ac:dyDescent="0.3">
      <c r="A48" s="67" t="s">
        <v>177</v>
      </c>
      <c r="B48" s="69">
        <v>45062</v>
      </c>
      <c r="C48" s="67">
        <v>18.399999999999999</v>
      </c>
      <c r="D48" s="67">
        <v>29.6</v>
      </c>
      <c r="E48" s="67">
        <v>51.7</v>
      </c>
      <c r="F48" s="67">
        <v>12.3</v>
      </c>
      <c r="G48" s="67" t="s">
        <v>176</v>
      </c>
      <c r="I48" s="67">
        <v>146.69999999999999</v>
      </c>
      <c r="J48" s="67" t="s">
        <v>176</v>
      </c>
      <c r="K48" s="67">
        <v>227.4</v>
      </c>
      <c r="L48" s="67" t="s">
        <v>176</v>
      </c>
    </row>
    <row r="49" spans="1:12" x14ac:dyDescent="0.3">
      <c r="A49" s="67" t="s">
        <v>177</v>
      </c>
      <c r="B49" s="69">
        <v>45063</v>
      </c>
      <c r="C49" s="67">
        <v>14.3</v>
      </c>
      <c r="D49" s="67">
        <v>29.6</v>
      </c>
      <c r="E49" s="67">
        <v>54</v>
      </c>
      <c r="F49" s="67">
        <v>11.9</v>
      </c>
      <c r="G49" s="67" t="s">
        <v>176</v>
      </c>
      <c r="I49" s="67">
        <v>153.69999999999999</v>
      </c>
      <c r="J49" s="67" t="s">
        <v>176</v>
      </c>
      <c r="K49" s="67">
        <v>236.3</v>
      </c>
      <c r="L49" s="67" t="s">
        <v>176</v>
      </c>
    </row>
    <row r="50" spans="1:12" x14ac:dyDescent="0.3">
      <c r="A50" s="67" t="s">
        <v>177</v>
      </c>
      <c r="B50" s="69">
        <v>45064</v>
      </c>
      <c r="C50" s="67">
        <v>12.1</v>
      </c>
      <c r="D50" s="67">
        <v>29.6</v>
      </c>
      <c r="E50" s="67">
        <v>55.8</v>
      </c>
      <c r="F50" s="67">
        <v>11.7</v>
      </c>
      <c r="G50" s="67" t="s">
        <v>176</v>
      </c>
      <c r="I50" s="67">
        <v>160.4</v>
      </c>
      <c r="J50" s="67" t="s">
        <v>176</v>
      </c>
      <c r="K50" s="67">
        <v>242.2</v>
      </c>
      <c r="L50" s="67" t="s">
        <v>176</v>
      </c>
    </row>
    <row r="51" spans="1:12" x14ac:dyDescent="0.3">
      <c r="A51" s="67" t="s">
        <v>177</v>
      </c>
      <c r="B51" s="69">
        <v>45065</v>
      </c>
      <c r="C51" s="67">
        <v>20.3</v>
      </c>
      <c r="D51" s="67">
        <v>29.7</v>
      </c>
      <c r="E51" s="67">
        <v>57.8</v>
      </c>
      <c r="F51" s="67">
        <v>11.8</v>
      </c>
      <c r="G51" s="67" t="s">
        <v>176</v>
      </c>
      <c r="I51" s="67">
        <v>167.2</v>
      </c>
      <c r="J51" s="67" t="s">
        <v>176</v>
      </c>
      <c r="K51" s="67">
        <v>255.8</v>
      </c>
      <c r="L51" s="67" t="s">
        <v>176</v>
      </c>
    </row>
    <row r="52" spans="1:12" x14ac:dyDescent="0.3">
      <c r="A52" s="67" t="s">
        <v>177</v>
      </c>
      <c r="B52" s="69">
        <v>45066</v>
      </c>
      <c r="C52" s="67">
        <v>20.2</v>
      </c>
      <c r="D52" s="67">
        <v>29.7</v>
      </c>
      <c r="E52" s="67">
        <v>60.4</v>
      </c>
      <c r="F52" s="67">
        <v>11.4</v>
      </c>
      <c r="G52" s="67" t="s">
        <v>176</v>
      </c>
      <c r="I52" s="67">
        <v>173.7</v>
      </c>
      <c r="J52" s="67" t="s">
        <v>176</v>
      </c>
      <c r="K52" s="67">
        <v>270.3</v>
      </c>
      <c r="L52" s="67" t="s">
        <v>176</v>
      </c>
    </row>
    <row r="53" spans="1:12" x14ac:dyDescent="0.3">
      <c r="A53" s="67" t="s">
        <v>177</v>
      </c>
      <c r="B53" s="69">
        <v>45067</v>
      </c>
      <c r="C53" s="67">
        <v>21.8</v>
      </c>
      <c r="D53" s="67">
        <v>29.7</v>
      </c>
      <c r="E53" s="67">
        <v>64.099999999999994</v>
      </c>
      <c r="F53" s="67">
        <v>11.3</v>
      </c>
      <c r="G53" s="67" t="s">
        <v>176</v>
      </c>
      <c r="I53" s="67">
        <v>180</v>
      </c>
      <c r="J53" s="67" t="s">
        <v>176</v>
      </c>
      <c r="K53" s="67">
        <v>286.7</v>
      </c>
      <c r="L53" s="67" t="s">
        <v>176</v>
      </c>
    </row>
    <row r="54" spans="1:12" x14ac:dyDescent="0.3">
      <c r="A54" s="67" t="s">
        <v>177</v>
      </c>
      <c r="B54" s="69">
        <v>45068</v>
      </c>
      <c r="C54" s="67">
        <v>18.3</v>
      </c>
      <c r="D54" s="67">
        <v>29.7</v>
      </c>
      <c r="E54" s="67">
        <v>67.099999999999994</v>
      </c>
      <c r="F54" s="67">
        <v>11.4</v>
      </c>
      <c r="G54" s="67" t="s">
        <v>176</v>
      </c>
      <c r="I54" s="67">
        <v>186.6</v>
      </c>
      <c r="J54" s="67" t="s">
        <v>176</v>
      </c>
      <c r="K54" s="67">
        <v>299.7</v>
      </c>
      <c r="L54" s="67" t="s">
        <v>176</v>
      </c>
    </row>
    <row r="55" spans="1:12" x14ac:dyDescent="0.3">
      <c r="A55" s="67" t="s">
        <v>177</v>
      </c>
      <c r="B55" s="69">
        <v>45069</v>
      </c>
      <c r="C55" s="67">
        <v>15.8</v>
      </c>
      <c r="D55" s="67">
        <v>29.7</v>
      </c>
      <c r="E55" s="67">
        <v>68.900000000000006</v>
      </c>
      <c r="F55" s="67">
        <v>11.8</v>
      </c>
      <c r="G55" s="67" t="s">
        <v>176</v>
      </c>
      <c r="I55" s="67">
        <v>193.6</v>
      </c>
      <c r="J55" s="67" t="s">
        <v>176</v>
      </c>
      <c r="K55" s="67">
        <v>310.2</v>
      </c>
      <c r="L55" s="67" t="s">
        <v>176</v>
      </c>
    </row>
    <row r="56" spans="1:12" x14ac:dyDescent="0.3">
      <c r="A56" s="67" t="s">
        <v>177</v>
      </c>
      <c r="B56" s="69">
        <v>45070</v>
      </c>
      <c r="C56" s="67">
        <v>14.8</v>
      </c>
      <c r="D56" s="67">
        <v>33.799999999999997</v>
      </c>
      <c r="E56" s="67">
        <v>71.3</v>
      </c>
      <c r="F56" s="67">
        <v>11.7</v>
      </c>
      <c r="G56" s="67" t="s">
        <v>176</v>
      </c>
      <c r="I56" s="67">
        <v>200.4</v>
      </c>
      <c r="J56" s="67" t="s">
        <v>176</v>
      </c>
      <c r="K56" s="67">
        <v>320.39999999999998</v>
      </c>
      <c r="L56" s="67" t="s">
        <v>176</v>
      </c>
    </row>
    <row r="57" spans="1:12" x14ac:dyDescent="0.3">
      <c r="A57" s="67" t="s">
        <v>177</v>
      </c>
      <c r="B57" s="69">
        <v>45071</v>
      </c>
      <c r="C57" s="67">
        <v>15.2</v>
      </c>
      <c r="D57" s="67">
        <v>33.9</v>
      </c>
      <c r="E57" s="67">
        <v>74.2</v>
      </c>
      <c r="F57" s="67">
        <v>12.8</v>
      </c>
      <c r="G57" s="67" t="s">
        <v>176</v>
      </c>
      <c r="I57" s="67">
        <v>208.3</v>
      </c>
      <c r="J57" s="67" t="s">
        <v>176</v>
      </c>
      <c r="K57" s="67">
        <v>329.9</v>
      </c>
      <c r="L57" s="67" t="s">
        <v>176</v>
      </c>
    </row>
    <row r="58" spans="1:12" x14ac:dyDescent="0.3">
      <c r="A58" s="67" t="s">
        <v>177</v>
      </c>
      <c r="B58" s="69">
        <v>45072</v>
      </c>
      <c r="C58" s="67">
        <v>15.8</v>
      </c>
      <c r="D58" s="67">
        <v>33.9</v>
      </c>
      <c r="E58" s="67">
        <v>75.8</v>
      </c>
      <c r="F58" s="67">
        <v>12.8</v>
      </c>
      <c r="G58" s="67" t="s">
        <v>176</v>
      </c>
      <c r="I58" s="67">
        <v>216.1</v>
      </c>
      <c r="J58" s="67" t="s">
        <v>176</v>
      </c>
      <c r="K58" s="67">
        <v>340.7</v>
      </c>
      <c r="L58" s="67" t="s">
        <v>176</v>
      </c>
    </row>
    <row r="59" spans="1:12" x14ac:dyDescent="0.3">
      <c r="A59" s="67" t="s">
        <v>177</v>
      </c>
      <c r="B59" s="69">
        <v>45073</v>
      </c>
      <c r="C59" s="67">
        <v>14.2</v>
      </c>
      <c r="D59" s="67">
        <v>36.200000000000003</v>
      </c>
      <c r="E59" s="67">
        <v>79.099999999999994</v>
      </c>
      <c r="F59" s="67">
        <v>12.6</v>
      </c>
      <c r="G59" s="67" t="s">
        <v>176</v>
      </c>
      <c r="I59" s="67">
        <v>223.8</v>
      </c>
      <c r="J59" s="67" t="s">
        <v>176</v>
      </c>
      <c r="K59" s="67">
        <v>349.3</v>
      </c>
      <c r="L59" s="67" t="s">
        <v>176</v>
      </c>
    </row>
    <row r="60" spans="1:12" x14ac:dyDescent="0.3">
      <c r="A60" s="67" t="s">
        <v>177</v>
      </c>
      <c r="B60" s="69">
        <v>45074</v>
      </c>
      <c r="C60" s="67">
        <v>16.8</v>
      </c>
      <c r="D60" s="67">
        <v>36.4</v>
      </c>
      <c r="E60" s="67">
        <v>82.1</v>
      </c>
      <c r="F60" s="67">
        <v>12.7</v>
      </c>
      <c r="G60" s="67" t="s">
        <v>176</v>
      </c>
      <c r="I60" s="67">
        <v>231.5</v>
      </c>
      <c r="J60" s="67" t="s">
        <v>176</v>
      </c>
      <c r="K60" s="67">
        <v>361.1</v>
      </c>
      <c r="L60" s="67" t="s">
        <v>176</v>
      </c>
    </row>
    <row r="61" spans="1:12" x14ac:dyDescent="0.3">
      <c r="A61" s="67" t="s">
        <v>177</v>
      </c>
      <c r="B61" s="69">
        <v>45075</v>
      </c>
      <c r="C61" s="67">
        <v>20.3</v>
      </c>
      <c r="D61" s="67">
        <v>36.799999999999997</v>
      </c>
      <c r="E61" s="67">
        <v>83.6</v>
      </c>
      <c r="F61" s="67">
        <v>13.3</v>
      </c>
      <c r="G61" s="67" t="s">
        <v>176</v>
      </c>
      <c r="I61" s="67">
        <v>239.8</v>
      </c>
      <c r="J61" s="67" t="s">
        <v>176</v>
      </c>
      <c r="K61" s="67">
        <v>376.8</v>
      </c>
      <c r="L61" s="67" t="s">
        <v>176</v>
      </c>
    </row>
    <row r="62" spans="1:12" x14ac:dyDescent="0.3">
      <c r="A62" s="67" t="s">
        <v>177</v>
      </c>
      <c r="B62" s="69">
        <v>45076</v>
      </c>
      <c r="C62" s="67">
        <v>20.5</v>
      </c>
      <c r="D62" s="67">
        <v>36.799999999999997</v>
      </c>
      <c r="E62" s="67">
        <v>85.6</v>
      </c>
      <c r="F62" s="67">
        <v>13.5</v>
      </c>
      <c r="G62" s="67" t="s">
        <v>176</v>
      </c>
      <c r="I62" s="67">
        <v>248.3</v>
      </c>
      <c r="J62" s="67" t="s">
        <v>176</v>
      </c>
      <c r="K62" s="67">
        <v>391.1</v>
      </c>
      <c r="L62" s="67" t="s">
        <v>176</v>
      </c>
    </row>
    <row r="63" spans="1:12" x14ac:dyDescent="0.3">
      <c r="A63" s="67" t="s">
        <v>177</v>
      </c>
      <c r="B63" s="69">
        <v>45077</v>
      </c>
      <c r="C63" s="67">
        <v>17.7</v>
      </c>
      <c r="D63" s="67">
        <v>36.799999999999997</v>
      </c>
      <c r="E63" s="67">
        <v>86.3</v>
      </c>
      <c r="F63" s="67">
        <v>14.2</v>
      </c>
      <c r="G63" s="67" t="s">
        <v>176</v>
      </c>
      <c r="I63" s="67">
        <v>257.5</v>
      </c>
      <c r="J63" s="67" t="s">
        <v>176</v>
      </c>
      <c r="K63" s="67">
        <v>402.9</v>
      </c>
      <c r="L63" s="67" t="s">
        <v>176</v>
      </c>
    </row>
    <row r="64" spans="1:12" x14ac:dyDescent="0.3">
      <c r="A64" s="67" t="s">
        <v>177</v>
      </c>
      <c r="B64" s="69">
        <v>45078</v>
      </c>
      <c r="C64" s="67">
        <v>14</v>
      </c>
      <c r="D64" s="67">
        <v>36.9</v>
      </c>
      <c r="E64" s="67">
        <v>88.9</v>
      </c>
      <c r="F64" s="67">
        <v>14.5</v>
      </c>
      <c r="G64" s="67" t="s">
        <v>176</v>
      </c>
      <c r="I64" s="67">
        <v>267</v>
      </c>
      <c r="J64" s="67" t="s">
        <v>176</v>
      </c>
      <c r="K64" s="67">
        <v>410.9</v>
      </c>
      <c r="L64" s="67" t="s">
        <v>176</v>
      </c>
    </row>
    <row r="65" spans="1:12" x14ac:dyDescent="0.3">
      <c r="A65" s="67" t="s">
        <v>177</v>
      </c>
      <c r="B65" s="69">
        <v>45079</v>
      </c>
      <c r="C65" s="67">
        <v>14.7</v>
      </c>
      <c r="D65" s="67">
        <v>36.9</v>
      </c>
      <c r="E65" s="67">
        <v>92.5</v>
      </c>
      <c r="F65" s="67">
        <v>14.3</v>
      </c>
      <c r="G65" s="67" t="s">
        <v>176</v>
      </c>
      <c r="I65" s="67">
        <v>276.3</v>
      </c>
      <c r="J65" s="67" t="s">
        <v>176</v>
      </c>
      <c r="K65" s="67">
        <v>420.1</v>
      </c>
      <c r="L65" s="67" t="s">
        <v>176</v>
      </c>
    </row>
    <row r="66" spans="1:12" x14ac:dyDescent="0.3">
      <c r="A66" s="67" t="s">
        <v>177</v>
      </c>
      <c r="B66" s="69">
        <v>45080</v>
      </c>
      <c r="C66" s="67">
        <v>15.1</v>
      </c>
      <c r="D66" s="67">
        <v>39.200000000000003</v>
      </c>
      <c r="E66" s="67">
        <v>96.7</v>
      </c>
      <c r="F66" s="67">
        <v>14.1</v>
      </c>
      <c r="G66" s="67" t="s">
        <v>176</v>
      </c>
      <c r="I66" s="67">
        <v>285.39999999999998</v>
      </c>
      <c r="J66" s="67" t="s">
        <v>176</v>
      </c>
      <c r="K66" s="67">
        <v>430.8</v>
      </c>
      <c r="L66" s="67" t="s">
        <v>176</v>
      </c>
    </row>
    <row r="67" spans="1:12" x14ac:dyDescent="0.3">
      <c r="A67" s="67" t="s">
        <v>177</v>
      </c>
      <c r="B67" s="69">
        <v>45081</v>
      </c>
      <c r="C67" s="67">
        <v>19.399999999999999</v>
      </c>
      <c r="D67" s="67">
        <v>39.200000000000003</v>
      </c>
      <c r="E67" s="67">
        <v>98.3</v>
      </c>
      <c r="F67" s="67">
        <v>14.8</v>
      </c>
      <c r="G67" s="67" t="s">
        <v>176</v>
      </c>
      <c r="I67" s="67">
        <v>295.2</v>
      </c>
      <c r="J67" s="67" t="s">
        <v>176</v>
      </c>
      <c r="K67" s="67">
        <v>444.6</v>
      </c>
      <c r="L67" s="67" t="s">
        <v>176</v>
      </c>
    </row>
    <row r="68" spans="1:12" x14ac:dyDescent="0.3">
      <c r="A68" s="67" t="s">
        <v>177</v>
      </c>
      <c r="B68" s="69">
        <v>45082</v>
      </c>
      <c r="C68" s="67">
        <v>20.399999999999999</v>
      </c>
      <c r="D68" s="67">
        <v>39.200000000000003</v>
      </c>
      <c r="E68" s="67">
        <v>100.7</v>
      </c>
      <c r="F68" s="67">
        <v>14.6</v>
      </c>
      <c r="G68" s="67" t="s">
        <v>176</v>
      </c>
      <c r="I68" s="67">
        <v>304.8</v>
      </c>
      <c r="J68" s="67" t="s">
        <v>176</v>
      </c>
      <c r="K68" s="67">
        <v>459.4</v>
      </c>
      <c r="L68" s="67" t="s">
        <v>176</v>
      </c>
    </row>
    <row r="69" spans="1:12" x14ac:dyDescent="0.3">
      <c r="A69" s="67" t="s">
        <v>177</v>
      </c>
      <c r="B69" s="69">
        <v>45083</v>
      </c>
      <c r="C69" s="67">
        <v>16</v>
      </c>
      <c r="D69" s="67">
        <v>39.200000000000003</v>
      </c>
      <c r="E69" s="67">
        <v>106.8</v>
      </c>
      <c r="F69" s="67">
        <v>13.4</v>
      </c>
      <c r="G69" s="67" t="s">
        <v>176</v>
      </c>
      <c r="I69" s="67">
        <v>313.2</v>
      </c>
      <c r="J69" s="67" t="s">
        <v>176</v>
      </c>
      <c r="K69" s="67">
        <v>470.7</v>
      </c>
      <c r="L69" s="67" t="s">
        <v>176</v>
      </c>
    </row>
    <row r="70" spans="1:12" x14ac:dyDescent="0.3">
      <c r="A70" s="67" t="s">
        <v>177</v>
      </c>
      <c r="B70" s="69">
        <v>45084</v>
      </c>
      <c r="C70" s="67">
        <v>20</v>
      </c>
      <c r="D70" s="67">
        <v>39.200000000000003</v>
      </c>
      <c r="E70" s="67">
        <v>110.7</v>
      </c>
      <c r="F70" s="67">
        <v>13.6</v>
      </c>
      <c r="G70" s="67" t="s">
        <v>176</v>
      </c>
      <c r="I70" s="67">
        <v>321.8</v>
      </c>
      <c r="J70" s="67" t="s">
        <v>176</v>
      </c>
      <c r="K70" s="67">
        <v>484.5</v>
      </c>
      <c r="L70" s="67" t="s">
        <v>176</v>
      </c>
    </row>
    <row r="71" spans="1:12" x14ac:dyDescent="0.3">
      <c r="A71" s="67" t="s">
        <v>177</v>
      </c>
      <c r="B71" s="69">
        <v>45085</v>
      </c>
      <c r="C71" s="67">
        <v>21.2</v>
      </c>
      <c r="D71" s="67">
        <v>39.200000000000003</v>
      </c>
      <c r="E71" s="67">
        <v>114.2</v>
      </c>
      <c r="F71" s="67">
        <v>13.9</v>
      </c>
      <c r="G71" s="67" t="s">
        <v>176</v>
      </c>
      <c r="I71" s="67">
        <v>330.7</v>
      </c>
      <c r="J71" s="67" t="s">
        <v>176</v>
      </c>
      <c r="K71" s="67">
        <v>500.3</v>
      </c>
      <c r="L71" s="67" t="s">
        <v>176</v>
      </c>
    </row>
    <row r="72" spans="1:12" x14ac:dyDescent="0.3">
      <c r="A72" s="67" t="s">
        <v>177</v>
      </c>
      <c r="B72" s="69">
        <v>45086</v>
      </c>
      <c r="C72" s="67">
        <v>18.2</v>
      </c>
      <c r="D72" s="67">
        <v>57.6</v>
      </c>
      <c r="E72" s="67">
        <v>116.8</v>
      </c>
      <c r="F72" s="67">
        <v>13.6</v>
      </c>
      <c r="G72" s="67" t="s">
        <v>176</v>
      </c>
      <c r="I72" s="67">
        <v>339.3</v>
      </c>
      <c r="J72" s="67" t="s">
        <v>176</v>
      </c>
      <c r="K72" s="67">
        <v>514.79999999999995</v>
      </c>
      <c r="L72" s="67" t="s">
        <v>176</v>
      </c>
    </row>
    <row r="73" spans="1:12" x14ac:dyDescent="0.3">
      <c r="A73" s="67" t="s">
        <v>177</v>
      </c>
      <c r="B73" s="69">
        <v>45087</v>
      </c>
      <c r="C73" s="67">
        <v>19.3</v>
      </c>
      <c r="D73" s="67">
        <v>62.2</v>
      </c>
      <c r="E73" s="67">
        <v>120.6</v>
      </c>
      <c r="F73" s="67">
        <v>13.9</v>
      </c>
      <c r="G73" s="67" t="s">
        <v>176</v>
      </c>
      <c r="I73" s="67">
        <v>348.2</v>
      </c>
      <c r="J73" s="67" t="s">
        <v>176</v>
      </c>
      <c r="K73" s="67">
        <v>530.29999999999995</v>
      </c>
      <c r="L73" s="67" t="s">
        <v>176</v>
      </c>
    </row>
    <row r="74" spans="1:12" x14ac:dyDescent="0.3">
      <c r="A74" s="67" t="s">
        <v>177</v>
      </c>
      <c r="B74" s="69">
        <v>45088</v>
      </c>
      <c r="C74" s="67">
        <v>20.7</v>
      </c>
      <c r="D74" s="67">
        <v>62.3</v>
      </c>
      <c r="E74" s="67">
        <v>124.8</v>
      </c>
      <c r="F74" s="67">
        <v>14.1</v>
      </c>
      <c r="G74" s="67" t="s">
        <v>176</v>
      </c>
      <c r="I74" s="67">
        <v>357.3</v>
      </c>
      <c r="J74" s="67" t="s">
        <v>176</v>
      </c>
      <c r="K74" s="67">
        <v>545.79999999999995</v>
      </c>
      <c r="L74" s="67" t="s">
        <v>176</v>
      </c>
    </row>
    <row r="75" spans="1:12" x14ac:dyDescent="0.3">
      <c r="A75" s="67" t="s">
        <v>177</v>
      </c>
      <c r="B75" s="69">
        <v>45089</v>
      </c>
      <c r="C75" s="67">
        <v>21</v>
      </c>
      <c r="D75" s="67">
        <v>62.3</v>
      </c>
      <c r="E75" s="67">
        <v>127.5</v>
      </c>
      <c r="F75" s="67">
        <v>13.8</v>
      </c>
      <c r="G75" s="67" t="s">
        <v>176</v>
      </c>
      <c r="I75" s="67">
        <v>366.1</v>
      </c>
      <c r="J75" s="67" t="s">
        <v>176</v>
      </c>
      <c r="K75" s="67">
        <v>561.79999999999995</v>
      </c>
      <c r="L75" s="67" t="s">
        <v>176</v>
      </c>
    </row>
    <row r="76" spans="1:12" x14ac:dyDescent="0.3">
      <c r="A76" s="67" t="s">
        <v>177</v>
      </c>
      <c r="B76" s="69">
        <v>45090</v>
      </c>
      <c r="C76" s="67">
        <v>21.8</v>
      </c>
      <c r="D76" s="67">
        <v>62.3</v>
      </c>
      <c r="E76" s="67">
        <v>131.80000000000001</v>
      </c>
      <c r="F76" s="67">
        <v>15</v>
      </c>
      <c r="G76" s="67" t="s">
        <v>176</v>
      </c>
      <c r="I76" s="67">
        <v>376.1</v>
      </c>
      <c r="J76" s="67" t="s">
        <v>176</v>
      </c>
      <c r="K76" s="67">
        <v>578</v>
      </c>
      <c r="L76" s="67" t="s">
        <v>176</v>
      </c>
    </row>
    <row r="77" spans="1:12" x14ac:dyDescent="0.3">
      <c r="A77" s="67" t="s">
        <v>177</v>
      </c>
      <c r="B77" s="69">
        <v>45091</v>
      </c>
      <c r="C77" s="67">
        <v>14.7</v>
      </c>
      <c r="D77" s="67">
        <v>65</v>
      </c>
      <c r="E77" s="67">
        <v>133.9</v>
      </c>
      <c r="F77" s="67">
        <v>14.1</v>
      </c>
      <c r="G77" s="67" t="s">
        <v>176</v>
      </c>
      <c r="I77" s="67">
        <v>385.2</v>
      </c>
      <c r="J77" s="67" t="s">
        <v>176</v>
      </c>
      <c r="K77" s="67">
        <v>587.6</v>
      </c>
      <c r="L77" s="67" t="s">
        <v>176</v>
      </c>
    </row>
    <row r="78" spans="1:12" x14ac:dyDescent="0.3">
      <c r="A78" s="67" t="s">
        <v>177</v>
      </c>
      <c r="B78" s="69">
        <v>45092</v>
      </c>
      <c r="C78" s="67">
        <v>13.1</v>
      </c>
      <c r="D78" s="67">
        <v>66.5</v>
      </c>
      <c r="E78" s="67">
        <v>137.5</v>
      </c>
      <c r="F78" s="67">
        <v>13.5</v>
      </c>
      <c r="G78" s="67" t="s">
        <v>176</v>
      </c>
      <c r="I78" s="67">
        <v>393.7</v>
      </c>
      <c r="J78" s="67" t="s">
        <v>176</v>
      </c>
      <c r="K78" s="67">
        <v>595.9</v>
      </c>
      <c r="L78" s="67" t="s">
        <v>176</v>
      </c>
    </row>
    <row r="79" spans="1:12" x14ac:dyDescent="0.3">
      <c r="A79" s="67" t="s">
        <v>177</v>
      </c>
      <c r="B79" s="69">
        <v>45093</v>
      </c>
      <c r="C79" s="67">
        <v>17.100000000000001</v>
      </c>
      <c r="D79" s="67">
        <v>66.599999999999994</v>
      </c>
      <c r="E79" s="67">
        <v>140.80000000000001</v>
      </c>
      <c r="F79" s="67">
        <v>14.5</v>
      </c>
      <c r="G79" s="67" t="s">
        <v>176</v>
      </c>
      <c r="I79" s="67">
        <v>403.2</v>
      </c>
      <c r="J79" s="67" t="s">
        <v>176</v>
      </c>
      <c r="K79" s="67">
        <v>607.20000000000005</v>
      </c>
      <c r="L79" s="67" t="s">
        <v>176</v>
      </c>
    </row>
    <row r="80" spans="1:12" x14ac:dyDescent="0.3">
      <c r="A80" s="67" t="s">
        <v>177</v>
      </c>
      <c r="B80" s="69">
        <v>45094</v>
      </c>
      <c r="C80" s="67">
        <v>18.7</v>
      </c>
      <c r="D80" s="67">
        <v>66.599999999999994</v>
      </c>
      <c r="E80" s="67">
        <v>147.30000000000001</v>
      </c>
      <c r="F80" s="67">
        <v>14.5</v>
      </c>
      <c r="G80" s="67" t="s">
        <v>176</v>
      </c>
      <c r="I80" s="67">
        <v>412.7</v>
      </c>
      <c r="J80" s="67" t="s">
        <v>176</v>
      </c>
      <c r="K80" s="67">
        <v>621.29999999999995</v>
      </c>
      <c r="L80" s="67" t="s">
        <v>176</v>
      </c>
    </row>
    <row r="81" spans="1:12" x14ac:dyDescent="0.3">
      <c r="A81" s="67" t="s">
        <v>177</v>
      </c>
      <c r="B81" s="69">
        <v>45095</v>
      </c>
      <c r="C81" s="67">
        <v>14</v>
      </c>
      <c r="D81" s="67">
        <v>67.599999999999994</v>
      </c>
      <c r="E81" s="67">
        <v>149.80000000000001</v>
      </c>
      <c r="F81" s="67">
        <v>14.6</v>
      </c>
      <c r="G81" s="67" t="s">
        <v>176</v>
      </c>
      <c r="I81" s="67">
        <v>422.3</v>
      </c>
      <c r="J81" s="67" t="s">
        <v>176</v>
      </c>
      <c r="K81" s="67">
        <v>630.5</v>
      </c>
      <c r="L81" s="67" t="s">
        <v>176</v>
      </c>
    </row>
    <row r="82" spans="1:12" x14ac:dyDescent="0.3">
      <c r="A82" s="67" t="s">
        <v>177</v>
      </c>
      <c r="B82" s="69">
        <v>45096</v>
      </c>
      <c r="C82" s="67">
        <v>12.7</v>
      </c>
      <c r="D82" s="67">
        <v>67.599999999999994</v>
      </c>
      <c r="E82" s="67">
        <v>153.30000000000001</v>
      </c>
      <c r="F82" s="67">
        <v>14.7</v>
      </c>
      <c r="G82" s="67" t="s">
        <v>176</v>
      </c>
      <c r="I82" s="67">
        <v>432</v>
      </c>
      <c r="J82" s="67" t="s">
        <v>176</v>
      </c>
      <c r="K82" s="67">
        <v>637.79999999999995</v>
      </c>
      <c r="L82" s="67" t="s">
        <v>176</v>
      </c>
    </row>
    <row r="83" spans="1:12" x14ac:dyDescent="0.3">
      <c r="A83" s="67" t="s">
        <v>177</v>
      </c>
      <c r="B83" s="69">
        <v>45097</v>
      </c>
      <c r="C83" s="67">
        <v>9.9</v>
      </c>
      <c r="D83" s="67">
        <v>67.599999999999994</v>
      </c>
      <c r="E83" s="67">
        <v>156</v>
      </c>
      <c r="F83" s="67">
        <v>15.2</v>
      </c>
      <c r="G83" s="67" t="s">
        <v>176</v>
      </c>
      <c r="I83" s="67">
        <v>442.2</v>
      </c>
      <c r="J83" s="67" t="s">
        <v>176</v>
      </c>
      <c r="K83" s="67">
        <v>642.9</v>
      </c>
      <c r="L83" s="67" t="s">
        <v>176</v>
      </c>
    </row>
    <row r="84" spans="1:12" x14ac:dyDescent="0.3">
      <c r="A84" s="67" t="s">
        <v>177</v>
      </c>
      <c r="B84" s="69">
        <v>45098</v>
      </c>
      <c r="C84" s="67">
        <v>11.9</v>
      </c>
      <c r="D84" s="67">
        <v>67.599999999999994</v>
      </c>
      <c r="E84" s="67">
        <v>157.9</v>
      </c>
      <c r="F84" s="67">
        <v>16.100000000000001</v>
      </c>
      <c r="G84" s="67" t="s">
        <v>176</v>
      </c>
      <c r="I84" s="67">
        <v>453.3</v>
      </c>
      <c r="J84" s="67" t="s">
        <v>176</v>
      </c>
      <c r="K84" s="67">
        <v>649.9</v>
      </c>
      <c r="L84" s="67" t="s">
        <v>176</v>
      </c>
    </row>
    <row r="85" spans="1:12" x14ac:dyDescent="0.3">
      <c r="A85" s="67" t="s">
        <v>177</v>
      </c>
      <c r="B85" s="69">
        <v>45099</v>
      </c>
      <c r="C85" s="67">
        <v>14.3</v>
      </c>
      <c r="D85" s="67">
        <v>67.599999999999994</v>
      </c>
      <c r="E85" s="67">
        <v>159.9</v>
      </c>
      <c r="F85" s="67">
        <v>15.9</v>
      </c>
      <c r="G85" s="67" t="s">
        <v>176</v>
      </c>
      <c r="I85" s="67">
        <v>464.2</v>
      </c>
      <c r="J85" s="67" t="s">
        <v>176</v>
      </c>
      <c r="K85" s="67">
        <v>657.8</v>
      </c>
      <c r="L85" s="67" t="s">
        <v>176</v>
      </c>
    </row>
    <row r="86" spans="1:12" x14ac:dyDescent="0.3">
      <c r="A86" s="67" t="s">
        <v>177</v>
      </c>
      <c r="B86" s="69">
        <v>45100</v>
      </c>
      <c r="C86" s="67">
        <v>16</v>
      </c>
      <c r="D86" s="67">
        <v>67.599999999999994</v>
      </c>
      <c r="E86" s="67">
        <v>161.4</v>
      </c>
      <c r="F86" s="67">
        <v>16.100000000000001</v>
      </c>
      <c r="G86" s="67" t="s">
        <v>176</v>
      </c>
      <c r="I86" s="67">
        <v>475.3</v>
      </c>
      <c r="J86" s="67" t="s">
        <v>176</v>
      </c>
      <c r="K86" s="67">
        <v>667.7</v>
      </c>
      <c r="L86" s="67" t="s">
        <v>176</v>
      </c>
    </row>
    <row r="87" spans="1:12" x14ac:dyDescent="0.3">
      <c r="A87" s="67" t="s">
        <v>177</v>
      </c>
      <c r="B87" s="69">
        <v>45101</v>
      </c>
      <c r="C87" s="67">
        <v>17.5</v>
      </c>
      <c r="D87" s="67">
        <v>67.900000000000006</v>
      </c>
      <c r="E87" s="67">
        <v>163.4</v>
      </c>
      <c r="F87" s="67">
        <v>15.5</v>
      </c>
      <c r="G87" s="67" t="s">
        <v>176</v>
      </c>
      <c r="I87" s="67">
        <v>485.8</v>
      </c>
      <c r="J87" s="67" t="s">
        <v>176</v>
      </c>
      <c r="K87" s="67">
        <v>680.3</v>
      </c>
      <c r="L87" s="67" t="s">
        <v>176</v>
      </c>
    </row>
    <row r="88" spans="1:12" x14ac:dyDescent="0.3">
      <c r="A88" s="67" t="s">
        <v>177</v>
      </c>
      <c r="B88" s="69">
        <v>45102</v>
      </c>
      <c r="C88" s="67">
        <v>18.399999999999999</v>
      </c>
      <c r="D88" s="67">
        <v>68</v>
      </c>
      <c r="E88" s="67">
        <v>164</v>
      </c>
      <c r="F88" s="67">
        <v>16</v>
      </c>
      <c r="G88" s="67" t="s">
        <v>176</v>
      </c>
      <c r="I88" s="67">
        <v>496.8</v>
      </c>
      <c r="J88" s="67" t="s">
        <v>176</v>
      </c>
      <c r="K88" s="67">
        <v>692.9</v>
      </c>
      <c r="L88" s="67" t="s">
        <v>176</v>
      </c>
    </row>
    <row r="89" spans="1:12" x14ac:dyDescent="0.3">
      <c r="A89" s="67" t="s">
        <v>177</v>
      </c>
      <c r="B89" s="69">
        <v>45103</v>
      </c>
      <c r="C89" s="67">
        <v>19.3</v>
      </c>
      <c r="D89" s="67">
        <v>68</v>
      </c>
      <c r="E89" s="67">
        <v>167.6</v>
      </c>
      <c r="F89" s="67">
        <v>15.9</v>
      </c>
      <c r="G89" s="67" t="s">
        <v>176</v>
      </c>
      <c r="I89" s="67">
        <v>507.7</v>
      </c>
      <c r="J89" s="67" t="s">
        <v>176</v>
      </c>
      <c r="K89" s="67">
        <v>706.5</v>
      </c>
      <c r="L89" s="67" t="s">
        <v>176</v>
      </c>
    </row>
    <row r="90" spans="1:12" x14ac:dyDescent="0.3">
      <c r="A90" s="67" t="s">
        <v>177</v>
      </c>
      <c r="B90" s="69">
        <v>45104</v>
      </c>
      <c r="C90" s="67">
        <v>19.600000000000001</v>
      </c>
      <c r="D90" s="67">
        <v>68.3</v>
      </c>
      <c r="E90" s="67">
        <v>169.7</v>
      </c>
      <c r="F90" s="67">
        <v>16.399999999999999</v>
      </c>
      <c r="G90" s="67" t="s">
        <v>176</v>
      </c>
      <c r="I90" s="67">
        <v>519.1</v>
      </c>
      <c r="J90" s="67" t="s">
        <v>176</v>
      </c>
      <c r="K90" s="67">
        <v>720.3</v>
      </c>
      <c r="L90" s="67" t="s">
        <v>176</v>
      </c>
    </row>
    <row r="91" spans="1:12" x14ac:dyDescent="0.3">
      <c r="A91" s="67" t="s">
        <v>177</v>
      </c>
      <c r="B91" s="69">
        <v>45105</v>
      </c>
      <c r="C91" s="67">
        <v>20.8</v>
      </c>
      <c r="D91" s="67">
        <v>68.3</v>
      </c>
      <c r="E91" s="67">
        <v>172</v>
      </c>
      <c r="F91" s="67">
        <v>16.899999999999999</v>
      </c>
      <c r="G91" s="67" t="s">
        <v>176</v>
      </c>
      <c r="I91" s="67">
        <v>531</v>
      </c>
      <c r="J91" s="67" t="s">
        <v>176</v>
      </c>
      <c r="K91" s="67">
        <v>736.1</v>
      </c>
      <c r="L91" s="67" t="s">
        <v>176</v>
      </c>
    </row>
    <row r="92" spans="1:12" x14ac:dyDescent="0.3">
      <c r="A92" s="67" t="s">
        <v>177</v>
      </c>
      <c r="B92" s="69">
        <v>45106</v>
      </c>
      <c r="C92" s="67">
        <v>22</v>
      </c>
      <c r="D92" s="67">
        <v>68.3</v>
      </c>
      <c r="E92" s="67">
        <v>175.6</v>
      </c>
      <c r="F92" s="67">
        <v>16.899999999999999</v>
      </c>
      <c r="G92" s="67" t="s">
        <v>176</v>
      </c>
      <c r="I92" s="67">
        <v>542.9</v>
      </c>
      <c r="J92" s="67" t="s">
        <v>176</v>
      </c>
      <c r="K92" s="67">
        <v>752.5</v>
      </c>
      <c r="L92" s="67" t="s">
        <v>176</v>
      </c>
    </row>
    <row r="93" spans="1:12" x14ac:dyDescent="0.3">
      <c r="A93" s="67" t="s">
        <v>177</v>
      </c>
      <c r="B93" s="69">
        <v>45107</v>
      </c>
      <c r="C93" s="67">
        <v>22</v>
      </c>
      <c r="D93" s="67">
        <v>70.599999999999994</v>
      </c>
      <c r="E93" s="67">
        <v>179.7</v>
      </c>
      <c r="F93" s="67">
        <v>17</v>
      </c>
      <c r="G93" s="67" t="s">
        <v>176</v>
      </c>
      <c r="I93" s="67">
        <v>554.9</v>
      </c>
      <c r="J93" s="67" t="s">
        <v>176</v>
      </c>
      <c r="K93" s="67">
        <v>769.2</v>
      </c>
      <c r="L93" s="67" t="s">
        <v>176</v>
      </c>
    </row>
    <row r="94" spans="1:12" x14ac:dyDescent="0.3">
      <c r="A94" s="67" t="s">
        <v>177</v>
      </c>
      <c r="B94" s="69">
        <v>45108</v>
      </c>
      <c r="C94" s="67">
        <v>22.6</v>
      </c>
      <c r="D94" s="67">
        <v>70.7</v>
      </c>
      <c r="E94" s="67">
        <v>182</v>
      </c>
      <c r="F94" s="67">
        <v>17</v>
      </c>
      <c r="G94" s="67" t="s">
        <v>176</v>
      </c>
      <c r="I94" s="67">
        <v>566.9</v>
      </c>
      <c r="J94" s="67" t="s">
        <v>176</v>
      </c>
      <c r="K94" s="67">
        <v>785.9</v>
      </c>
      <c r="L94" s="67" t="s">
        <v>176</v>
      </c>
    </row>
    <row r="95" spans="1:12" x14ac:dyDescent="0.3">
      <c r="A95" s="67" t="s">
        <v>177</v>
      </c>
      <c r="B95" s="69">
        <v>45109</v>
      </c>
      <c r="C95" s="67">
        <v>15.2</v>
      </c>
      <c r="D95" s="67">
        <v>70.900000000000006</v>
      </c>
      <c r="E95" s="67">
        <v>182.6</v>
      </c>
      <c r="F95" s="67">
        <v>16.7</v>
      </c>
      <c r="G95" s="67" t="s">
        <v>176</v>
      </c>
      <c r="I95" s="67">
        <v>578.6</v>
      </c>
      <c r="J95" s="67" t="s">
        <v>176</v>
      </c>
      <c r="K95" s="67">
        <v>796.6</v>
      </c>
      <c r="L95" s="67" t="s">
        <v>176</v>
      </c>
    </row>
    <row r="96" spans="1:12" x14ac:dyDescent="0.3">
      <c r="A96" s="67" t="s">
        <v>177</v>
      </c>
      <c r="B96" s="69">
        <v>45110</v>
      </c>
      <c r="C96" s="67">
        <v>15.2</v>
      </c>
      <c r="D96" s="67">
        <v>70.900000000000006</v>
      </c>
      <c r="E96" s="67">
        <v>184.4</v>
      </c>
      <c r="F96" s="67">
        <v>17.100000000000001</v>
      </c>
      <c r="G96" s="67" t="s">
        <v>176</v>
      </c>
      <c r="I96" s="67">
        <v>590.70000000000005</v>
      </c>
      <c r="J96" s="67" t="s">
        <v>176</v>
      </c>
      <c r="K96" s="67">
        <v>807.1</v>
      </c>
      <c r="L96" s="67" t="s">
        <v>176</v>
      </c>
    </row>
    <row r="97" spans="1:12" x14ac:dyDescent="0.3">
      <c r="A97" s="67" t="s">
        <v>177</v>
      </c>
      <c r="B97" s="69">
        <v>45111</v>
      </c>
      <c r="C97" s="67">
        <v>15.6</v>
      </c>
      <c r="D97" s="67">
        <v>70.900000000000006</v>
      </c>
      <c r="E97" s="67">
        <v>185.4</v>
      </c>
      <c r="F97" s="67">
        <v>17.3</v>
      </c>
      <c r="G97" s="67" t="s">
        <v>176</v>
      </c>
      <c r="I97" s="67">
        <v>603</v>
      </c>
      <c r="J97" s="67" t="s">
        <v>176</v>
      </c>
      <c r="K97" s="67">
        <v>818.2</v>
      </c>
      <c r="L97" s="67" t="s">
        <v>176</v>
      </c>
    </row>
    <row r="98" spans="1:12" x14ac:dyDescent="0.3">
      <c r="A98" s="67" t="s">
        <v>177</v>
      </c>
      <c r="B98" s="69">
        <v>45112</v>
      </c>
      <c r="C98" s="67">
        <v>17.5</v>
      </c>
      <c r="D98" s="67">
        <v>70.900000000000006</v>
      </c>
      <c r="E98" s="67">
        <v>186.8</v>
      </c>
      <c r="F98" s="67">
        <v>16.899999999999999</v>
      </c>
      <c r="G98" s="67" t="s">
        <v>176</v>
      </c>
      <c r="I98" s="67">
        <v>614.9</v>
      </c>
      <c r="J98" s="67" t="s">
        <v>176</v>
      </c>
      <c r="K98" s="67">
        <v>829.7</v>
      </c>
      <c r="L98" s="67" t="s">
        <v>176</v>
      </c>
    </row>
    <row r="99" spans="1:12" x14ac:dyDescent="0.3">
      <c r="A99" s="67" t="s">
        <v>177</v>
      </c>
      <c r="B99" s="69">
        <v>45113</v>
      </c>
      <c r="C99" s="67">
        <v>18.100000000000001</v>
      </c>
      <c r="D99" s="67">
        <v>70.900000000000006</v>
      </c>
      <c r="E99" s="67">
        <v>187.7</v>
      </c>
      <c r="F99" s="67">
        <v>17.100000000000001</v>
      </c>
      <c r="G99" s="67" t="s">
        <v>176</v>
      </c>
      <c r="I99" s="67">
        <v>627</v>
      </c>
      <c r="J99" s="67" t="s">
        <v>176</v>
      </c>
      <c r="K99" s="67">
        <v>841.7</v>
      </c>
      <c r="L99" s="67" t="s">
        <v>176</v>
      </c>
    </row>
    <row r="100" spans="1:12" x14ac:dyDescent="0.3">
      <c r="A100" s="67" t="s">
        <v>177</v>
      </c>
      <c r="B100" s="69">
        <v>45114</v>
      </c>
      <c r="C100" s="67">
        <v>18.100000000000001</v>
      </c>
      <c r="D100" s="67">
        <v>73.2</v>
      </c>
      <c r="E100" s="67">
        <v>189.1</v>
      </c>
      <c r="F100" s="67">
        <v>17.399999999999999</v>
      </c>
      <c r="G100" s="67" t="s">
        <v>176</v>
      </c>
      <c r="I100" s="67">
        <v>639.4</v>
      </c>
      <c r="J100" s="67" t="s">
        <v>176</v>
      </c>
      <c r="K100" s="67">
        <v>855.2</v>
      </c>
      <c r="L100" s="67" t="s">
        <v>176</v>
      </c>
    </row>
    <row r="101" spans="1:12" x14ac:dyDescent="0.3">
      <c r="A101" s="67" t="s">
        <v>177</v>
      </c>
      <c r="B101" s="69">
        <v>45115</v>
      </c>
      <c r="C101" s="67">
        <v>19.7</v>
      </c>
      <c r="D101" s="67">
        <v>73.2</v>
      </c>
      <c r="E101" s="67">
        <v>190.5</v>
      </c>
      <c r="F101" s="67">
        <v>17.600000000000001</v>
      </c>
      <c r="G101" s="67" t="s">
        <v>176</v>
      </c>
      <c r="I101" s="67">
        <v>652</v>
      </c>
      <c r="J101" s="67" t="s">
        <v>176</v>
      </c>
      <c r="K101" s="67">
        <v>869.8</v>
      </c>
      <c r="L101" s="67" t="s">
        <v>176</v>
      </c>
    </row>
    <row r="102" spans="1:12" x14ac:dyDescent="0.3">
      <c r="A102" s="67" t="s">
        <v>177</v>
      </c>
      <c r="B102" s="69">
        <v>45116</v>
      </c>
      <c r="C102" s="67">
        <v>22.4</v>
      </c>
      <c r="D102" s="67">
        <v>73.2</v>
      </c>
      <c r="E102" s="67">
        <v>191.7</v>
      </c>
      <c r="F102" s="67">
        <v>18.3</v>
      </c>
      <c r="G102" s="67" t="s">
        <v>176</v>
      </c>
      <c r="I102" s="67">
        <v>665.3</v>
      </c>
      <c r="J102" s="67" t="s">
        <v>176</v>
      </c>
      <c r="K102" s="67">
        <v>886</v>
      </c>
      <c r="L102" s="67" t="s">
        <v>176</v>
      </c>
    </row>
    <row r="103" spans="1:12" x14ac:dyDescent="0.3">
      <c r="A103" s="67" t="s">
        <v>177</v>
      </c>
      <c r="B103" s="69">
        <v>45117</v>
      </c>
      <c r="C103" s="67">
        <v>20.8</v>
      </c>
      <c r="D103" s="67">
        <v>74.2</v>
      </c>
      <c r="E103" s="67">
        <v>192.7</v>
      </c>
      <c r="F103" s="67">
        <v>17.899999999999999</v>
      </c>
      <c r="G103" s="67" t="s">
        <v>176</v>
      </c>
      <c r="I103" s="67">
        <v>678.2</v>
      </c>
      <c r="J103" s="67" t="s">
        <v>176</v>
      </c>
      <c r="K103" s="67">
        <v>901.6</v>
      </c>
      <c r="L103" s="67" t="s">
        <v>176</v>
      </c>
    </row>
    <row r="104" spans="1:12" x14ac:dyDescent="0.3">
      <c r="A104" s="67" t="s">
        <v>177</v>
      </c>
      <c r="B104" s="69">
        <v>45118</v>
      </c>
      <c r="C104" s="67">
        <v>16.600000000000001</v>
      </c>
      <c r="D104" s="67">
        <v>84.7</v>
      </c>
      <c r="E104" s="67">
        <v>194.2</v>
      </c>
      <c r="F104" s="67">
        <v>17.899999999999999</v>
      </c>
      <c r="G104" s="67" t="s">
        <v>176</v>
      </c>
      <c r="I104" s="67">
        <v>691.1</v>
      </c>
      <c r="J104" s="67" t="s">
        <v>176</v>
      </c>
      <c r="K104" s="67">
        <v>913.9</v>
      </c>
      <c r="L104" s="67" t="s">
        <v>176</v>
      </c>
    </row>
    <row r="105" spans="1:12" x14ac:dyDescent="0.3">
      <c r="A105" s="67" t="s">
        <v>177</v>
      </c>
      <c r="B105" s="69">
        <v>45119</v>
      </c>
      <c r="C105" s="67">
        <v>18.8</v>
      </c>
      <c r="D105" s="67">
        <v>84.7</v>
      </c>
      <c r="E105" s="67">
        <v>196.1</v>
      </c>
      <c r="F105" s="67">
        <v>18.5</v>
      </c>
      <c r="G105" s="67" t="s">
        <v>176</v>
      </c>
      <c r="I105" s="67">
        <v>704.6</v>
      </c>
      <c r="J105" s="67" t="s">
        <v>176</v>
      </c>
      <c r="K105" s="67">
        <v>927.6</v>
      </c>
      <c r="L105" s="67" t="s">
        <v>176</v>
      </c>
    </row>
    <row r="106" spans="1:12" x14ac:dyDescent="0.3">
      <c r="A106" s="67" t="s">
        <v>177</v>
      </c>
      <c r="B106" s="69">
        <v>45120</v>
      </c>
      <c r="C106" s="67">
        <v>18.100000000000001</v>
      </c>
      <c r="D106" s="67">
        <v>84.7</v>
      </c>
      <c r="E106" s="67">
        <v>197.1</v>
      </c>
      <c r="F106" s="67">
        <v>18.600000000000001</v>
      </c>
      <c r="G106" s="67" t="s">
        <v>176</v>
      </c>
      <c r="I106" s="67">
        <v>718.2</v>
      </c>
      <c r="J106" s="67" t="s">
        <v>176</v>
      </c>
      <c r="K106" s="67">
        <v>940</v>
      </c>
      <c r="L106" s="67" t="s">
        <v>176</v>
      </c>
    </row>
    <row r="107" spans="1:12" x14ac:dyDescent="0.3">
      <c r="A107" s="67" t="s">
        <v>177</v>
      </c>
      <c r="B107" s="69">
        <v>45121</v>
      </c>
      <c r="C107" s="67">
        <v>18.8</v>
      </c>
      <c r="D107" s="67">
        <v>84.7</v>
      </c>
      <c r="E107" s="67">
        <v>198</v>
      </c>
      <c r="F107" s="67">
        <v>18</v>
      </c>
      <c r="G107" s="67" t="s">
        <v>176</v>
      </c>
      <c r="I107" s="67">
        <v>731.2</v>
      </c>
      <c r="J107" s="67" t="s">
        <v>176</v>
      </c>
      <c r="K107" s="67">
        <v>954</v>
      </c>
      <c r="L107" s="67" t="s">
        <v>176</v>
      </c>
    </row>
    <row r="108" spans="1:12" x14ac:dyDescent="0.3">
      <c r="A108" s="67" t="s">
        <v>177</v>
      </c>
      <c r="B108" s="69">
        <v>45122</v>
      </c>
      <c r="C108" s="67">
        <v>19.3</v>
      </c>
      <c r="D108" s="67">
        <v>84.7</v>
      </c>
      <c r="E108" s="67">
        <v>199.4</v>
      </c>
      <c r="F108" s="67">
        <v>17.600000000000001</v>
      </c>
      <c r="G108" s="67" t="s">
        <v>176</v>
      </c>
      <c r="I108" s="67">
        <v>743.8</v>
      </c>
      <c r="J108" s="67" t="s">
        <v>176</v>
      </c>
      <c r="K108" s="67">
        <v>968.2</v>
      </c>
      <c r="L108" s="67" t="s">
        <v>176</v>
      </c>
    </row>
    <row r="109" spans="1:12" x14ac:dyDescent="0.3">
      <c r="A109" s="67" t="s">
        <v>177</v>
      </c>
      <c r="B109" s="69">
        <v>45123</v>
      </c>
      <c r="C109" s="67">
        <v>21</v>
      </c>
      <c r="D109" s="67">
        <v>84.7</v>
      </c>
      <c r="E109" s="67">
        <v>200.6</v>
      </c>
      <c r="F109" s="67">
        <v>17.899999999999999</v>
      </c>
      <c r="G109" s="67" t="s">
        <v>176</v>
      </c>
      <c r="I109" s="67">
        <v>756.7</v>
      </c>
      <c r="J109" s="67" t="s">
        <v>176</v>
      </c>
      <c r="K109" s="67">
        <v>984</v>
      </c>
      <c r="L109" s="67" t="s">
        <v>176</v>
      </c>
    </row>
    <row r="110" spans="1:12" x14ac:dyDescent="0.3">
      <c r="A110" s="67" t="s">
        <v>177</v>
      </c>
      <c r="B110" s="69">
        <v>45124</v>
      </c>
      <c r="C110" s="67">
        <v>21.9</v>
      </c>
      <c r="D110" s="67">
        <v>84.8</v>
      </c>
      <c r="E110" s="67">
        <v>202.8</v>
      </c>
      <c r="F110" s="67">
        <v>18.2</v>
      </c>
      <c r="G110" s="67" t="s">
        <v>176</v>
      </c>
      <c r="I110" s="67">
        <v>769.9</v>
      </c>
      <c r="J110" s="67" t="s">
        <v>176</v>
      </c>
      <c r="K110" s="68">
        <v>1000.8</v>
      </c>
      <c r="L110" s="67" t="s">
        <v>176</v>
      </c>
    </row>
    <row r="111" spans="1:12" x14ac:dyDescent="0.3">
      <c r="A111" s="67" t="s">
        <v>177</v>
      </c>
      <c r="B111" s="69">
        <v>45125</v>
      </c>
      <c r="C111" s="67">
        <v>18.2</v>
      </c>
      <c r="D111" s="67">
        <v>84.8</v>
      </c>
      <c r="E111" s="67">
        <v>205.7</v>
      </c>
      <c r="F111" s="67">
        <v>18.399999999999999</v>
      </c>
      <c r="G111" s="67" t="s">
        <v>176</v>
      </c>
      <c r="I111" s="67">
        <v>783.3</v>
      </c>
      <c r="J111" s="67" t="s">
        <v>176</v>
      </c>
      <c r="K111" s="68">
        <v>1014.1</v>
      </c>
      <c r="L111" s="67" t="s">
        <v>176</v>
      </c>
    </row>
    <row r="112" spans="1:12" x14ac:dyDescent="0.3">
      <c r="A112" s="67" t="s">
        <v>177</v>
      </c>
      <c r="B112" s="69">
        <v>45126</v>
      </c>
      <c r="C112" s="67">
        <v>17.5</v>
      </c>
      <c r="D112" s="67">
        <v>84.8</v>
      </c>
      <c r="E112" s="67">
        <v>206.7</v>
      </c>
      <c r="F112" s="67">
        <v>18.3</v>
      </c>
      <c r="G112" s="67" t="s">
        <v>176</v>
      </c>
      <c r="I112" s="67">
        <v>796.6</v>
      </c>
      <c r="J112" s="67" t="s">
        <v>176</v>
      </c>
      <c r="K112" s="68">
        <v>1025.8</v>
      </c>
      <c r="L112" s="67" t="s">
        <v>176</v>
      </c>
    </row>
    <row r="113" spans="1:12" x14ac:dyDescent="0.3">
      <c r="A113" s="67" t="s">
        <v>177</v>
      </c>
      <c r="B113" s="69">
        <v>45127</v>
      </c>
      <c r="C113" s="67">
        <v>20.100000000000001</v>
      </c>
      <c r="D113" s="67">
        <v>84.8</v>
      </c>
      <c r="E113" s="67">
        <v>208.2</v>
      </c>
      <c r="F113" s="67">
        <v>18.2</v>
      </c>
      <c r="G113" s="67" t="s">
        <v>176</v>
      </c>
      <c r="I113" s="67">
        <v>809.8</v>
      </c>
      <c r="J113" s="67" t="s">
        <v>176</v>
      </c>
      <c r="K113" s="68">
        <v>1040</v>
      </c>
      <c r="L113" s="67" t="s">
        <v>176</v>
      </c>
    </row>
    <row r="114" spans="1:12" x14ac:dyDescent="0.3">
      <c r="A114" s="67" t="s">
        <v>177</v>
      </c>
      <c r="B114" s="69">
        <v>45128</v>
      </c>
      <c r="C114" s="67">
        <v>21.5</v>
      </c>
      <c r="D114" s="67">
        <v>85</v>
      </c>
      <c r="E114" s="67">
        <v>208.8</v>
      </c>
      <c r="F114" s="67">
        <v>18.2</v>
      </c>
      <c r="G114" s="67" t="s">
        <v>176</v>
      </c>
      <c r="I114" s="67">
        <v>823</v>
      </c>
      <c r="J114" s="67" t="s">
        <v>176</v>
      </c>
      <c r="K114" s="68">
        <v>1056.7</v>
      </c>
      <c r="L114" s="67" t="s">
        <v>176</v>
      </c>
    </row>
    <row r="115" spans="1:12" x14ac:dyDescent="0.3">
      <c r="A115" s="67" t="s">
        <v>177</v>
      </c>
      <c r="B115" s="69">
        <v>45129</v>
      </c>
      <c r="C115" s="67">
        <v>23.6</v>
      </c>
      <c r="D115" s="67">
        <v>85</v>
      </c>
      <c r="E115" s="67">
        <v>209.2</v>
      </c>
      <c r="F115" s="67">
        <v>18.5</v>
      </c>
      <c r="G115" s="67" t="s">
        <v>176</v>
      </c>
      <c r="I115" s="67">
        <v>836.5</v>
      </c>
      <c r="J115" s="67" t="s">
        <v>176</v>
      </c>
      <c r="K115" s="68">
        <v>1074.2</v>
      </c>
      <c r="L115" s="67" t="s">
        <v>176</v>
      </c>
    </row>
    <row r="116" spans="1:12" x14ac:dyDescent="0.3">
      <c r="A116" s="67" t="s">
        <v>177</v>
      </c>
      <c r="B116" s="69">
        <v>45130</v>
      </c>
      <c r="C116" s="67">
        <v>23.9</v>
      </c>
      <c r="D116" s="67">
        <v>85</v>
      </c>
      <c r="E116" s="67">
        <v>211.4</v>
      </c>
      <c r="F116" s="67">
        <v>19.399999999999999</v>
      </c>
      <c r="G116" s="67" t="s">
        <v>176</v>
      </c>
      <c r="I116" s="67">
        <v>850.9</v>
      </c>
      <c r="J116" s="67" t="s">
        <v>176</v>
      </c>
      <c r="K116" s="68">
        <v>1093</v>
      </c>
      <c r="L116" s="67" t="s">
        <v>176</v>
      </c>
    </row>
    <row r="117" spans="1:12" x14ac:dyDescent="0.3">
      <c r="A117" s="67" t="s">
        <v>177</v>
      </c>
      <c r="B117" s="69">
        <v>45131</v>
      </c>
      <c r="C117" s="111">
        <v>24.6</v>
      </c>
      <c r="D117" s="67">
        <v>85</v>
      </c>
      <c r="E117" s="67">
        <v>212.7</v>
      </c>
      <c r="F117" s="67">
        <v>18.399999999999999</v>
      </c>
      <c r="G117" s="67" t="s">
        <v>176</v>
      </c>
      <c r="I117" s="67">
        <v>864.3</v>
      </c>
      <c r="J117" s="67" t="s">
        <v>176</v>
      </c>
      <c r="K117" s="68">
        <v>1112.0999999999999</v>
      </c>
      <c r="L117" s="67" t="s">
        <v>176</v>
      </c>
    </row>
    <row r="118" spans="1:12" x14ac:dyDescent="0.3">
      <c r="A118" s="67" t="s">
        <v>177</v>
      </c>
      <c r="B118" s="69">
        <v>45132</v>
      </c>
      <c r="C118" s="67">
        <v>23.6</v>
      </c>
      <c r="D118" s="67">
        <v>85.1</v>
      </c>
      <c r="E118" s="67">
        <v>213.3</v>
      </c>
      <c r="F118" s="67">
        <v>18.3</v>
      </c>
      <c r="G118" s="67" t="s">
        <v>176</v>
      </c>
      <c r="I118" s="67">
        <v>877.6</v>
      </c>
      <c r="J118" s="67" t="s">
        <v>176</v>
      </c>
      <c r="K118" s="68">
        <v>1129.5</v>
      </c>
      <c r="L118" s="67" t="s">
        <v>176</v>
      </c>
    </row>
    <row r="119" spans="1:12" x14ac:dyDescent="0.3">
      <c r="A119" s="67" t="s">
        <v>177</v>
      </c>
      <c r="B119" s="69">
        <v>45133</v>
      </c>
      <c r="C119" s="67">
        <v>19.3</v>
      </c>
      <c r="D119" s="67">
        <v>85.1</v>
      </c>
      <c r="E119" s="67">
        <v>215.1</v>
      </c>
      <c r="F119" s="67">
        <v>18.8</v>
      </c>
      <c r="G119" s="67" t="s">
        <v>176</v>
      </c>
      <c r="I119" s="67">
        <v>891.4</v>
      </c>
      <c r="J119" s="67" t="s">
        <v>176</v>
      </c>
      <c r="K119" s="68">
        <v>1143.0999999999999</v>
      </c>
      <c r="L119" s="67" t="s">
        <v>176</v>
      </c>
    </row>
    <row r="120" spans="1:12" x14ac:dyDescent="0.3">
      <c r="A120" s="67" t="s">
        <v>177</v>
      </c>
      <c r="B120" s="69">
        <v>45134</v>
      </c>
      <c r="C120" s="67">
        <v>15.6</v>
      </c>
      <c r="D120" s="67">
        <v>86.8</v>
      </c>
      <c r="E120" s="67">
        <v>216.1</v>
      </c>
      <c r="F120" s="67">
        <v>18.7</v>
      </c>
      <c r="G120" s="67" t="s">
        <v>176</v>
      </c>
      <c r="I120" s="67">
        <v>905.1</v>
      </c>
      <c r="J120" s="67" t="s">
        <v>176</v>
      </c>
      <c r="K120" s="68">
        <v>1153.3</v>
      </c>
      <c r="L120" s="67" t="s">
        <v>176</v>
      </c>
    </row>
    <row r="121" spans="1:12" x14ac:dyDescent="0.3">
      <c r="A121" s="67" t="s">
        <v>177</v>
      </c>
      <c r="B121" s="69">
        <v>45135</v>
      </c>
      <c r="C121" s="67">
        <v>14.2</v>
      </c>
      <c r="D121" s="67">
        <v>89.8</v>
      </c>
      <c r="E121" s="67">
        <v>217.1</v>
      </c>
      <c r="F121" s="67">
        <v>19.100000000000001</v>
      </c>
      <c r="G121" s="67" t="s">
        <v>176</v>
      </c>
      <c r="I121" s="67">
        <v>919.2</v>
      </c>
      <c r="J121" s="67" t="s">
        <v>176</v>
      </c>
      <c r="K121" s="68">
        <v>1163.5</v>
      </c>
      <c r="L121" s="67" t="s">
        <v>176</v>
      </c>
    </row>
    <row r="122" spans="1:12" x14ac:dyDescent="0.3">
      <c r="A122" s="67" t="s">
        <v>177</v>
      </c>
      <c r="B122" s="69">
        <v>45136</v>
      </c>
      <c r="C122" s="67">
        <v>18.5</v>
      </c>
      <c r="D122" s="67">
        <v>89.9</v>
      </c>
      <c r="E122" s="67">
        <v>217.8</v>
      </c>
      <c r="F122" s="67">
        <v>19.600000000000001</v>
      </c>
      <c r="G122" s="67" t="s">
        <v>176</v>
      </c>
      <c r="I122" s="67">
        <v>933.8</v>
      </c>
      <c r="J122" s="67" t="s">
        <v>176</v>
      </c>
      <c r="K122" s="68">
        <v>1178.0999999999999</v>
      </c>
      <c r="L122" s="67" t="s">
        <v>176</v>
      </c>
    </row>
    <row r="123" spans="1:12" x14ac:dyDescent="0.3">
      <c r="A123" s="67" t="s">
        <v>177</v>
      </c>
      <c r="B123" s="69">
        <v>45137</v>
      </c>
      <c r="C123" s="67">
        <v>21.2</v>
      </c>
      <c r="D123" s="67">
        <v>92.2</v>
      </c>
      <c r="E123" s="67">
        <v>218.1</v>
      </c>
      <c r="F123" s="67">
        <v>19</v>
      </c>
      <c r="G123" s="67" t="s">
        <v>176</v>
      </c>
      <c r="I123" s="67">
        <v>947.8</v>
      </c>
      <c r="J123" s="67" t="s">
        <v>176</v>
      </c>
      <c r="K123" s="68">
        <v>1195.9000000000001</v>
      </c>
      <c r="L123" s="67" t="s">
        <v>176</v>
      </c>
    </row>
    <row r="124" spans="1:12" x14ac:dyDescent="0.3">
      <c r="A124" s="67" t="s">
        <v>177</v>
      </c>
      <c r="B124" s="69">
        <v>45138</v>
      </c>
      <c r="C124" s="67">
        <v>21.7</v>
      </c>
      <c r="D124" s="67">
        <v>92.2</v>
      </c>
      <c r="E124" s="67">
        <v>218.7</v>
      </c>
      <c r="F124" s="67">
        <v>18.7</v>
      </c>
      <c r="G124" s="67" t="s">
        <v>176</v>
      </c>
      <c r="I124" s="67">
        <v>961.5</v>
      </c>
      <c r="J124" s="67" t="s">
        <v>176</v>
      </c>
      <c r="K124" s="68">
        <v>1212</v>
      </c>
      <c r="L124" s="67" t="s">
        <v>176</v>
      </c>
    </row>
    <row r="125" spans="1:12" x14ac:dyDescent="0.3">
      <c r="A125" s="67" t="s">
        <v>177</v>
      </c>
      <c r="B125" s="69">
        <v>45139</v>
      </c>
      <c r="C125" s="67">
        <v>19.899999999999999</v>
      </c>
      <c r="D125" s="67">
        <v>92.2</v>
      </c>
      <c r="E125" s="67">
        <v>220.4</v>
      </c>
      <c r="F125" s="67">
        <v>18.7</v>
      </c>
      <c r="G125" s="67" t="s">
        <v>176</v>
      </c>
      <c r="I125" s="67">
        <v>975.2</v>
      </c>
      <c r="J125" s="67" t="s">
        <v>176</v>
      </c>
      <c r="K125" s="68">
        <v>1226.5</v>
      </c>
      <c r="L125" s="67" t="s">
        <v>176</v>
      </c>
    </row>
    <row r="126" spans="1:12" x14ac:dyDescent="0.3">
      <c r="A126" s="67" t="s">
        <v>177</v>
      </c>
      <c r="B126" s="69">
        <v>45140</v>
      </c>
      <c r="C126" s="67">
        <v>20.3</v>
      </c>
      <c r="D126" s="67">
        <v>92.2</v>
      </c>
      <c r="E126" s="67">
        <v>222.8</v>
      </c>
      <c r="F126" s="67">
        <v>18.3</v>
      </c>
      <c r="G126" s="67" t="s">
        <v>176</v>
      </c>
      <c r="I126" s="67">
        <v>988.5</v>
      </c>
      <c r="J126" s="67" t="s">
        <v>176</v>
      </c>
      <c r="K126" s="68">
        <v>1241.0999999999999</v>
      </c>
      <c r="L126" s="67" t="s">
        <v>176</v>
      </c>
    </row>
    <row r="127" spans="1:12" x14ac:dyDescent="0.3">
      <c r="A127" s="67" t="s">
        <v>177</v>
      </c>
      <c r="B127" s="69">
        <v>45141</v>
      </c>
      <c r="C127" s="67">
        <v>20.9</v>
      </c>
      <c r="D127" s="67">
        <v>92.2</v>
      </c>
      <c r="E127" s="67">
        <v>223.3</v>
      </c>
      <c r="F127" s="67">
        <v>17.8</v>
      </c>
      <c r="G127" s="67" t="s">
        <v>176</v>
      </c>
      <c r="I127" s="68">
        <v>1001.3</v>
      </c>
      <c r="J127" s="67" t="s">
        <v>176</v>
      </c>
      <c r="K127" s="68">
        <v>1256.9000000000001</v>
      </c>
      <c r="L127" s="67" t="s">
        <v>176</v>
      </c>
    </row>
    <row r="128" spans="1:12" x14ac:dyDescent="0.3">
      <c r="A128" s="67" t="s">
        <v>177</v>
      </c>
      <c r="B128" s="69">
        <v>45142</v>
      </c>
      <c r="C128" s="67">
        <v>19.3</v>
      </c>
      <c r="D128" s="67">
        <v>92.2</v>
      </c>
      <c r="E128" s="67">
        <v>224.4</v>
      </c>
      <c r="F128" s="67">
        <v>18</v>
      </c>
      <c r="G128" s="67" t="s">
        <v>176</v>
      </c>
      <c r="I128" s="68">
        <v>1014.3</v>
      </c>
      <c r="J128" s="67" t="s">
        <v>176</v>
      </c>
      <c r="K128" s="68">
        <v>1271.9000000000001</v>
      </c>
      <c r="L128" s="67" t="s">
        <v>176</v>
      </c>
    </row>
    <row r="129" spans="1:12" x14ac:dyDescent="0.3">
      <c r="A129" s="67" t="s">
        <v>177</v>
      </c>
      <c r="B129" s="69">
        <v>45143</v>
      </c>
      <c r="C129" s="67">
        <v>18.8</v>
      </c>
      <c r="D129" s="67">
        <v>92.4</v>
      </c>
      <c r="E129" s="67">
        <v>225.1</v>
      </c>
      <c r="F129" s="67">
        <v>18.600000000000001</v>
      </c>
      <c r="G129" s="67" t="s">
        <v>176</v>
      </c>
      <c r="I129" s="68">
        <v>1027.9000000000001</v>
      </c>
      <c r="J129" s="67" t="s">
        <v>176</v>
      </c>
      <c r="K129" s="68">
        <v>1286.2</v>
      </c>
      <c r="L129" s="67" t="s">
        <v>176</v>
      </c>
    </row>
    <row r="130" spans="1:12" x14ac:dyDescent="0.3">
      <c r="A130" s="67" t="s">
        <v>177</v>
      </c>
      <c r="B130" s="69">
        <v>45144</v>
      </c>
      <c r="C130" s="67">
        <v>18.8</v>
      </c>
      <c r="D130" s="67">
        <v>92.4</v>
      </c>
      <c r="E130" s="67">
        <v>225.4</v>
      </c>
      <c r="F130" s="67">
        <v>19.100000000000001</v>
      </c>
      <c r="G130" s="67" t="s">
        <v>176</v>
      </c>
      <c r="I130" s="68">
        <v>1042</v>
      </c>
      <c r="J130" s="67" t="s">
        <v>176</v>
      </c>
      <c r="K130" s="68">
        <v>1300.7</v>
      </c>
      <c r="L130" s="67" t="s">
        <v>176</v>
      </c>
    </row>
    <row r="131" spans="1:12" x14ac:dyDescent="0.3">
      <c r="A131" s="67" t="s">
        <v>177</v>
      </c>
      <c r="B131" s="69">
        <v>45145</v>
      </c>
      <c r="C131" s="67">
        <v>19.5</v>
      </c>
      <c r="D131" s="67">
        <v>92.4</v>
      </c>
      <c r="E131" s="67">
        <v>226.7</v>
      </c>
      <c r="F131" s="67">
        <v>18.600000000000001</v>
      </c>
      <c r="G131" s="67" t="s">
        <v>176</v>
      </c>
      <c r="I131" s="68">
        <v>1055.5999999999999</v>
      </c>
      <c r="J131" s="67" t="s">
        <v>176</v>
      </c>
      <c r="K131" s="68">
        <v>1315.2</v>
      </c>
      <c r="L131" s="67" t="s">
        <v>176</v>
      </c>
    </row>
    <row r="132" spans="1:12" x14ac:dyDescent="0.3">
      <c r="A132" s="67" t="s">
        <v>177</v>
      </c>
      <c r="B132" s="69">
        <v>45146</v>
      </c>
      <c r="C132" s="67">
        <v>20.6</v>
      </c>
      <c r="D132" s="67">
        <v>92.5</v>
      </c>
      <c r="E132" s="67">
        <v>227.4</v>
      </c>
      <c r="F132" s="67">
        <v>17.7</v>
      </c>
      <c r="G132" s="67" t="s">
        <v>176</v>
      </c>
      <c r="I132" s="68">
        <v>1068.3</v>
      </c>
      <c r="J132" s="67" t="s">
        <v>176</v>
      </c>
      <c r="K132" s="68">
        <v>1330.4</v>
      </c>
      <c r="L132" s="67" t="s">
        <v>176</v>
      </c>
    </row>
    <row r="133" spans="1:12" x14ac:dyDescent="0.3">
      <c r="A133" s="67" t="s">
        <v>177</v>
      </c>
      <c r="B133" s="69">
        <v>45147</v>
      </c>
      <c r="C133" s="67">
        <v>18.5</v>
      </c>
      <c r="D133" s="67">
        <v>94.3</v>
      </c>
      <c r="E133" s="67">
        <v>227.7</v>
      </c>
      <c r="F133" s="67">
        <v>18.100000000000001</v>
      </c>
      <c r="G133" s="67" t="s">
        <v>176</v>
      </c>
      <c r="I133" s="68">
        <v>1081.4000000000001</v>
      </c>
      <c r="J133" s="67" t="s">
        <v>176</v>
      </c>
      <c r="K133" s="68">
        <v>1345</v>
      </c>
      <c r="L133" s="67" t="s">
        <v>176</v>
      </c>
    </row>
    <row r="134" spans="1:12" x14ac:dyDescent="0.3">
      <c r="A134" s="67" t="s">
        <v>177</v>
      </c>
      <c r="B134" s="69">
        <v>45148</v>
      </c>
      <c r="C134" s="67">
        <v>19</v>
      </c>
      <c r="D134" s="67">
        <v>94.3</v>
      </c>
      <c r="E134" s="67">
        <v>228.9</v>
      </c>
      <c r="F134" s="67">
        <v>18</v>
      </c>
      <c r="G134" s="67" t="s">
        <v>176</v>
      </c>
      <c r="I134" s="68">
        <v>1094.4000000000001</v>
      </c>
      <c r="J134" s="67" t="s">
        <v>176</v>
      </c>
      <c r="K134" s="68">
        <v>1359.1</v>
      </c>
      <c r="L134" s="67" t="s">
        <v>176</v>
      </c>
    </row>
    <row r="135" spans="1:12" x14ac:dyDescent="0.3">
      <c r="A135" s="67" t="s">
        <v>177</v>
      </c>
      <c r="B135" s="69">
        <v>45149</v>
      </c>
      <c r="C135" s="67">
        <v>17.100000000000001</v>
      </c>
      <c r="D135" s="67">
        <v>94.3</v>
      </c>
      <c r="E135" s="67">
        <v>230.8</v>
      </c>
      <c r="F135" s="67">
        <v>17.8</v>
      </c>
      <c r="G135" s="67" t="s">
        <v>176</v>
      </c>
      <c r="I135" s="68">
        <v>1107.2</v>
      </c>
      <c r="J135" s="67" t="s">
        <v>176</v>
      </c>
      <c r="K135" s="68">
        <v>1369.9</v>
      </c>
      <c r="L135" s="67" t="s">
        <v>176</v>
      </c>
    </row>
    <row r="136" spans="1:12" x14ac:dyDescent="0.3">
      <c r="A136" s="67" t="s">
        <v>177</v>
      </c>
      <c r="B136" s="69">
        <v>45150</v>
      </c>
      <c r="C136" s="67">
        <v>17.3</v>
      </c>
      <c r="D136" s="67">
        <v>94.3</v>
      </c>
      <c r="E136" s="67">
        <v>232.1</v>
      </c>
      <c r="F136" s="67">
        <v>17.600000000000001</v>
      </c>
      <c r="G136" s="67" t="s">
        <v>176</v>
      </c>
      <c r="I136" s="68">
        <v>1119.8</v>
      </c>
      <c r="J136" s="67" t="s">
        <v>176</v>
      </c>
      <c r="K136" s="68">
        <v>1381.6</v>
      </c>
      <c r="L136" s="67" t="s">
        <v>176</v>
      </c>
    </row>
    <row r="137" spans="1:12" x14ac:dyDescent="0.3">
      <c r="A137" s="67" t="s">
        <v>177</v>
      </c>
      <c r="B137" s="69">
        <v>45151</v>
      </c>
      <c r="C137" s="67">
        <v>19.5</v>
      </c>
      <c r="D137" s="67">
        <v>94.3</v>
      </c>
      <c r="E137" s="67">
        <v>233.7</v>
      </c>
      <c r="F137" s="67">
        <v>18</v>
      </c>
      <c r="G137" s="67" t="s">
        <v>176</v>
      </c>
      <c r="I137" s="68">
        <v>1132.8</v>
      </c>
      <c r="J137" s="67" t="s">
        <v>176</v>
      </c>
      <c r="K137" s="68">
        <v>1395.4</v>
      </c>
      <c r="L137" s="67" t="s">
        <v>176</v>
      </c>
    </row>
    <row r="138" spans="1:12" ht="15.6" x14ac:dyDescent="0.3">
      <c r="A138" s="67" t="s">
        <v>177</v>
      </c>
      <c r="B138" s="69">
        <v>45152</v>
      </c>
      <c r="C138" s="67">
        <v>23.3</v>
      </c>
      <c r="D138" s="110">
        <v>94.3</v>
      </c>
      <c r="E138" s="67">
        <v>234.6</v>
      </c>
      <c r="F138" s="67">
        <v>18.5</v>
      </c>
      <c r="G138" s="67" t="s">
        <v>176</v>
      </c>
      <c r="I138" s="68">
        <v>1146.3</v>
      </c>
      <c r="J138" s="67" t="s">
        <v>176</v>
      </c>
      <c r="K138" s="68">
        <v>1413.2</v>
      </c>
      <c r="L138" s="67" t="s">
        <v>176</v>
      </c>
    </row>
    <row r="139" spans="1:12" x14ac:dyDescent="0.3">
      <c r="B139" s="69"/>
      <c r="I139" s="68"/>
      <c r="K139" s="68"/>
    </row>
    <row r="140" spans="1:12" x14ac:dyDescent="0.3">
      <c r="B140" s="69"/>
      <c r="I140" s="68"/>
      <c r="K140" s="68"/>
    </row>
    <row r="141" spans="1:12" x14ac:dyDescent="0.3">
      <c r="B141" s="69"/>
      <c r="I141" s="68"/>
      <c r="K141" s="68"/>
    </row>
    <row r="142" spans="1:12" x14ac:dyDescent="0.3">
      <c r="A142" s="67" t="s">
        <v>177</v>
      </c>
      <c r="B142" s="69">
        <v>45153</v>
      </c>
      <c r="C142" s="67">
        <v>24.2</v>
      </c>
      <c r="D142" s="67">
        <v>94.3</v>
      </c>
      <c r="E142" s="67">
        <v>236.4</v>
      </c>
      <c r="F142" s="67">
        <v>17.5</v>
      </c>
      <c r="G142" s="67" t="s">
        <v>176</v>
      </c>
      <c r="I142" s="68">
        <v>1158.8</v>
      </c>
      <c r="J142" s="67" t="s">
        <v>176</v>
      </c>
      <c r="K142" s="68">
        <v>1432.1</v>
      </c>
      <c r="L142" s="67" t="s">
        <v>176</v>
      </c>
    </row>
    <row r="143" spans="1:12" x14ac:dyDescent="0.3">
      <c r="A143" s="67" t="s">
        <v>177</v>
      </c>
      <c r="B143" s="69">
        <v>45154</v>
      </c>
      <c r="C143" s="67">
        <v>21.3</v>
      </c>
      <c r="D143" s="67">
        <v>94.3</v>
      </c>
      <c r="E143" s="67">
        <v>239.8</v>
      </c>
      <c r="F143" s="67">
        <v>17.3</v>
      </c>
      <c r="G143" s="67" t="s">
        <v>176</v>
      </c>
      <c r="I143" s="68">
        <v>1171.0999999999999</v>
      </c>
      <c r="J143" s="67" t="s">
        <v>176</v>
      </c>
      <c r="K143" s="68">
        <v>1447.3</v>
      </c>
      <c r="L143" s="67" t="s">
        <v>176</v>
      </c>
    </row>
    <row r="144" spans="1:12" x14ac:dyDescent="0.3">
      <c r="A144" s="67" t="s">
        <v>177</v>
      </c>
      <c r="B144" s="69">
        <v>45155</v>
      </c>
      <c r="C144" s="67">
        <v>25.8</v>
      </c>
      <c r="D144" s="67">
        <v>94.3</v>
      </c>
      <c r="E144" s="67">
        <v>240.8</v>
      </c>
      <c r="F144" s="67">
        <v>17.899999999999999</v>
      </c>
      <c r="G144" s="67" t="s">
        <v>176</v>
      </c>
      <c r="I144" s="68">
        <v>1184</v>
      </c>
      <c r="J144" s="67" t="s">
        <v>176</v>
      </c>
      <c r="K144" s="68">
        <v>1467.1</v>
      </c>
      <c r="L144" s="67" t="s">
        <v>176</v>
      </c>
    </row>
    <row r="145" spans="1:12" x14ac:dyDescent="0.3">
      <c r="A145" s="67" t="s">
        <v>177</v>
      </c>
      <c r="B145" s="69">
        <v>45156</v>
      </c>
      <c r="C145" s="67">
        <v>18.8</v>
      </c>
      <c r="D145" s="67">
        <v>94.4</v>
      </c>
      <c r="E145" s="67">
        <v>241.2</v>
      </c>
      <c r="F145" s="67">
        <v>18</v>
      </c>
      <c r="G145" s="67" t="s">
        <v>176</v>
      </c>
      <c r="I145" s="68">
        <v>1197</v>
      </c>
      <c r="J145" s="67" t="s">
        <v>176</v>
      </c>
      <c r="K145" s="68">
        <v>1480.3</v>
      </c>
      <c r="L145" s="67" t="s">
        <v>176</v>
      </c>
    </row>
    <row r="146" spans="1:12" x14ac:dyDescent="0.3">
      <c r="A146" s="67" t="s">
        <v>177</v>
      </c>
      <c r="B146" s="69">
        <v>45157</v>
      </c>
      <c r="C146" s="67">
        <v>11.3</v>
      </c>
      <c r="D146" s="67">
        <v>94.4</v>
      </c>
      <c r="E146" s="67">
        <v>241.9</v>
      </c>
      <c r="F146" s="67">
        <v>18</v>
      </c>
      <c r="G146" s="67" t="s">
        <v>176</v>
      </c>
      <c r="I146" s="68">
        <v>1210</v>
      </c>
      <c r="J146" s="67" t="s">
        <v>176</v>
      </c>
      <c r="K146" s="68">
        <v>1486.8</v>
      </c>
      <c r="L146" s="67" t="s">
        <v>176</v>
      </c>
    </row>
    <row r="147" spans="1:12" x14ac:dyDescent="0.3">
      <c r="A147" s="67" t="s">
        <v>177</v>
      </c>
      <c r="B147" s="69">
        <v>45158</v>
      </c>
      <c r="C147" s="67">
        <v>15.2</v>
      </c>
      <c r="D147" s="67">
        <v>94.4</v>
      </c>
      <c r="E147" s="67">
        <v>242.2</v>
      </c>
      <c r="F147" s="67">
        <v>17.5</v>
      </c>
      <c r="G147" s="67" t="s">
        <v>176</v>
      </c>
      <c r="I147" s="68">
        <v>1222.5</v>
      </c>
      <c r="J147" s="67" t="s">
        <v>176</v>
      </c>
      <c r="K147" s="68">
        <v>1496.3</v>
      </c>
      <c r="L147" s="67" t="s">
        <v>176</v>
      </c>
    </row>
    <row r="148" spans="1:12" x14ac:dyDescent="0.3">
      <c r="A148" s="67" t="s">
        <v>177</v>
      </c>
      <c r="B148" s="69">
        <v>45159</v>
      </c>
      <c r="C148" s="67">
        <v>15.4</v>
      </c>
      <c r="D148" s="67">
        <v>104.4</v>
      </c>
      <c r="E148" s="67">
        <v>243</v>
      </c>
      <c r="F148" s="67">
        <v>17.899999999999999</v>
      </c>
      <c r="G148" s="67" t="s">
        <v>176</v>
      </c>
      <c r="I148" s="68">
        <v>1235.4000000000001</v>
      </c>
      <c r="J148" s="67" t="s">
        <v>176</v>
      </c>
      <c r="K148" s="68">
        <v>1506.5</v>
      </c>
      <c r="L148" s="67" t="s">
        <v>176</v>
      </c>
    </row>
    <row r="149" spans="1:12" x14ac:dyDescent="0.3">
      <c r="A149" s="67" t="s">
        <v>177</v>
      </c>
      <c r="B149" s="69">
        <v>45160</v>
      </c>
      <c r="C149" s="67">
        <v>17.7</v>
      </c>
      <c r="D149" s="67">
        <v>108.1</v>
      </c>
      <c r="E149" s="67">
        <v>244.2</v>
      </c>
      <c r="F149" s="67">
        <v>17.3</v>
      </c>
      <c r="G149" s="67" t="s">
        <v>176</v>
      </c>
      <c r="I149" s="68">
        <v>1247.8</v>
      </c>
      <c r="J149" s="67" t="s">
        <v>176</v>
      </c>
      <c r="K149" s="68">
        <v>1520.4</v>
      </c>
      <c r="L149" s="67" t="s">
        <v>176</v>
      </c>
    </row>
    <row r="150" spans="1:12" x14ac:dyDescent="0.3">
      <c r="A150" s="67" t="s">
        <v>177</v>
      </c>
      <c r="B150" s="69">
        <v>45161</v>
      </c>
      <c r="C150" s="67">
        <v>18.600000000000001</v>
      </c>
      <c r="D150" s="67">
        <v>108.2</v>
      </c>
      <c r="E150" s="67">
        <v>245.2</v>
      </c>
      <c r="F150" s="67">
        <v>17</v>
      </c>
      <c r="G150" s="67" t="s">
        <v>176</v>
      </c>
      <c r="I150" s="68">
        <v>1259.9000000000001</v>
      </c>
      <c r="J150" s="67" t="s">
        <v>176</v>
      </c>
      <c r="K150" s="68">
        <v>1534.4</v>
      </c>
      <c r="L150" s="67" t="s">
        <v>176</v>
      </c>
    </row>
    <row r="151" spans="1:12" x14ac:dyDescent="0.3">
      <c r="A151" s="67" t="s">
        <v>177</v>
      </c>
      <c r="B151" s="69">
        <v>45162</v>
      </c>
      <c r="C151" s="67">
        <v>17.100000000000001</v>
      </c>
      <c r="D151" s="67">
        <v>108.2</v>
      </c>
      <c r="E151" s="67">
        <v>247.5</v>
      </c>
      <c r="F151" s="67">
        <v>16.399999999999999</v>
      </c>
      <c r="G151" s="67" t="s">
        <v>176</v>
      </c>
      <c r="I151" s="68">
        <v>1271.3</v>
      </c>
      <c r="J151" s="67" t="s">
        <v>176</v>
      </c>
      <c r="K151" s="68">
        <v>1546.6</v>
      </c>
      <c r="L151" s="67" t="s">
        <v>176</v>
      </c>
    </row>
    <row r="152" spans="1:12" x14ac:dyDescent="0.3">
      <c r="A152" s="67" t="s">
        <v>177</v>
      </c>
      <c r="B152" s="69">
        <v>45163</v>
      </c>
      <c r="C152" s="67">
        <v>16.8</v>
      </c>
      <c r="D152" s="67">
        <v>108.2</v>
      </c>
      <c r="E152" s="67">
        <v>247.8</v>
      </c>
      <c r="F152" s="67">
        <v>16.600000000000001</v>
      </c>
      <c r="G152" s="67" t="s">
        <v>176</v>
      </c>
      <c r="I152" s="68">
        <v>1282.9000000000001</v>
      </c>
      <c r="J152" s="67" t="s">
        <v>176</v>
      </c>
      <c r="K152" s="68">
        <v>1558.1</v>
      </c>
      <c r="L152" s="67" t="s">
        <v>176</v>
      </c>
    </row>
    <row r="153" spans="1:12" x14ac:dyDescent="0.3">
      <c r="A153" s="67" t="s">
        <v>177</v>
      </c>
      <c r="B153" s="69">
        <v>45164</v>
      </c>
      <c r="C153" s="67">
        <v>21</v>
      </c>
      <c r="D153" s="67">
        <v>108.2</v>
      </c>
      <c r="E153" s="67">
        <v>248.6</v>
      </c>
      <c r="F153" s="67">
        <v>16.8</v>
      </c>
      <c r="G153" s="67" t="s">
        <v>176</v>
      </c>
      <c r="I153" s="68">
        <v>1294.7</v>
      </c>
      <c r="J153" s="67" t="s">
        <v>176</v>
      </c>
      <c r="K153" s="68">
        <v>1574</v>
      </c>
      <c r="L153" s="67" t="s">
        <v>176</v>
      </c>
    </row>
    <row r="154" spans="1:12" x14ac:dyDescent="0.3">
      <c r="A154" s="67" t="s">
        <v>177</v>
      </c>
      <c r="B154" s="69">
        <v>45165</v>
      </c>
      <c r="C154" s="67">
        <v>19.3</v>
      </c>
      <c r="D154" s="67">
        <v>108.2</v>
      </c>
      <c r="E154" s="67">
        <v>249.3</v>
      </c>
      <c r="F154" s="67">
        <v>17</v>
      </c>
      <c r="G154" s="67" t="s">
        <v>176</v>
      </c>
      <c r="I154" s="68">
        <v>1306.7</v>
      </c>
      <c r="J154" s="67" t="s">
        <v>176</v>
      </c>
      <c r="K154" s="68">
        <v>1588.4</v>
      </c>
      <c r="L154" s="67" t="s">
        <v>176</v>
      </c>
    </row>
    <row r="155" spans="1:12" x14ac:dyDescent="0.3">
      <c r="A155" s="67" t="s">
        <v>177</v>
      </c>
      <c r="B155" s="69">
        <v>45166</v>
      </c>
      <c r="C155" s="67">
        <v>21.2</v>
      </c>
      <c r="D155" s="67">
        <v>108.2</v>
      </c>
      <c r="E155" s="67">
        <v>250.1</v>
      </c>
      <c r="F155" s="67">
        <v>16.600000000000001</v>
      </c>
      <c r="G155" s="67" t="s">
        <v>176</v>
      </c>
      <c r="I155" s="68">
        <v>1318.3</v>
      </c>
      <c r="J155" s="67" t="s">
        <v>176</v>
      </c>
      <c r="K155" s="68">
        <v>1604</v>
      </c>
      <c r="L155" s="67" t="s">
        <v>176</v>
      </c>
    </row>
    <row r="156" spans="1:12" x14ac:dyDescent="0.3">
      <c r="A156" s="67" t="s">
        <v>177</v>
      </c>
      <c r="B156" s="69">
        <v>45167</v>
      </c>
      <c r="C156" s="67">
        <v>21.1</v>
      </c>
      <c r="D156" s="67">
        <v>108.2</v>
      </c>
      <c r="E156" s="67">
        <v>250.8</v>
      </c>
      <c r="F156" s="67">
        <v>17.399999999999999</v>
      </c>
      <c r="G156" s="67" t="s">
        <v>176</v>
      </c>
      <c r="I156" s="68">
        <v>1330.7</v>
      </c>
      <c r="J156" s="67" t="s">
        <v>176</v>
      </c>
      <c r="K156" s="68">
        <v>1619.8</v>
      </c>
      <c r="L156" s="67" t="s">
        <v>176</v>
      </c>
    </row>
    <row r="157" spans="1:12" x14ac:dyDescent="0.3">
      <c r="A157" s="67" t="s">
        <v>177</v>
      </c>
      <c r="B157" s="69">
        <v>45168</v>
      </c>
      <c r="C157" s="67">
        <v>17.7</v>
      </c>
      <c r="D157" s="67">
        <v>108.5</v>
      </c>
      <c r="E157" s="67">
        <v>251.6</v>
      </c>
      <c r="F157" s="67">
        <v>16.2</v>
      </c>
      <c r="G157" s="67" t="s">
        <v>176</v>
      </c>
      <c r="I157" s="68">
        <v>1341.9</v>
      </c>
      <c r="J157" s="67" t="s">
        <v>176</v>
      </c>
      <c r="K157" s="68">
        <v>1633.4</v>
      </c>
      <c r="L157" s="67" t="s">
        <v>176</v>
      </c>
    </row>
    <row r="158" spans="1:12" x14ac:dyDescent="0.3">
      <c r="A158" s="67" t="s">
        <v>177</v>
      </c>
      <c r="B158" s="69">
        <v>45169</v>
      </c>
      <c r="C158" s="67">
        <v>17.2</v>
      </c>
      <c r="D158" s="67">
        <v>116.2</v>
      </c>
      <c r="E158" s="67">
        <v>252.5</v>
      </c>
      <c r="F158" s="67">
        <v>15.8</v>
      </c>
      <c r="G158" s="67" t="s">
        <v>176</v>
      </c>
      <c r="I158" s="68">
        <v>1352.7</v>
      </c>
      <c r="J158" s="67" t="s">
        <v>176</v>
      </c>
      <c r="K158" s="68">
        <v>1645.9</v>
      </c>
      <c r="L158" s="67" t="s">
        <v>176</v>
      </c>
    </row>
    <row r="159" spans="1:12" x14ac:dyDescent="0.3">
      <c r="A159" s="67" t="s">
        <v>177</v>
      </c>
      <c r="B159" s="69">
        <v>45170</v>
      </c>
      <c r="C159" s="67">
        <v>16.399999999999999</v>
      </c>
      <c r="D159" s="67">
        <v>116.2</v>
      </c>
      <c r="E159" s="67">
        <v>253.2</v>
      </c>
      <c r="F159" s="67">
        <v>16.3</v>
      </c>
      <c r="G159" s="67" t="s">
        <v>176</v>
      </c>
      <c r="I159" s="68">
        <v>1364</v>
      </c>
      <c r="J159" s="67" t="s">
        <v>176</v>
      </c>
      <c r="K159" s="68">
        <v>1657.3</v>
      </c>
      <c r="L159" s="67" t="s">
        <v>176</v>
      </c>
    </row>
    <row r="160" spans="1:12" x14ac:dyDescent="0.3">
      <c r="A160" s="67" t="s">
        <v>177</v>
      </c>
      <c r="B160" s="69">
        <v>45171</v>
      </c>
      <c r="C160" s="67">
        <v>22.8</v>
      </c>
      <c r="D160" s="67">
        <v>116.2</v>
      </c>
      <c r="E160" s="67">
        <v>254.1</v>
      </c>
      <c r="F160" s="67">
        <v>15.8</v>
      </c>
      <c r="G160" s="67" t="s">
        <v>176</v>
      </c>
      <c r="I160" s="68">
        <v>1374.8</v>
      </c>
      <c r="J160" s="67" t="s">
        <v>176</v>
      </c>
      <c r="K160" s="68">
        <v>1674.9</v>
      </c>
      <c r="L160" s="67" t="s">
        <v>176</v>
      </c>
    </row>
    <row r="161" spans="1:12" x14ac:dyDescent="0.3">
      <c r="A161" s="67" t="s">
        <v>177</v>
      </c>
      <c r="B161" s="69">
        <v>45172</v>
      </c>
      <c r="C161" s="67">
        <v>22.3</v>
      </c>
      <c r="D161" s="67">
        <v>116.2</v>
      </c>
      <c r="E161" s="67">
        <v>255.7</v>
      </c>
      <c r="F161" s="67">
        <v>15.8</v>
      </c>
      <c r="G161" s="67" t="s">
        <v>176</v>
      </c>
      <c r="I161" s="68">
        <v>1385.6</v>
      </c>
      <c r="J161" s="67" t="s">
        <v>176</v>
      </c>
      <c r="K161" s="68">
        <v>1691</v>
      </c>
      <c r="L161" s="67" t="s">
        <v>176</v>
      </c>
    </row>
    <row r="162" spans="1:12" x14ac:dyDescent="0.3">
      <c r="A162" s="67" t="s">
        <v>177</v>
      </c>
      <c r="B162" s="69">
        <v>45173</v>
      </c>
      <c r="C162" s="67">
        <v>13</v>
      </c>
      <c r="D162" s="67">
        <v>116.3</v>
      </c>
      <c r="E162" s="67">
        <v>256.2</v>
      </c>
      <c r="F162" s="67">
        <v>14.8</v>
      </c>
      <c r="G162" s="67" t="s">
        <v>176</v>
      </c>
      <c r="I162" s="68">
        <v>1395.4</v>
      </c>
      <c r="J162" s="67" t="s">
        <v>176</v>
      </c>
      <c r="K162" s="68">
        <v>1698.4</v>
      </c>
      <c r="L162" s="67" t="s">
        <v>176</v>
      </c>
    </row>
    <row r="163" spans="1:12" x14ac:dyDescent="0.3">
      <c r="A163" s="67" t="s">
        <v>177</v>
      </c>
      <c r="B163" s="69">
        <v>45174</v>
      </c>
      <c r="C163" s="67">
        <v>15.3</v>
      </c>
      <c r="D163" s="67">
        <v>116.3</v>
      </c>
      <c r="E163" s="67">
        <v>258.2</v>
      </c>
      <c r="F163" s="67">
        <v>14.1</v>
      </c>
      <c r="G163" s="67" t="s">
        <v>176</v>
      </c>
      <c r="I163" s="68">
        <v>1404.5</v>
      </c>
      <c r="J163" s="67" t="s">
        <v>176</v>
      </c>
      <c r="K163" s="68">
        <v>1709.4</v>
      </c>
      <c r="L163" s="67" t="s">
        <v>176</v>
      </c>
    </row>
    <row r="164" spans="1:12" x14ac:dyDescent="0.3">
      <c r="A164" s="67" t="s">
        <v>177</v>
      </c>
      <c r="B164" s="69">
        <v>45175</v>
      </c>
      <c r="C164" s="67">
        <v>14.2</v>
      </c>
      <c r="D164" s="67">
        <v>116.3</v>
      </c>
      <c r="E164" s="67">
        <v>259.2</v>
      </c>
      <c r="F164" s="67">
        <v>14.3</v>
      </c>
      <c r="G164" s="67" t="s">
        <v>176</v>
      </c>
      <c r="I164" s="68">
        <v>1413.8</v>
      </c>
      <c r="J164" s="67" t="s">
        <v>176</v>
      </c>
      <c r="K164" s="68">
        <v>1719.2</v>
      </c>
      <c r="L164" s="67" t="s">
        <v>176</v>
      </c>
    </row>
    <row r="165" spans="1:12" x14ac:dyDescent="0.3">
      <c r="A165" s="67" t="s">
        <v>177</v>
      </c>
      <c r="B165" s="69">
        <v>45176</v>
      </c>
      <c r="C165" s="67">
        <v>14.7</v>
      </c>
      <c r="D165" s="67">
        <v>116.3</v>
      </c>
      <c r="E165" s="67">
        <v>260</v>
      </c>
      <c r="F165" s="67">
        <v>14.4</v>
      </c>
      <c r="G165" s="67" t="s">
        <v>176</v>
      </c>
      <c r="I165" s="68">
        <v>1423.2</v>
      </c>
      <c r="J165" s="67" t="s">
        <v>176</v>
      </c>
      <c r="K165" s="68">
        <v>1728.5</v>
      </c>
      <c r="L165" s="67" t="s">
        <v>176</v>
      </c>
    </row>
    <row r="166" spans="1:12" x14ac:dyDescent="0.3">
      <c r="A166" s="67" t="s">
        <v>177</v>
      </c>
      <c r="B166" s="69">
        <v>45177</v>
      </c>
      <c r="C166" s="67">
        <v>13.4</v>
      </c>
      <c r="D166" s="67">
        <v>116.3</v>
      </c>
      <c r="E166" s="67">
        <v>260.39999999999998</v>
      </c>
      <c r="F166" s="67">
        <v>14.3</v>
      </c>
      <c r="G166" s="67" t="s">
        <v>176</v>
      </c>
      <c r="I166" s="68">
        <v>1432.5</v>
      </c>
      <c r="J166" s="67" t="s">
        <v>176</v>
      </c>
      <c r="K166" s="68">
        <v>1737.7</v>
      </c>
      <c r="L166" s="67" t="s">
        <v>176</v>
      </c>
    </row>
    <row r="167" spans="1:12" x14ac:dyDescent="0.3">
      <c r="A167" s="67" t="s">
        <v>177</v>
      </c>
      <c r="B167" s="69">
        <v>45178</v>
      </c>
      <c r="C167" s="67">
        <v>12.9</v>
      </c>
      <c r="D167" s="67">
        <v>116.3</v>
      </c>
      <c r="E167" s="67">
        <v>262.10000000000002</v>
      </c>
      <c r="F167" s="67">
        <v>13.4</v>
      </c>
      <c r="G167" s="67" t="s">
        <v>176</v>
      </c>
      <c r="I167" s="68">
        <v>1441</v>
      </c>
      <c r="J167" s="67" t="s">
        <v>176</v>
      </c>
      <c r="K167" s="68">
        <v>1745.5</v>
      </c>
      <c r="L167" s="67" t="s">
        <v>176</v>
      </c>
    </row>
    <row r="168" spans="1:12" x14ac:dyDescent="0.3">
      <c r="A168" s="67" t="s">
        <v>177</v>
      </c>
      <c r="B168" s="69">
        <v>45179</v>
      </c>
      <c r="C168" s="67">
        <v>14.8</v>
      </c>
      <c r="D168" s="67">
        <v>116.3</v>
      </c>
      <c r="E168" s="67">
        <v>265.89999999999998</v>
      </c>
      <c r="F168" s="67">
        <v>13.5</v>
      </c>
      <c r="G168" s="67" t="s">
        <v>176</v>
      </c>
      <c r="I168" s="68">
        <v>1449.6</v>
      </c>
      <c r="J168" s="67" t="s">
        <v>176</v>
      </c>
      <c r="K168" s="68">
        <v>1754.7</v>
      </c>
      <c r="L168" s="67" t="s">
        <v>176</v>
      </c>
    </row>
    <row r="169" spans="1:12" x14ac:dyDescent="0.3">
      <c r="A169" s="67" t="s">
        <v>177</v>
      </c>
      <c r="B169" s="69">
        <v>45180</v>
      </c>
      <c r="C169" s="67">
        <v>17.399999999999999</v>
      </c>
      <c r="D169" s="67">
        <v>116.3</v>
      </c>
      <c r="E169" s="67">
        <v>267.7</v>
      </c>
      <c r="F169" s="67">
        <v>14</v>
      </c>
      <c r="G169" s="67" t="s">
        <v>176</v>
      </c>
      <c r="I169" s="68">
        <v>1458.6</v>
      </c>
      <c r="J169" s="67" t="s">
        <v>176</v>
      </c>
      <c r="K169" s="68">
        <v>1766.7</v>
      </c>
      <c r="L169" s="67" t="s">
        <v>176</v>
      </c>
    </row>
    <row r="170" spans="1:12" x14ac:dyDescent="0.3">
      <c r="A170" s="67" t="s">
        <v>177</v>
      </c>
      <c r="B170" s="69">
        <v>45181</v>
      </c>
      <c r="C170" s="67">
        <v>19</v>
      </c>
      <c r="D170" s="67">
        <v>116.3</v>
      </c>
      <c r="E170" s="67">
        <v>269.5</v>
      </c>
      <c r="F170" s="67">
        <v>13.4</v>
      </c>
      <c r="G170" s="67" t="s">
        <v>176</v>
      </c>
      <c r="I170" s="68">
        <v>1467</v>
      </c>
      <c r="J170" s="67" t="s">
        <v>176</v>
      </c>
      <c r="K170" s="68">
        <v>1781.9</v>
      </c>
      <c r="L170" s="67" t="s">
        <v>176</v>
      </c>
    </row>
    <row r="171" spans="1:12" x14ac:dyDescent="0.3">
      <c r="A171" s="67" t="s">
        <v>177</v>
      </c>
      <c r="B171" s="69">
        <v>45182</v>
      </c>
      <c r="C171" s="67">
        <v>17.899999999999999</v>
      </c>
      <c r="D171" s="67">
        <v>116.3</v>
      </c>
      <c r="E171" s="67">
        <v>270.39999999999998</v>
      </c>
      <c r="F171" s="67">
        <v>12.1</v>
      </c>
      <c r="G171" s="67" t="s">
        <v>176</v>
      </c>
      <c r="I171" s="68">
        <v>1474.2</v>
      </c>
      <c r="J171" s="67" t="s">
        <v>176</v>
      </c>
      <c r="K171" s="68">
        <v>1794.2</v>
      </c>
      <c r="L171" s="67" t="s">
        <v>176</v>
      </c>
    </row>
    <row r="172" spans="1:12" x14ac:dyDescent="0.3">
      <c r="A172" s="67" t="s">
        <v>177</v>
      </c>
      <c r="B172" s="69">
        <v>45183</v>
      </c>
      <c r="C172" s="67">
        <v>13.9</v>
      </c>
      <c r="D172" s="67">
        <v>116.3</v>
      </c>
      <c r="E172" s="67">
        <v>271</v>
      </c>
      <c r="F172" s="67">
        <v>12.6</v>
      </c>
      <c r="G172" s="67" t="s">
        <v>176</v>
      </c>
      <c r="I172" s="68">
        <v>1481.8</v>
      </c>
      <c r="J172" s="67" t="s">
        <v>176</v>
      </c>
      <c r="K172" s="68">
        <v>1803.4</v>
      </c>
      <c r="L172" s="67" t="s">
        <v>176</v>
      </c>
    </row>
    <row r="173" spans="1:12" x14ac:dyDescent="0.3">
      <c r="A173" s="67" t="s">
        <v>177</v>
      </c>
      <c r="B173" s="69">
        <v>45184</v>
      </c>
      <c r="C173" s="67">
        <v>16.100000000000001</v>
      </c>
      <c r="D173" s="67">
        <v>116.3</v>
      </c>
      <c r="E173" s="67">
        <v>272.7</v>
      </c>
      <c r="F173" s="67">
        <v>12.9</v>
      </c>
      <c r="G173" s="67" t="s">
        <v>176</v>
      </c>
      <c r="I173" s="68">
        <v>1489.7</v>
      </c>
      <c r="J173" s="67" t="s">
        <v>176</v>
      </c>
      <c r="K173" s="68">
        <v>1814.6</v>
      </c>
      <c r="L173" s="67" t="s">
        <v>176</v>
      </c>
    </row>
    <row r="174" spans="1:12" x14ac:dyDescent="0.3">
      <c r="A174" s="67" t="s">
        <v>177</v>
      </c>
      <c r="B174" s="69">
        <v>45185</v>
      </c>
      <c r="C174" s="67">
        <v>18.899999999999999</v>
      </c>
      <c r="D174" s="67">
        <v>116.3</v>
      </c>
      <c r="E174" s="67">
        <v>273.7</v>
      </c>
      <c r="F174" s="67">
        <v>13</v>
      </c>
      <c r="G174" s="67" t="s">
        <v>176</v>
      </c>
      <c r="I174" s="68">
        <v>1497.7</v>
      </c>
      <c r="J174" s="67" t="s">
        <v>176</v>
      </c>
      <c r="K174" s="68">
        <v>1829.2</v>
      </c>
      <c r="L174" s="67" t="s">
        <v>176</v>
      </c>
    </row>
    <row r="175" spans="1:12" x14ac:dyDescent="0.3">
      <c r="A175" s="67" t="s">
        <v>177</v>
      </c>
      <c r="B175" s="69">
        <v>45186</v>
      </c>
      <c r="C175" s="67">
        <v>19.3</v>
      </c>
      <c r="D175" s="67">
        <v>116.3</v>
      </c>
      <c r="E175" s="67">
        <v>275.60000000000002</v>
      </c>
      <c r="F175" s="67">
        <v>12</v>
      </c>
      <c r="G175" s="67" t="s">
        <v>176</v>
      </c>
      <c r="I175" s="68">
        <v>1504.9</v>
      </c>
      <c r="J175" s="67" t="s">
        <v>176</v>
      </c>
      <c r="K175" s="68">
        <v>1843.6</v>
      </c>
      <c r="L175" s="67" t="s">
        <v>176</v>
      </c>
    </row>
    <row r="176" spans="1:12" x14ac:dyDescent="0.3">
      <c r="A176" s="67" t="s">
        <v>177</v>
      </c>
      <c r="B176" s="69">
        <v>45187</v>
      </c>
      <c r="C176" s="67">
        <v>18.8</v>
      </c>
      <c r="D176" s="67">
        <v>116.3</v>
      </c>
      <c r="E176" s="67">
        <v>278.60000000000002</v>
      </c>
      <c r="F176" s="67">
        <v>11.8</v>
      </c>
      <c r="G176" s="67" t="s">
        <v>176</v>
      </c>
      <c r="I176" s="68">
        <v>1511.7</v>
      </c>
      <c r="J176" s="67" t="s">
        <v>176</v>
      </c>
      <c r="K176" s="68">
        <v>1856</v>
      </c>
      <c r="L176" s="67" t="s">
        <v>176</v>
      </c>
    </row>
    <row r="177" spans="1:12" x14ac:dyDescent="0.3">
      <c r="A177" s="67" t="s">
        <v>177</v>
      </c>
      <c r="B177" s="69">
        <v>45188</v>
      </c>
      <c r="C177" s="67">
        <v>11.2</v>
      </c>
      <c r="D177" s="67">
        <v>124.2</v>
      </c>
      <c r="E177" s="67">
        <v>279.8</v>
      </c>
      <c r="F177" s="67">
        <v>11.5</v>
      </c>
      <c r="G177" s="67" t="s">
        <v>176</v>
      </c>
      <c r="I177" s="68">
        <v>1518.2</v>
      </c>
      <c r="J177" s="67" t="s">
        <v>176</v>
      </c>
      <c r="K177" s="68">
        <v>1861.7</v>
      </c>
      <c r="L177" s="67" t="s">
        <v>176</v>
      </c>
    </row>
    <row r="178" spans="1:12" x14ac:dyDescent="0.3">
      <c r="A178" s="67" t="s">
        <v>177</v>
      </c>
      <c r="B178" s="69">
        <v>45189</v>
      </c>
      <c r="C178" s="67">
        <v>9.6</v>
      </c>
      <c r="D178" s="67">
        <v>124.3</v>
      </c>
      <c r="E178" s="67">
        <v>281.10000000000002</v>
      </c>
      <c r="F178" s="67">
        <v>10.5</v>
      </c>
      <c r="G178" s="67" t="s">
        <v>176</v>
      </c>
      <c r="I178" s="68">
        <v>1523.9</v>
      </c>
      <c r="J178" s="67" t="s">
        <v>176</v>
      </c>
      <c r="K178" s="68">
        <v>1866.4</v>
      </c>
      <c r="L178" s="67" t="s">
        <v>176</v>
      </c>
    </row>
    <row r="179" spans="1:12" x14ac:dyDescent="0.3">
      <c r="A179" s="67" t="s">
        <v>177</v>
      </c>
      <c r="B179" s="69">
        <v>45190</v>
      </c>
      <c r="C179" s="67">
        <v>10.9</v>
      </c>
      <c r="D179" s="67">
        <v>124.3</v>
      </c>
      <c r="E179" s="67">
        <v>282.2</v>
      </c>
      <c r="F179" s="67">
        <v>10.6</v>
      </c>
      <c r="G179" s="67" t="s">
        <v>176</v>
      </c>
      <c r="I179" s="68">
        <v>1529.7</v>
      </c>
      <c r="J179" s="67" t="s">
        <v>176</v>
      </c>
      <c r="K179" s="68">
        <v>1872.8</v>
      </c>
      <c r="L179" s="67" t="s">
        <v>176</v>
      </c>
    </row>
    <row r="180" spans="1:12" x14ac:dyDescent="0.3">
      <c r="A180" s="67" t="s">
        <v>177</v>
      </c>
      <c r="B180" s="69">
        <v>45191</v>
      </c>
      <c r="C180" s="67">
        <v>11.2</v>
      </c>
      <c r="D180" s="67">
        <v>125.1</v>
      </c>
      <c r="E180" s="67">
        <v>282.8</v>
      </c>
      <c r="F180" s="67">
        <v>11.4</v>
      </c>
      <c r="G180" s="67" t="s">
        <v>176</v>
      </c>
      <c r="I180" s="68">
        <v>1536.4</v>
      </c>
      <c r="J180" s="67" t="s">
        <v>176</v>
      </c>
      <c r="K180" s="68">
        <v>1878.6</v>
      </c>
      <c r="L180" s="67" t="s">
        <v>176</v>
      </c>
    </row>
    <row r="181" spans="1:12" x14ac:dyDescent="0.3">
      <c r="A181" s="67" t="s">
        <v>177</v>
      </c>
      <c r="B181" s="69">
        <v>45192</v>
      </c>
      <c r="C181" s="67">
        <v>12.6</v>
      </c>
      <c r="D181" s="67">
        <v>125.3</v>
      </c>
      <c r="E181" s="67">
        <v>283.5</v>
      </c>
      <c r="F181" s="67">
        <v>12.4</v>
      </c>
      <c r="G181" s="67" t="s">
        <v>176</v>
      </c>
      <c r="I181" s="68">
        <v>1543.9</v>
      </c>
      <c r="J181" s="67" t="s">
        <v>176</v>
      </c>
      <c r="K181" s="68">
        <v>1886.7</v>
      </c>
      <c r="L181" s="67" t="s">
        <v>176</v>
      </c>
    </row>
    <row r="182" spans="1:12" x14ac:dyDescent="0.3">
      <c r="A182" s="67" t="s">
        <v>177</v>
      </c>
      <c r="B182" s="69">
        <v>45193</v>
      </c>
      <c r="C182" s="67">
        <v>13.4</v>
      </c>
      <c r="D182" s="67">
        <v>125.3</v>
      </c>
      <c r="E182" s="67">
        <v>283.89999999999998</v>
      </c>
      <c r="F182" s="67">
        <v>12.6</v>
      </c>
      <c r="G182" s="67" t="s">
        <v>176</v>
      </c>
      <c r="I182" s="68">
        <v>1551.5</v>
      </c>
      <c r="J182" s="67" t="s">
        <v>176</v>
      </c>
      <c r="K182" s="68">
        <v>1895.1</v>
      </c>
      <c r="L182" s="67" t="s">
        <v>176</v>
      </c>
    </row>
    <row r="183" spans="1:12" x14ac:dyDescent="0.3">
      <c r="A183" s="67" t="s">
        <v>177</v>
      </c>
      <c r="B183" s="69">
        <v>45194</v>
      </c>
      <c r="C183" s="67">
        <v>15.4</v>
      </c>
      <c r="D183" s="67">
        <v>125.3</v>
      </c>
      <c r="E183" s="67">
        <v>284.7</v>
      </c>
      <c r="F183" s="67">
        <v>13.1</v>
      </c>
      <c r="G183" s="67" t="s">
        <v>176</v>
      </c>
      <c r="I183" s="68">
        <v>1559.6</v>
      </c>
      <c r="J183" s="67" t="s">
        <v>176</v>
      </c>
      <c r="K183" s="68">
        <v>1905.4</v>
      </c>
      <c r="L183" s="67" t="s">
        <v>176</v>
      </c>
    </row>
    <row r="184" spans="1:12" x14ac:dyDescent="0.3">
      <c r="A184" s="67" t="s">
        <v>177</v>
      </c>
      <c r="B184" s="69">
        <v>45195</v>
      </c>
      <c r="C184" s="67">
        <v>15.2</v>
      </c>
      <c r="D184" s="67">
        <v>125.3</v>
      </c>
      <c r="E184" s="67">
        <v>285</v>
      </c>
      <c r="F184" s="67">
        <v>12.1</v>
      </c>
      <c r="G184" s="67" t="s">
        <v>176</v>
      </c>
      <c r="I184" s="68">
        <v>1566.8</v>
      </c>
      <c r="J184" s="67" t="s">
        <v>176</v>
      </c>
      <c r="K184" s="68">
        <v>1916.2</v>
      </c>
      <c r="L184" s="67" t="s">
        <v>176</v>
      </c>
    </row>
    <row r="185" spans="1:12" x14ac:dyDescent="0.3">
      <c r="A185" s="67" t="s">
        <v>177</v>
      </c>
      <c r="B185" s="69">
        <v>45196</v>
      </c>
      <c r="C185" s="67">
        <v>11.5</v>
      </c>
      <c r="D185" s="67">
        <v>125.3</v>
      </c>
      <c r="E185" s="67">
        <v>285.60000000000002</v>
      </c>
      <c r="F185" s="67">
        <v>11.2</v>
      </c>
      <c r="G185" s="67" t="s">
        <v>176</v>
      </c>
      <c r="I185" s="68">
        <v>1573.1</v>
      </c>
      <c r="J185" s="67" t="s">
        <v>176</v>
      </c>
      <c r="K185" s="68">
        <v>1922.3</v>
      </c>
      <c r="L185" s="67" t="s">
        <v>176</v>
      </c>
    </row>
    <row r="186" spans="1:12" x14ac:dyDescent="0.3">
      <c r="A186" s="67" t="s">
        <v>177</v>
      </c>
      <c r="B186" s="69">
        <v>45197</v>
      </c>
      <c r="C186" s="67">
        <v>11.9</v>
      </c>
      <c r="D186" s="67">
        <v>125.3</v>
      </c>
      <c r="E186" s="67">
        <v>286.10000000000002</v>
      </c>
      <c r="F186" s="67">
        <v>11.6</v>
      </c>
      <c r="G186" s="67" t="s">
        <v>176</v>
      </c>
      <c r="I186" s="68">
        <v>1579.9</v>
      </c>
      <c r="J186" s="67" t="s">
        <v>176</v>
      </c>
      <c r="K186" s="68">
        <v>1929</v>
      </c>
      <c r="L186" s="67" t="s">
        <v>176</v>
      </c>
    </row>
    <row r="187" spans="1:12" x14ac:dyDescent="0.3">
      <c r="A187" s="67" t="s">
        <v>177</v>
      </c>
      <c r="B187" s="69">
        <v>45198</v>
      </c>
      <c r="C187" s="67">
        <v>8.9</v>
      </c>
      <c r="D187" s="67">
        <v>125.3</v>
      </c>
      <c r="E187" s="67">
        <v>287.10000000000002</v>
      </c>
      <c r="F187" s="67">
        <v>11.8</v>
      </c>
      <c r="G187" s="67" t="s">
        <v>176</v>
      </c>
      <c r="I187" s="68">
        <v>1587</v>
      </c>
      <c r="J187" s="67" t="s">
        <v>176</v>
      </c>
      <c r="K187" s="68">
        <v>1932.1</v>
      </c>
      <c r="L187" s="67" t="s">
        <v>176</v>
      </c>
    </row>
    <row r="188" spans="1:12" x14ac:dyDescent="0.3">
      <c r="A188" s="67" t="s">
        <v>177</v>
      </c>
      <c r="B188" s="69">
        <v>45199</v>
      </c>
      <c r="C188" s="67">
        <v>6.8</v>
      </c>
      <c r="D188" s="67">
        <v>140.4</v>
      </c>
      <c r="E188" s="67">
        <v>288.10000000000002</v>
      </c>
      <c r="F188" s="67">
        <v>10.3</v>
      </c>
      <c r="G188" s="67" t="s">
        <v>176</v>
      </c>
      <c r="I188" s="68">
        <v>1593</v>
      </c>
      <c r="J188" s="67" t="s">
        <v>176</v>
      </c>
      <c r="K188" s="68">
        <v>1934.2</v>
      </c>
      <c r="L188" s="67" t="s">
        <v>176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B1:BX112"/>
  <sheetViews>
    <sheetView zoomScale="60" zoomScaleNormal="60" workbookViewId="0">
      <pane xSplit="8" ySplit="4" topLeftCell="AX5" activePane="bottomRight" state="frozen"/>
      <selection pane="topRight" activeCell="J1" sqref="J1"/>
      <selection pane="bottomLeft" activeCell="A5" sqref="A5"/>
      <selection pane="bottomRight" activeCell="BW43" sqref="BW43"/>
    </sheetView>
  </sheetViews>
  <sheetFormatPr defaultColWidth="11" defaultRowHeight="15.6" x14ac:dyDescent="0.3"/>
  <cols>
    <col min="2" max="2" width="8.5" customWidth="1"/>
    <col min="3" max="3" width="12.5" customWidth="1"/>
    <col min="4" max="4" width="9.19921875" customWidth="1"/>
    <col min="5" max="5" width="7.69921875" customWidth="1"/>
    <col min="6" max="6" width="7.5" customWidth="1"/>
    <col min="7" max="7" width="13.69921875" customWidth="1"/>
    <col min="9" max="9" width="26.3984375" customWidth="1"/>
    <col min="10" max="11" width="10" customWidth="1"/>
    <col min="12" max="12" width="11.69921875" customWidth="1"/>
    <col min="13" max="13" width="9.19921875" customWidth="1"/>
    <col min="14" max="14" width="11.59765625" bestFit="1" customWidth="1"/>
    <col min="15" max="16" width="9.19921875" customWidth="1"/>
    <col min="17" max="17" width="11" style="58" customWidth="1"/>
    <col min="18" max="18" width="9.19921875" customWidth="1"/>
    <col min="19" max="19" width="11.59765625" bestFit="1" customWidth="1"/>
    <col min="20" max="21" width="9.19921875" customWidth="1"/>
    <col min="22" max="22" width="11" style="58" customWidth="1"/>
    <col min="23" max="23" width="9.19921875" customWidth="1"/>
    <col min="24" max="24" width="12" bestFit="1" customWidth="1"/>
    <col min="25" max="26" width="9.19921875" customWidth="1"/>
    <col min="27" max="27" width="11" style="58" customWidth="1"/>
    <col min="28" max="28" width="9.19921875" customWidth="1"/>
    <col min="29" max="29" width="10.69921875" bestFit="1" customWidth="1"/>
    <col min="30" max="31" width="9.19921875" customWidth="1"/>
    <col min="32" max="32" width="11" style="58" customWidth="1"/>
    <col min="33" max="33" width="9.19921875" customWidth="1"/>
    <col min="34" max="34" width="10.69921875" bestFit="1" customWidth="1"/>
    <col min="35" max="36" width="9.19921875" customWidth="1"/>
    <col min="37" max="37" width="11" style="58" customWidth="1"/>
    <col min="38" max="41" width="9.19921875" customWidth="1"/>
    <col min="42" max="42" width="11" style="58" customWidth="1"/>
    <col min="43" max="62" width="11" customWidth="1"/>
    <col min="63" max="63" width="9.19921875" customWidth="1"/>
    <col min="64" max="64" width="10.69921875" customWidth="1"/>
    <col min="65" max="65" width="18.5" customWidth="1"/>
    <col min="66" max="66" width="11" customWidth="1"/>
    <col min="67" max="67" width="12.69921875" customWidth="1"/>
    <col min="68" max="69" width="11" customWidth="1"/>
    <col min="70" max="70" width="11.69921875" customWidth="1"/>
    <col min="71" max="71" width="10.19921875" customWidth="1"/>
    <col min="72" max="72" width="11.69921875" customWidth="1"/>
    <col min="76" max="76" width="12" customWidth="1"/>
  </cols>
  <sheetData>
    <row r="1" spans="2:76" ht="16.2" thickBot="1" x14ac:dyDescent="0.35">
      <c r="BJ1" s="5" t="s">
        <v>16</v>
      </c>
      <c r="BK1" s="5"/>
      <c r="BL1" s="38">
        <v>45048</v>
      </c>
      <c r="BM1" s="63" t="s">
        <v>166</v>
      </c>
      <c r="BO1" s="39" t="s">
        <v>210</v>
      </c>
      <c r="BP1" s="40">
        <v>45152</v>
      </c>
    </row>
    <row r="2" spans="2:76" ht="16.2" thickBot="1" x14ac:dyDescent="0.35">
      <c r="H2" t="s">
        <v>153</v>
      </c>
      <c r="I2" t="s">
        <v>154</v>
      </c>
      <c r="J2" s="44" t="s">
        <v>108</v>
      </c>
      <c r="K2" s="45"/>
      <c r="L2" s="46">
        <f>0.2413</f>
        <v>0.24129999999999999</v>
      </c>
      <c r="M2" s="43" t="s">
        <v>90</v>
      </c>
      <c r="N2" s="61">
        <v>45089</v>
      </c>
      <c r="R2" s="43" t="s">
        <v>90</v>
      </c>
      <c r="S2" s="61">
        <v>45096</v>
      </c>
      <c r="W2" s="43" t="s">
        <v>90</v>
      </c>
      <c r="X2" s="61">
        <v>45103</v>
      </c>
      <c r="AB2" s="43" t="s">
        <v>90</v>
      </c>
      <c r="AC2" s="61">
        <v>45117</v>
      </c>
      <c r="AG2" s="43" t="s">
        <v>90</v>
      </c>
      <c r="AH2" s="61">
        <v>45134</v>
      </c>
      <c r="AI2" t="s">
        <v>165</v>
      </c>
      <c r="AL2" s="43" t="s">
        <v>90</v>
      </c>
      <c r="AM2" s="27"/>
      <c r="AR2" s="43" t="s">
        <v>90</v>
      </c>
      <c r="AS2" s="61">
        <v>45145</v>
      </c>
      <c r="AW2" s="43" t="s">
        <v>90</v>
      </c>
      <c r="AX2" s="61">
        <v>45131</v>
      </c>
      <c r="BA2" s="43" t="s">
        <v>90</v>
      </c>
      <c r="BB2" s="61">
        <v>45138</v>
      </c>
      <c r="BE2" s="43" t="s">
        <v>90</v>
      </c>
      <c r="BF2" s="61">
        <v>45145</v>
      </c>
      <c r="BJ2" s="39" t="s">
        <v>106</v>
      </c>
      <c r="BK2" s="39"/>
      <c r="BL2" s="40">
        <v>45134</v>
      </c>
      <c r="BO2" t="s">
        <v>41</v>
      </c>
      <c r="BP2" s="41">
        <f>6*9.5*2.54/100</f>
        <v>1.4478</v>
      </c>
    </row>
    <row r="3" spans="2:76" ht="30" customHeight="1" x14ac:dyDescent="0.3">
      <c r="D3" s="6"/>
      <c r="H3" t="s">
        <v>155</v>
      </c>
      <c r="I3" t="s">
        <v>156</v>
      </c>
      <c r="J3" s="113" t="s">
        <v>109</v>
      </c>
      <c r="K3" s="114"/>
      <c r="L3" s="115"/>
      <c r="M3" s="116" t="s">
        <v>89</v>
      </c>
      <c r="N3" s="117"/>
      <c r="O3" s="117"/>
      <c r="P3" s="117"/>
      <c r="Q3" s="118"/>
      <c r="R3" s="116" t="s">
        <v>89</v>
      </c>
      <c r="S3" s="117"/>
      <c r="T3" s="117"/>
      <c r="U3" s="117"/>
      <c r="V3" s="118"/>
      <c r="W3" s="116" t="s">
        <v>89</v>
      </c>
      <c r="X3" s="117"/>
      <c r="Y3" s="117"/>
      <c r="Z3" s="117"/>
      <c r="AA3" s="118"/>
      <c r="AB3" s="116" t="s">
        <v>89</v>
      </c>
      <c r="AC3" s="117"/>
      <c r="AD3" s="117"/>
      <c r="AE3" s="117"/>
      <c r="AF3" s="118"/>
      <c r="AG3" s="116" t="s">
        <v>89</v>
      </c>
      <c r="AH3" s="117"/>
      <c r="AI3" s="117"/>
      <c r="AJ3" s="117"/>
      <c r="AK3" s="118"/>
      <c r="AL3" s="116" t="s">
        <v>89</v>
      </c>
      <c r="AM3" s="117"/>
      <c r="AN3" s="117"/>
      <c r="AO3" s="117"/>
      <c r="AP3" s="118"/>
      <c r="AQ3" s="1"/>
      <c r="AR3" s="116" t="s">
        <v>93</v>
      </c>
      <c r="AS3" s="117"/>
      <c r="AT3" s="117"/>
      <c r="AU3" s="117"/>
      <c r="AV3" s="118"/>
      <c r="AW3" s="116" t="s">
        <v>95</v>
      </c>
      <c r="AX3" s="117"/>
      <c r="AY3" s="117"/>
      <c r="AZ3" s="118"/>
      <c r="BA3" s="116" t="s">
        <v>98</v>
      </c>
      <c r="BB3" s="117"/>
      <c r="BC3" s="117"/>
      <c r="BD3" s="118"/>
      <c r="BE3" s="116" t="s">
        <v>99</v>
      </c>
      <c r="BF3" s="117"/>
      <c r="BG3" s="117"/>
      <c r="BH3" s="118"/>
      <c r="BI3" s="119" t="s">
        <v>101</v>
      </c>
      <c r="BJ3" s="120"/>
      <c r="BK3" s="120"/>
      <c r="BL3" s="120"/>
      <c r="BM3" s="120"/>
      <c r="BN3" s="121"/>
      <c r="BS3" t="s">
        <v>17</v>
      </c>
      <c r="BT3" s="3" t="s">
        <v>18</v>
      </c>
      <c r="BV3" t="s">
        <v>105</v>
      </c>
      <c r="BW3" t="s">
        <v>105</v>
      </c>
    </row>
    <row r="4" spans="2:76" ht="96" customHeight="1" x14ac:dyDescent="0.3">
      <c r="B4" s="5" t="s">
        <v>19</v>
      </c>
      <c r="C4" s="5" t="s">
        <v>6</v>
      </c>
      <c r="D4" s="10" t="s">
        <v>20</v>
      </c>
      <c r="E4" s="11" t="s">
        <v>21</v>
      </c>
      <c r="F4" s="11" t="s">
        <v>1</v>
      </c>
      <c r="G4" s="11" t="s">
        <v>22</v>
      </c>
      <c r="H4" s="11" t="s">
        <v>48</v>
      </c>
      <c r="I4" s="7" t="s">
        <v>49</v>
      </c>
      <c r="J4" s="7" t="s">
        <v>110</v>
      </c>
      <c r="K4" s="8" t="s">
        <v>111</v>
      </c>
      <c r="L4" s="9" t="s">
        <v>23</v>
      </c>
      <c r="M4" s="7" t="s">
        <v>24</v>
      </c>
      <c r="N4" s="8" t="s">
        <v>25</v>
      </c>
      <c r="O4" s="8" t="s">
        <v>26</v>
      </c>
      <c r="P4" s="8" t="s">
        <v>27</v>
      </c>
      <c r="Q4" s="9" t="s">
        <v>79</v>
      </c>
      <c r="R4" s="7" t="s">
        <v>24</v>
      </c>
      <c r="S4" s="8" t="s">
        <v>25</v>
      </c>
      <c r="T4" s="8" t="s">
        <v>26</v>
      </c>
      <c r="U4" s="8" t="s">
        <v>27</v>
      </c>
      <c r="V4" s="9" t="s">
        <v>80</v>
      </c>
      <c r="W4" s="7" t="s">
        <v>24</v>
      </c>
      <c r="X4" s="8" t="s">
        <v>25</v>
      </c>
      <c r="Y4" s="8" t="s">
        <v>26</v>
      </c>
      <c r="Z4" s="8" t="s">
        <v>27</v>
      </c>
      <c r="AA4" s="9" t="s">
        <v>87</v>
      </c>
      <c r="AB4" s="7" t="s">
        <v>24</v>
      </c>
      <c r="AC4" s="8" t="s">
        <v>25</v>
      </c>
      <c r="AD4" s="8" t="s">
        <v>26</v>
      </c>
      <c r="AE4" s="8" t="s">
        <v>27</v>
      </c>
      <c r="AF4" s="9" t="s">
        <v>88</v>
      </c>
      <c r="AG4" s="7" t="s">
        <v>24</v>
      </c>
      <c r="AH4" s="8" t="s">
        <v>25</v>
      </c>
      <c r="AI4" s="8" t="s">
        <v>26</v>
      </c>
      <c r="AJ4" s="8" t="s">
        <v>27</v>
      </c>
      <c r="AK4" s="9" t="s">
        <v>91</v>
      </c>
      <c r="AL4" s="7" t="s">
        <v>24</v>
      </c>
      <c r="AM4" s="8" t="s">
        <v>25</v>
      </c>
      <c r="AN4" s="8" t="s">
        <v>26</v>
      </c>
      <c r="AO4" s="8" t="s">
        <v>27</v>
      </c>
      <c r="AP4" s="9" t="s">
        <v>92</v>
      </c>
      <c r="AQ4" s="36" t="s">
        <v>107</v>
      </c>
      <c r="AR4" s="7" t="s">
        <v>24</v>
      </c>
      <c r="AS4" s="8" t="s">
        <v>25</v>
      </c>
      <c r="AT4" s="8" t="s">
        <v>26</v>
      </c>
      <c r="AU4" s="8" t="s">
        <v>27</v>
      </c>
      <c r="AV4" s="36" t="s">
        <v>94</v>
      </c>
      <c r="AW4" s="7" t="s">
        <v>28</v>
      </c>
      <c r="AX4" s="8" t="s">
        <v>29</v>
      </c>
      <c r="AY4" s="8" t="s">
        <v>30</v>
      </c>
      <c r="AZ4" s="37" t="s">
        <v>96</v>
      </c>
      <c r="BA4" s="7" t="s">
        <v>28</v>
      </c>
      <c r="BB4" s="8" t="s">
        <v>29</v>
      </c>
      <c r="BC4" s="8" t="s">
        <v>30</v>
      </c>
      <c r="BD4" s="37" t="s">
        <v>97</v>
      </c>
      <c r="BE4" s="7" t="s">
        <v>28</v>
      </c>
      <c r="BF4" s="8" t="s">
        <v>29</v>
      </c>
      <c r="BG4" s="8" t="s">
        <v>30</v>
      </c>
      <c r="BH4" s="37" t="s">
        <v>100</v>
      </c>
      <c r="BI4" s="7" t="s">
        <v>43</v>
      </c>
      <c r="BJ4" s="8" t="s">
        <v>44</v>
      </c>
      <c r="BK4" s="8" t="s">
        <v>31</v>
      </c>
      <c r="BL4" s="8" t="s">
        <v>32</v>
      </c>
      <c r="BM4" s="8" t="s">
        <v>33</v>
      </c>
      <c r="BN4" s="9" t="s">
        <v>34</v>
      </c>
      <c r="BO4" s="7" t="s">
        <v>42</v>
      </c>
      <c r="BP4" s="8" t="s">
        <v>35</v>
      </c>
      <c r="BQ4" s="8" t="s">
        <v>47</v>
      </c>
      <c r="BR4" s="8" t="s">
        <v>102</v>
      </c>
      <c r="BS4" s="7" t="s">
        <v>36</v>
      </c>
      <c r="BT4" s="42" t="s">
        <v>37</v>
      </c>
      <c r="BU4" s="19" t="s">
        <v>38</v>
      </c>
      <c r="BV4" s="14" t="s">
        <v>103</v>
      </c>
      <c r="BW4" s="14" t="s">
        <v>104</v>
      </c>
      <c r="BX4" s="89" t="s">
        <v>39</v>
      </c>
    </row>
    <row r="5" spans="2:76" x14ac:dyDescent="0.3">
      <c r="B5" s="58">
        <v>2023</v>
      </c>
      <c r="C5" t="s">
        <v>46</v>
      </c>
      <c r="D5">
        <v>101</v>
      </c>
      <c r="E5">
        <v>1</v>
      </c>
      <c r="F5">
        <v>1</v>
      </c>
      <c r="G5" t="s">
        <v>40</v>
      </c>
      <c r="H5">
        <v>1</v>
      </c>
      <c r="I5" t="s">
        <v>0</v>
      </c>
      <c r="J5">
        <v>46</v>
      </c>
      <c r="K5">
        <v>32</v>
      </c>
      <c r="L5" s="16">
        <f>(AVERAGE(J5:K5))/L$2</f>
        <v>161.62453377538336</v>
      </c>
      <c r="M5">
        <v>50</v>
      </c>
      <c r="N5">
        <v>49</v>
      </c>
      <c r="O5">
        <v>50</v>
      </c>
      <c r="P5">
        <v>55</v>
      </c>
      <c r="Q5" s="62">
        <f>AVERAGE(M5:P5)</f>
        <v>51</v>
      </c>
      <c r="R5">
        <v>72</v>
      </c>
      <c r="S5">
        <v>72</v>
      </c>
      <c r="T5">
        <v>69</v>
      </c>
      <c r="U5">
        <v>70</v>
      </c>
      <c r="V5" s="62">
        <f>AVERAGE(R5:U5)</f>
        <v>70.75</v>
      </c>
      <c r="W5">
        <v>86</v>
      </c>
      <c r="X5">
        <v>87</v>
      </c>
      <c r="Y5">
        <v>88</v>
      </c>
      <c r="Z5">
        <v>91</v>
      </c>
      <c r="AA5" s="62">
        <f>AVERAGE(W5:Z5)</f>
        <v>88</v>
      </c>
      <c r="AB5">
        <v>96</v>
      </c>
      <c r="AC5">
        <v>97</v>
      </c>
      <c r="AD5">
        <v>105</v>
      </c>
      <c r="AE5">
        <v>101</v>
      </c>
      <c r="AF5" s="62">
        <f>AVERAGE(AB5:AE5)</f>
        <v>99.75</v>
      </c>
      <c r="AG5">
        <v>100</v>
      </c>
      <c r="AH5">
        <v>97</v>
      </c>
      <c r="AI5">
        <v>99</v>
      </c>
      <c r="AJ5">
        <v>92</v>
      </c>
      <c r="AK5" s="62">
        <f>AVERAGE(AG5:AJ5)</f>
        <v>97</v>
      </c>
      <c r="AP5" s="62" t="e">
        <f>AVERAGE(AL5:AO5)</f>
        <v>#DIV/0!</v>
      </c>
      <c r="AQ5" s="88">
        <v>45097</v>
      </c>
      <c r="AR5">
        <v>77</v>
      </c>
      <c r="AS5">
        <v>81</v>
      </c>
      <c r="AT5">
        <v>75</v>
      </c>
      <c r="AU5">
        <v>78</v>
      </c>
      <c r="AV5" s="62">
        <f t="shared" ref="AV5:AV36" si="0">AVERAGE(AR5:AU5)</f>
        <v>77.75</v>
      </c>
      <c r="AW5">
        <v>75</v>
      </c>
      <c r="AX5">
        <v>0</v>
      </c>
      <c r="AY5">
        <v>0</v>
      </c>
      <c r="AZ5" s="15">
        <f>((2*AW5)/3)+(AX5/3)+AY5</f>
        <v>50</v>
      </c>
      <c r="BA5">
        <v>5</v>
      </c>
      <c r="BB5">
        <v>0</v>
      </c>
      <c r="BC5">
        <v>0</v>
      </c>
      <c r="BD5" s="15">
        <f>((2*BA5)/3)+(BB5/3)+BC5</f>
        <v>3.3333333333333335</v>
      </c>
      <c r="BF5">
        <v>0</v>
      </c>
      <c r="BG5">
        <v>0</v>
      </c>
      <c r="BH5" s="15">
        <f>((2*BE5)/3)+(BF5/3)+BG5</f>
        <v>0</v>
      </c>
      <c r="BI5">
        <v>22.48</v>
      </c>
      <c r="BJ5">
        <v>16.72</v>
      </c>
      <c r="BK5" s="12">
        <f>(BI5-BJ5)/BI5*100</f>
        <v>25.62277580071175</v>
      </c>
      <c r="BL5" s="12">
        <f>(BK5-35)/2.5</f>
        <v>-3.7508896797153</v>
      </c>
      <c r="BM5" s="13">
        <f>BL$2+BL5</f>
        <v>45130.249110320285</v>
      </c>
      <c r="BN5" s="90">
        <f>BM5-BL$1</f>
        <v>82.249110320284672</v>
      </c>
      <c r="BO5">
        <v>6</v>
      </c>
      <c r="BP5" s="17">
        <f>BO5*BP$2</f>
        <v>8.6867999999999999</v>
      </c>
      <c r="BQ5">
        <v>8490</v>
      </c>
      <c r="BR5" s="15">
        <v>12.1</v>
      </c>
      <c r="BS5" s="15">
        <f>(BQ5*(100-BR5)/(100-13.5))/BP5*10000/1000</f>
        <v>9931.6323670675938</v>
      </c>
      <c r="BT5" s="15">
        <f>BS5*(2.204/48)*(1/2.47)</f>
        <v>184.62649913138478</v>
      </c>
      <c r="BU5" s="16">
        <v>69.617021276595736</v>
      </c>
      <c r="BV5" s="17">
        <v>5.09</v>
      </c>
      <c r="BW5" s="17">
        <v>5.15</v>
      </c>
      <c r="BX5" s="90">
        <f>(AVERAGE(BV5:BW5)*10)*((100-BR5)/(100-13.5))</f>
        <v>52.028670520231223</v>
      </c>
    </row>
    <row r="6" spans="2:76" x14ac:dyDescent="0.3">
      <c r="B6" s="58">
        <v>2023</v>
      </c>
      <c r="C6" t="s">
        <v>46</v>
      </c>
      <c r="D6">
        <v>102</v>
      </c>
      <c r="E6">
        <v>1</v>
      </c>
      <c r="F6">
        <v>2</v>
      </c>
      <c r="G6" t="s">
        <v>40</v>
      </c>
      <c r="H6">
        <v>2</v>
      </c>
      <c r="I6" t="s">
        <v>53</v>
      </c>
      <c r="J6">
        <v>41</v>
      </c>
      <c r="K6">
        <v>42</v>
      </c>
      <c r="L6" s="16">
        <f t="shared" ref="L6:L69" si="1">(AVERAGE(J6:K6))/L$2</f>
        <v>171.98508081226689</v>
      </c>
      <c r="M6">
        <v>39</v>
      </c>
      <c r="N6">
        <v>41</v>
      </c>
      <c r="O6">
        <v>43</v>
      </c>
      <c r="P6">
        <v>46</v>
      </c>
      <c r="Q6" s="62">
        <f t="shared" ref="Q6:Q69" si="2">AVERAGE(M6:P6)</f>
        <v>42.25</v>
      </c>
      <c r="R6">
        <v>63</v>
      </c>
      <c r="S6">
        <v>67</v>
      </c>
      <c r="T6">
        <v>61</v>
      </c>
      <c r="U6">
        <v>64</v>
      </c>
      <c r="V6" s="62">
        <f t="shared" ref="V6:V69" si="3">AVERAGE(R6:U6)</f>
        <v>63.75</v>
      </c>
      <c r="W6">
        <v>77</v>
      </c>
      <c r="X6">
        <v>80</v>
      </c>
      <c r="Y6">
        <v>67</v>
      </c>
      <c r="Z6">
        <v>64</v>
      </c>
      <c r="AA6" s="62">
        <f t="shared" ref="AA6:AA69" si="4">AVERAGE(W6:Z6)</f>
        <v>72</v>
      </c>
      <c r="AB6">
        <v>90</v>
      </c>
      <c r="AC6">
        <v>94</v>
      </c>
      <c r="AD6">
        <v>98</v>
      </c>
      <c r="AE6">
        <v>96</v>
      </c>
      <c r="AF6" s="62">
        <f t="shared" ref="AF6:AF69" si="5">AVERAGE(AB6:AE6)</f>
        <v>94.5</v>
      </c>
      <c r="AG6">
        <v>89</v>
      </c>
      <c r="AH6">
        <v>89</v>
      </c>
      <c r="AI6">
        <v>93</v>
      </c>
      <c r="AJ6">
        <v>96</v>
      </c>
      <c r="AK6" s="62">
        <f t="shared" ref="AK6:AK69" si="6">AVERAGE(AG6:AJ6)</f>
        <v>91.75</v>
      </c>
      <c r="AP6" s="62" t="e">
        <f t="shared" ref="AP6:AP69" si="7">AVERAGE(AL6:AO6)</f>
        <v>#DIV/0!</v>
      </c>
      <c r="AQ6" s="88">
        <v>45097</v>
      </c>
      <c r="AR6">
        <v>80</v>
      </c>
      <c r="AS6">
        <v>76</v>
      </c>
      <c r="AT6">
        <v>75</v>
      </c>
      <c r="AU6">
        <v>75</v>
      </c>
      <c r="AV6" s="62">
        <f t="shared" si="0"/>
        <v>76.5</v>
      </c>
      <c r="AW6">
        <v>30</v>
      </c>
      <c r="AX6">
        <v>0</v>
      </c>
      <c r="AY6">
        <v>0</v>
      </c>
      <c r="AZ6" s="15">
        <f t="shared" ref="AZ6:AZ69" si="8">((2*AW6)/3)+(AX6/3)+AY6</f>
        <v>20</v>
      </c>
      <c r="BA6">
        <v>10</v>
      </c>
      <c r="BD6" s="15">
        <f t="shared" ref="BD6:BD69" si="9">((2*BA6)/3)+(BB6/3)+BC6</f>
        <v>6.666666666666667</v>
      </c>
      <c r="BH6" s="15">
        <f t="shared" ref="BH6:BH69" si="10">((2*BE6)/3)+(BF6/3)+BG6</f>
        <v>0</v>
      </c>
      <c r="BI6">
        <v>18.96</v>
      </c>
      <c r="BJ6">
        <v>12.62</v>
      </c>
      <c r="BK6" s="12">
        <f t="shared" ref="BK6:BK69" si="11">(BI6-BJ6)/BI6*100</f>
        <v>33.438818565400851</v>
      </c>
      <c r="BL6" s="12">
        <f t="shared" ref="BL6:BL69" si="12">(BK6-35)/2.5</f>
        <v>-0.62447257383965959</v>
      </c>
      <c r="BM6" s="13">
        <f t="shared" ref="BM6:BM69" si="13">BL$2+BL6</f>
        <v>45133.375527426164</v>
      </c>
      <c r="BN6" s="90">
        <f t="shared" ref="BN6:BN69" si="14">BM6-BL$1</f>
        <v>85.375527426163899</v>
      </c>
      <c r="BO6">
        <v>6</v>
      </c>
      <c r="BP6" s="17">
        <f t="shared" ref="BP6:BP69" si="15">BO6*BP$2</f>
        <v>8.6867999999999999</v>
      </c>
      <c r="BQ6">
        <v>8370</v>
      </c>
      <c r="BR6" s="15">
        <v>11</v>
      </c>
      <c r="BS6" s="15">
        <f t="shared" ref="BS6:BS69" si="16">(BQ6*(100-BR6)/(100-13.5))/BP6*10000/1000</f>
        <v>9913.7858756399</v>
      </c>
      <c r="BT6" s="15">
        <f t="shared" ref="BT6:BT69" si="17">BS6*(2.204/48)*(1/2.47)</f>
        <v>184.29473743176737</v>
      </c>
      <c r="BU6" s="16">
        <v>69.914893617021278</v>
      </c>
      <c r="BV6" s="17">
        <v>5.2200000000000006</v>
      </c>
      <c r="BW6" s="17">
        <v>4.92</v>
      </c>
      <c r="BX6" s="90">
        <f t="shared" ref="BX6:BX69" si="18">(AVERAGE(BV6:BW6)*10)*((100-BR6)/(100-13.5))</f>
        <v>52.16531791907515</v>
      </c>
    </row>
    <row r="7" spans="2:76" x14ac:dyDescent="0.3">
      <c r="B7" s="58">
        <v>2023</v>
      </c>
      <c r="C7" t="s">
        <v>46</v>
      </c>
      <c r="D7">
        <v>103</v>
      </c>
      <c r="E7">
        <v>1</v>
      </c>
      <c r="F7">
        <v>3</v>
      </c>
      <c r="G7" t="s">
        <v>40</v>
      </c>
      <c r="H7">
        <v>3</v>
      </c>
      <c r="I7" t="s">
        <v>51</v>
      </c>
      <c r="J7">
        <v>36</v>
      </c>
      <c r="K7">
        <v>42</v>
      </c>
      <c r="L7" s="16">
        <f t="shared" si="1"/>
        <v>161.62453377538336</v>
      </c>
      <c r="M7">
        <v>40</v>
      </c>
      <c r="N7">
        <v>35</v>
      </c>
      <c r="O7">
        <v>45</v>
      </c>
      <c r="P7">
        <v>51</v>
      </c>
      <c r="Q7" s="62">
        <f t="shared" si="2"/>
        <v>42.75</v>
      </c>
      <c r="R7">
        <v>54</v>
      </c>
      <c r="S7">
        <v>54</v>
      </c>
      <c r="T7">
        <v>65</v>
      </c>
      <c r="U7">
        <v>62</v>
      </c>
      <c r="V7" s="62">
        <f t="shared" si="3"/>
        <v>58.75</v>
      </c>
      <c r="W7">
        <v>69</v>
      </c>
      <c r="X7">
        <v>77</v>
      </c>
      <c r="Y7">
        <v>66</v>
      </c>
      <c r="Z7">
        <v>68</v>
      </c>
      <c r="AA7" s="62">
        <f t="shared" si="4"/>
        <v>70</v>
      </c>
      <c r="AB7">
        <v>89</v>
      </c>
      <c r="AC7">
        <v>95</v>
      </c>
      <c r="AD7">
        <v>87</v>
      </c>
      <c r="AE7">
        <v>87</v>
      </c>
      <c r="AF7" s="62">
        <f t="shared" si="5"/>
        <v>89.5</v>
      </c>
      <c r="AG7">
        <v>92</v>
      </c>
      <c r="AH7">
        <v>89</v>
      </c>
      <c r="AI7">
        <v>93</v>
      </c>
      <c r="AJ7">
        <v>95</v>
      </c>
      <c r="AK7" s="62">
        <f t="shared" si="6"/>
        <v>92.25</v>
      </c>
      <c r="AP7" s="62" t="e">
        <f t="shared" si="7"/>
        <v>#DIV/0!</v>
      </c>
      <c r="AQ7" s="88">
        <v>45097</v>
      </c>
      <c r="AR7">
        <v>69</v>
      </c>
      <c r="AS7">
        <v>71</v>
      </c>
      <c r="AT7">
        <v>61</v>
      </c>
      <c r="AU7">
        <v>63</v>
      </c>
      <c r="AV7" s="62">
        <f t="shared" si="0"/>
        <v>66</v>
      </c>
      <c r="AW7">
        <v>10</v>
      </c>
      <c r="AX7">
        <v>0</v>
      </c>
      <c r="AY7">
        <v>0</v>
      </c>
      <c r="AZ7" s="15">
        <f t="shared" si="8"/>
        <v>6.666666666666667</v>
      </c>
      <c r="BD7" s="15">
        <f t="shared" si="9"/>
        <v>0</v>
      </c>
      <c r="BH7" s="15">
        <f t="shared" si="10"/>
        <v>0</v>
      </c>
      <c r="BI7">
        <v>17.350000000000001</v>
      </c>
      <c r="BJ7">
        <v>15.63</v>
      </c>
      <c r="BK7" s="12">
        <f t="shared" si="11"/>
        <v>9.9135446685878996</v>
      </c>
      <c r="BL7" s="12">
        <f t="shared" si="12"/>
        <v>-10.034582132564839</v>
      </c>
      <c r="BM7" s="13">
        <f t="shared" si="13"/>
        <v>45123.965417867432</v>
      </c>
      <c r="BN7" s="90">
        <f t="shared" si="14"/>
        <v>75.965417867431825</v>
      </c>
      <c r="BO7">
        <v>6</v>
      </c>
      <c r="BP7" s="17">
        <f t="shared" si="15"/>
        <v>8.6867999999999999</v>
      </c>
      <c r="BQ7">
        <v>8510</v>
      </c>
      <c r="BR7" s="15">
        <v>12.7</v>
      </c>
      <c r="BS7" s="15">
        <f t="shared" si="16"/>
        <v>9887.0760260534844</v>
      </c>
      <c r="BT7" s="15">
        <f t="shared" si="17"/>
        <v>183.79820817663528</v>
      </c>
      <c r="BU7" s="16">
        <v>69.531914893617028</v>
      </c>
      <c r="BV7" s="17">
        <v>4.8499999999999996</v>
      </c>
      <c r="BW7" s="17">
        <v>4.9000000000000004</v>
      </c>
      <c r="BX7" s="90">
        <f t="shared" si="18"/>
        <v>49.200867052023121</v>
      </c>
    </row>
    <row r="8" spans="2:76" x14ac:dyDescent="0.3">
      <c r="B8" s="58">
        <v>2023</v>
      </c>
      <c r="C8" t="s">
        <v>46</v>
      </c>
      <c r="D8">
        <v>104</v>
      </c>
      <c r="E8">
        <v>1</v>
      </c>
      <c r="F8">
        <v>4</v>
      </c>
      <c r="G8" t="s">
        <v>40</v>
      </c>
      <c r="H8">
        <v>4</v>
      </c>
      <c r="I8" t="s">
        <v>52</v>
      </c>
      <c r="J8">
        <v>38</v>
      </c>
      <c r="K8">
        <v>33</v>
      </c>
      <c r="L8" s="16">
        <f t="shared" si="1"/>
        <v>147.11976792374639</v>
      </c>
      <c r="M8">
        <v>46</v>
      </c>
      <c r="N8">
        <v>44</v>
      </c>
      <c r="O8">
        <v>48</v>
      </c>
      <c r="P8">
        <v>48</v>
      </c>
      <c r="Q8" s="62">
        <f t="shared" si="2"/>
        <v>46.5</v>
      </c>
      <c r="R8">
        <v>56</v>
      </c>
      <c r="S8">
        <v>53</v>
      </c>
      <c r="T8">
        <v>55</v>
      </c>
      <c r="U8">
        <v>65</v>
      </c>
      <c r="V8" s="62">
        <f t="shared" si="3"/>
        <v>57.25</v>
      </c>
      <c r="W8">
        <v>70</v>
      </c>
      <c r="X8">
        <v>70</v>
      </c>
      <c r="Y8">
        <v>72</v>
      </c>
      <c r="Z8">
        <v>76</v>
      </c>
      <c r="AA8" s="62">
        <f t="shared" si="4"/>
        <v>72</v>
      </c>
      <c r="AB8">
        <v>85</v>
      </c>
      <c r="AC8">
        <v>85</v>
      </c>
      <c r="AD8">
        <v>86</v>
      </c>
      <c r="AE8">
        <v>88</v>
      </c>
      <c r="AF8" s="62">
        <f t="shared" si="5"/>
        <v>86</v>
      </c>
      <c r="AG8">
        <v>84</v>
      </c>
      <c r="AH8">
        <v>84</v>
      </c>
      <c r="AI8">
        <v>83</v>
      </c>
      <c r="AJ8">
        <v>89</v>
      </c>
      <c r="AK8" s="62">
        <f t="shared" si="6"/>
        <v>85</v>
      </c>
      <c r="AP8" s="62" t="e">
        <f t="shared" si="7"/>
        <v>#DIV/0!</v>
      </c>
      <c r="AQ8" s="88">
        <v>45097</v>
      </c>
      <c r="AR8">
        <v>75</v>
      </c>
      <c r="AS8">
        <v>72</v>
      </c>
      <c r="AT8">
        <v>65</v>
      </c>
      <c r="AU8">
        <v>72</v>
      </c>
      <c r="AV8" s="62">
        <f t="shared" si="0"/>
        <v>71</v>
      </c>
      <c r="AW8">
        <v>5</v>
      </c>
      <c r="AX8">
        <v>0</v>
      </c>
      <c r="AY8">
        <v>0</v>
      </c>
      <c r="AZ8" s="15">
        <f t="shared" si="8"/>
        <v>3.3333333333333335</v>
      </c>
      <c r="BD8" s="15">
        <f t="shared" si="9"/>
        <v>0</v>
      </c>
      <c r="BH8" s="15">
        <f t="shared" si="10"/>
        <v>0</v>
      </c>
      <c r="BI8">
        <v>24.48</v>
      </c>
      <c r="BJ8">
        <v>16.05</v>
      </c>
      <c r="BK8" s="12">
        <f t="shared" si="11"/>
        <v>34.436274509803923</v>
      </c>
      <c r="BL8" s="12">
        <f t="shared" si="12"/>
        <v>-0.22549019607843093</v>
      </c>
      <c r="BM8" s="13">
        <f t="shared" si="13"/>
        <v>45133.774509803923</v>
      </c>
      <c r="BN8" s="90">
        <f t="shared" si="14"/>
        <v>85.774509803923138</v>
      </c>
      <c r="BO8">
        <v>6</v>
      </c>
      <c r="BP8" s="17">
        <f t="shared" si="15"/>
        <v>8.6867999999999999</v>
      </c>
      <c r="BQ8">
        <v>9020</v>
      </c>
      <c r="BR8" s="15">
        <v>12.7</v>
      </c>
      <c r="BS8" s="15">
        <f t="shared" si="16"/>
        <v>10479.603496475016</v>
      </c>
      <c r="BT8" s="15">
        <f t="shared" si="17"/>
        <v>194.81314192165092</v>
      </c>
      <c r="BU8" s="16">
        <v>69.574468085106375</v>
      </c>
      <c r="BV8" s="17">
        <v>5.0600000000000005</v>
      </c>
      <c r="BW8" s="17">
        <v>5.1100000000000003</v>
      </c>
      <c r="BX8" s="90">
        <f t="shared" si="18"/>
        <v>51.320289017341047</v>
      </c>
    </row>
    <row r="9" spans="2:76" x14ac:dyDescent="0.3">
      <c r="B9" s="58">
        <v>2023</v>
      </c>
      <c r="C9" t="s">
        <v>46</v>
      </c>
      <c r="D9">
        <v>105</v>
      </c>
      <c r="E9">
        <v>1</v>
      </c>
      <c r="F9">
        <v>5</v>
      </c>
      <c r="G9" t="s">
        <v>40</v>
      </c>
      <c r="H9">
        <v>5</v>
      </c>
      <c r="I9" t="s">
        <v>54</v>
      </c>
      <c r="J9">
        <v>48</v>
      </c>
      <c r="K9">
        <v>28</v>
      </c>
      <c r="L9" s="16">
        <f t="shared" si="1"/>
        <v>157.48031496062993</v>
      </c>
      <c r="M9">
        <v>43</v>
      </c>
      <c r="N9">
        <v>41</v>
      </c>
      <c r="O9">
        <v>38</v>
      </c>
      <c r="P9">
        <v>45</v>
      </c>
      <c r="Q9" s="62">
        <f t="shared" si="2"/>
        <v>41.75</v>
      </c>
      <c r="R9">
        <v>60</v>
      </c>
      <c r="S9">
        <v>55</v>
      </c>
      <c r="T9">
        <v>55</v>
      </c>
      <c r="U9">
        <v>61</v>
      </c>
      <c r="V9" s="62">
        <f t="shared" si="3"/>
        <v>57.75</v>
      </c>
      <c r="W9">
        <v>73</v>
      </c>
      <c r="X9">
        <v>72</v>
      </c>
      <c r="Y9">
        <v>72</v>
      </c>
      <c r="Z9">
        <v>76</v>
      </c>
      <c r="AA9" s="62">
        <f t="shared" si="4"/>
        <v>73.25</v>
      </c>
      <c r="AB9">
        <v>93</v>
      </c>
      <c r="AC9">
        <v>90</v>
      </c>
      <c r="AD9">
        <v>88</v>
      </c>
      <c r="AE9">
        <v>89</v>
      </c>
      <c r="AF9" s="62">
        <f t="shared" si="5"/>
        <v>90</v>
      </c>
      <c r="AG9">
        <v>88</v>
      </c>
      <c r="AH9">
        <v>81</v>
      </c>
      <c r="AI9">
        <v>92</v>
      </c>
      <c r="AJ9">
        <v>96</v>
      </c>
      <c r="AK9" s="62">
        <f t="shared" si="6"/>
        <v>89.25</v>
      </c>
      <c r="AP9" s="62" t="e">
        <f t="shared" si="7"/>
        <v>#DIV/0!</v>
      </c>
      <c r="AQ9" s="88">
        <v>45097</v>
      </c>
      <c r="AR9">
        <v>71</v>
      </c>
      <c r="AS9">
        <v>70</v>
      </c>
      <c r="AT9">
        <v>72</v>
      </c>
      <c r="AU9">
        <v>75</v>
      </c>
      <c r="AV9" s="62">
        <f t="shared" si="0"/>
        <v>72</v>
      </c>
      <c r="AW9">
        <v>20</v>
      </c>
      <c r="AX9">
        <v>0</v>
      </c>
      <c r="AY9">
        <v>0</v>
      </c>
      <c r="AZ9" s="15">
        <f t="shared" si="8"/>
        <v>13.333333333333334</v>
      </c>
      <c r="BD9" s="15">
        <f t="shared" si="9"/>
        <v>0</v>
      </c>
      <c r="BH9" s="15">
        <f t="shared" si="10"/>
        <v>0</v>
      </c>
      <c r="BI9">
        <v>25.55</v>
      </c>
      <c r="BJ9">
        <v>17.62</v>
      </c>
      <c r="BK9" s="12">
        <f t="shared" si="11"/>
        <v>31.037181996086105</v>
      </c>
      <c r="BL9" s="12">
        <f t="shared" si="12"/>
        <v>-1.5851272015655582</v>
      </c>
      <c r="BM9" s="13">
        <f t="shared" si="13"/>
        <v>45132.414872798436</v>
      </c>
      <c r="BN9" s="90">
        <f t="shared" si="14"/>
        <v>84.414872798435681</v>
      </c>
      <c r="BO9">
        <v>6</v>
      </c>
      <c r="BP9" s="17">
        <f t="shared" si="15"/>
        <v>8.6867999999999999</v>
      </c>
      <c r="BQ9">
        <v>9260</v>
      </c>
      <c r="BR9" s="15">
        <v>12.7</v>
      </c>
      <c r="BS9" s="15">
        <f t="shared" si="16"/>
        <v>10758.439953143976</v>
      </c>
      <c r="BT9" s="15">
        <f t="shared" si="17"/>
        <v>199.99664015459953</v>
      </c>
      <c r="BU9" s="16">
        <v>70.553191489361708</v>
      </c>
      <c r="BV9" s="17">
        <v>4.9399999999999995</v>
      </c>
      <c r="BW9" s="17">
        <v>4.9399999999999995</v>
      </c>
      <c r="BX9" s="90">
        <f t="shared" si="18"/>
        <v>49.856878612716756</v>
      </c>
    </row>
    <row r="10" spans="2:76" x14ac:dyDescent="0.3">
      <c r="B10" s="58">
        <v>2023</v>
      </c>
      <c r="C10" t="s">
        <v>46</v>
      </c>
      <c r="D10">
        <v>106</v>
      </c>
      <c r="E10">
        <v>1</v>
      </c>
      <c r="F10">
        <v>6</v>
      </c>
      <c r="G10" t="s">
        <v>40</v>
      </c>
      <c r="H10">
        <v>6</v>
      </c>
      <c r="I10" t="s">
        <v>55</v>
      </c>
      <c r="J10">
        <v>44</v>
      </c>
      <c r="K10">
        <v>42</v>
      </c>
      <c r="L10" s="16">
        <f t="shared" si="1"/>
        <v>178.20140903439702</v>
      </c>
      <c r="M10">
        <v>38</v>
      </c>
      <c r="N10">
        <v>40</v>
      </c>
      <c r="O10">
        <v>44</v>
      </c>
      <c r="P10">
        <v>41</v>
      </c>
      <c r="Q10" s="62">
        <f t="shared" si="2"/>
        <v>40.75</v>
      </c>
      <c r="R10">
        <v>45</v>
      </c>
      <c r="S10">
        <v>55</v>
      </c>
      <c r="T10">
        <v>55</v>
      </c>
      <c r="U10">
        <v>58</v>
      </c>
      <c r="V10" s="62">
        <f t="shared" si="3"/>
        <v>53.25</v>
      </c>
      <c r="W10">
        <v>59</v>
      </c>
      <c r="X10">
        <v>65</v>
      </c>
      <c r="Y10">
        <v>66</v>
      </c>
      <c r="Z10">
        <v>64</v>
      </c>
      <c r="AA10" s="62">
        <f t="shared" si="4"/>
        <v>63.5</v>
      </c>
      <c r="AB10">
        <v>74</v>
      </c>
      <c r="AC10">
        <v>70</v>
      </c>
      <c r="AD10">
        <v>79</v>
      </c>
      <c r="AE10">
        <v>77</v>
      </c>
      <c r="AF10" s="62">
        <f t="shared" si="5"/>
        <v>75</v>
      </c>
      <c r="AG10">
        <v>77</v>
      </c>
      <c r="AH10">
        <v>79</v>
      </c>
      <c r="AI10">
        <v>80</v>
      </c>
      <c r="AJ10">
        <v>92</v>
      </c>
      <c r="AK10" s="62">
        <f t="shared" si="6"/>
        <v>82</v>
      </c>
      <c r="AP10" s="62" t="e">
        <f t="shared" si="7"/>
        <v>#DIV/0!</v>
      </c>
      <c r="AQ10" s="88">
        <v>45097</v>
      </c>
      <c r="AR10">
        <v>60</v>
      </c>
      <c r="AS10">
        <v>56</v>
      </c>
      <c r="AT10">
        <v>58</v>
      </c>
      <c r="AU10">
        <v>61</v>
      </c>
      <c r="AV10" s="62">
        <f t="shared" si="0"/>
        <v>58.75</v>
      </c>
      <c r="AW10">
        <v>0</v>
      </c>
      <c r="AX10">
        <v>0</v>
      </c>
      <c r="AY10">
        <v>0</v>
      </c>
      <c r="AZ10" s="15">
        <f t="shared" si="8"/>
        <v>0</v>
      </c>
      <c r="BD10" s="15">
        <f t="shared" si="9"/>
        <v>0</v>
      </c>
      <c r="BH10" s="15">
        <f t="shared" si="10"/>
        <v>0</v>
      </c>
      <c r="BI10">
        <v>26.87</v>
      </c>
      <c r="BJ10">
        <v>16.149999999999999</v>
      </c>
      <c r="BK10" s="12">
        <f t="shared" si="11"/>
        <v>39.895794566430972</v>
      </c>
      <c r="BL10" s="12">
        <f t="shared" si="12"/>
        <v>1.9583178265723888</v>
      </c>
      <c r="BM10" s="13">
        <f t="shared" si="13"/>
        <v>45135.958317826575</v>
      </c>
      <c r="BN10" s="90">
        <f t="shared" si="14"/>
        <v>87.958317826574785</v>
      </c>
      <c r="BO10">
        <v>6</v>
      </c>
      <c r="BP10" s="17">
        <f t="shared" si="15"/>
        <v>8.6867999999999999</v>
      </c>
      <c r="BQ10">
        <v>9360</v>
      </c>
      <c r="BR10" s="15">
        <v>13.1</v>
      </c>
      <c r="BS10" s="15">
        <f t="shared" si="16"/>
        <v>10824.795364224132</v>
      </c>
      <c r="BT10" s="15">
        <f t="shared" si="17"/>
        <v>201.23017023237168</v>
      </c>
      <c r="BU10" s="16">
        <v>68.7659574468085</v>
      </c>
      <c r="BV10" s="17">
        <v>4.83</v>
      </c>
      <c r="BW10" s="17">
        <v>4.9399999999999995</v>
      </c>
      <c r="BX10" s="90">
        <f t="shared" si="18"/>
        <v>49.075895953757218</v>
      </c>
    </row>
    <row r="11" spans="2:76" x14ac:dyDescent="0.3">
      <c r="B11" s="58">
        <v>2023</v>
      </c>
      <c r="C11" t="s">
        <v>46</v>
      </c>
      <c r="D11">
        <v>107</v>
      </c>
      <c r="E11">
        <v>1</v>
      </c>
      <c r="F11">
        <v>7</v>
      </c>
      <c r="G11" t="s">
        <v>40</v>
      </c>
      <c r="H11">
        <v>7</v>
      </c>
      <c r="I11" t="s">
        <v>56</v>
      </c>
      <c r="J11">
        <v>39</v>
      </c>
      <c r="K11">
        <v>34</v>
      </c>
      <c r="L11" s="16">
        <f t="shared" si="1"/>
        <v>151.2639867384998</v>
      </c>
      <c r="M11">
        <v>48</v>
      </c>
      <c r="N11">
        <v>49</v>
      </c>
      <c r="O11">
        <v>43</v>
      </c>
      <c r="P11">
        <v>52</v>
      </c>
      <c r="Q11" s="62">
        <f t="shared" si="2"/>
        <v>48</v>
      </c>
      <c r="R11">
        <v>58</v>
      </c>
      <c r="S11">
        <v>64</v>
      </c>
      <c r="T11">
        <v>55</v>
      </c>
      <c r="U11">
        <v>64</v>
      </c>
      <c r="V11" s="62">
        <f t="shared" si="3"/>
        <v>60.25</v>
      </c>
      <c r="W11">
        <v>75</v>
      </c>
      <c r="X11">
        <v>71</v>
      </c>
      <c r="Y11">
        <v>75</v>
      </c>
      <c r="Z11">
        <v>76</v>
      </c>
      <c r="AA11" s="62">
        <f t="shared" si="4"/>
        <v>74.25</v>
      </c>
      <c r="AB11">
        <v>74</v>
      </c>
      <c r="AC11">
        <v>75</v>
      </c>
      <c r="AD11">
        <v>83</v>
      </c>
      <c r="AE11">
        <v>85</v>
      </c>
      <c r="AF11" s="62">
        <f t="shared" si="5"/>
        <v>79.25</v>
      </c>
      <c r="AG11">
        <v>84</v>
      </c>
      <c r="AH11">
        <v>84</v>
      </c>
      <c r="AI11">
        <v>81</v>
      </c>
      <c r="AJ11">
        <v>79</v>
      </c>
      <c r="AK11" s="62">
        <f t="shared" si="6"/>
        <v>82</v>
      </c>
      <c r="AP11" s="62" t="e">
        <f t="shared" si="7"/>
        <v>#DIV/0!</v>
      </c>
      <c r="AQ11" s="88">
        <v>45097</v>
      </c>
      <c r="AR11">
        <v>66</v>
      </c>
      <c r="AS11">
        <v>76</v>
      </c>
      <c r="AT11">
        <v>62</v>
      </c>
      <c r="AU11">
        <v>71</v>
      </c>
      <c r="AV11" s="62">
        <f t="shared" si="0"/>
        <v>68.75</v>
      </c>
      <c r="AW11">
        <v>5</v>
      </c>
      <c r="AX11">
        <v>0</v>
      </c>
      <c r="AY11">
        <v>0</v>
      </c>
      <c r="AZ11" s="15">
        <f t="shared" si="8"/>
        <v>3.3333333333333335</v>
      </c>
      <c r="BD11" s="15">
        <f t="shared" si="9"/>
        <v>0</v>
      </c>
      <c r="BH11" s="15">
        <f t="shared" si="10"/>
        <v>0</v>
      </c>
      <c r="BI11">
        <v>26.47</v>
      </c>
      <c r="BJ11">
        <v>17.170000000000002</v>
      </c>
      <c r="BK11" s="12">
        <f t="shared" si="11"/>
        <v>35.134114091424244</v>
      </c>
      <c r="BL11" s="12">
        <f t="shared" si="12"/>
        <v>5.3645636569697785E-2</v>
      </c>
      <c r="BM11" s="13">
        <f t="shared" si="13"/>
        <v>45134.053645636566</v>
      </c>
      <c r="BN11" s="90">
        <f t="shared" si="14"/>
        <v>86.053645636566216</v>
      </c>
      <c r="BO11">
        <v>6</v>
      </c>
      <c r="BP11" s="17">
        <f t="shared" si="15"/>
        <v>8.6867999999999999</v>
      </c>
      <c r="BQ11">
        <v>10360</v>
      </c>
      <c r="BR11" s="15">
        <v>12.8</v>
      </c>
      <c r="BS11" s="15">
        <f t="shared" si="16"/>
        <v>12022.652933518691</v>
      </c>
      <c r="BT11" s="15">
        <f t="shared" si="17"/>
        <v>223.49803530259106</v>
      </c>
      <c r="BU11" s="16">
        <v>70.893617021276597</v>
      </c>
      <c r="BV11" s="17">
        <v>5.18</v>
      </c>
      <c r="BW11" s="17">
        <v>5.0999999999999996</v>
      </c>
      <c r="BX11" s="90">
        <f t="shared" si="18"/>
        <v>51.815953757225429</v>
      </c>
    </row>
    <row r="12" spans="2:76" x14ac:dyDescent="0.3">
      <c r="B12" s="58">
        <v>2023</v>
      </c>
      <c r="C12" t="s">
        <v>46</v>
      </c>
      <c r="D12">
        <v>108</v>
      </c>
      <c r="E12">
        <v>1</v>
      </c>
      <c r="F12">
        <v>8</v>
      </c>
      <c r="G12" t="s">
        <v>40</v>
      </c>
      <c r="H12">
        <v>8</v>
      </c>
      <c r="I12" t="s">
        <v>57</v>
      </c>
      <c r="J12">
        <v>41</v>
      </c>
      <c r="K12">
        <v>34</v>
      </c>
      <c r="L12" s="16">
        <f t="shared" si="1"/>
        <v>155.40820555325323</v>
      </c>
      <c r="M12">
        <v>34</v>
      </c>
      <c r="N12">
        <v>39</v>
      </c>
      <c r="O12">
        <v>36</v>
      </c>
      <c r="P12">
        <v>49</v>
      </c>
      <c r="Q12" s="62">
        <f t="shared" si="2"/>
        <v>39.5</v>
      </c>
      <c r="R12">
        <v>60</v>
      </c>
      <c r="S12">
        <v>53</v>
      </c>
      <c r="T12">
        <v>53</v>
      </c>
      <c r="U12">
        <v>63</v>
      </c>
      <c r="V12" s="62">
        <f t="shared" si="3"/>
        <v>57.25</v>
      </c>
      <c r="W12">
        <v>70</v>
      </c>
      <c r="X12">
        <v>65</v>
      </c>
      <c r="Y12">
        <v>64</v>
      </c>
      <c r="Z12">
        <v>70</v>
      </c>
      <c r="AA12" s="62">
        <f t="shared" si="4"/>
        <v>67.25</v>
      </c>
      <c r="AB12">
        <v>92</v>
      </c>
      <c r="AC12">
        <v>95</v>
      </c>
      <c r="AD12">
        <v>91</v>
      </c>
      <c r="AE12">
        <v>91</v>
      </c>
      <c r="AF12" s="62">
        <f t="shared" si="5"/>
        <v>92.25</v>
      </c>
      <c r="AG12">
        <v>93</v>
      </c>
      <c r="AH12">
        <v>100</v>
      </c>
      <c r="AI12">
        <v>93</v>
      </c>
      <c r="AJ12">
        <v>93</v>
      </c>
      <c r="AK12" s="62">
        <f t="shared" si="6"/>
        <v>94.75</v>
      </c>
      <c r="AP12" s="62" t="e">
        <f t="shared" si="7"/>
        <v>#DIV/0!</v>
      </c>
      <c r="AQ12" s="88">
        <v>45097</v>
      </c>
      <c r="AR12">
        <v>81</v>
      </c>
      <c r="AS12">
        <v>84</v>
      </c>
      <c r="AT12">
        <v>77</v>
      </c>
      <c r="AU12">
        <v>74</v>
      </c>
      <c r="AV12" s="62">
        <f t="shared" si="0"/>
        <v>79</v>
      </c>
      <c r="AW12">
        <v>50</v>
      </c>
      <c r="AX12">
        <v>0</v>
      </c>
      <c r="AY12">
        <v>0</v>
      </c>
      <c r="AZ12" s="15">
        <f t="shared" si="8"/>
        <v>33.333333333333336</v>
      </c>
      <c r="BD12" s="15">
        <f t="shared" si="9"/>
        <v>0</v>
      </c>
      <c r="BH12" s="15">
        <f t="shared" si="10"/>
        <v>0</v>
      </c>
      <c r="BI12">
        <v>29.5</v>
      </c>
      <c r="BJ12">
        <v>18.39</v>
      </c>
      <c r="BK12" s="12">
        <f t="shared" si="11"/>
        <v>37.66101694915254</v>
      </c>
      <c r="BL12" s="12">
        <f t="shared" si="12"/>
        <v>1.0644067796610159</v>
      </c>
      <c r="BM12" s="13">
        <f>BL$2+BL12</f>
        <v>45135.06440677966</v>
      </c>
      <c r="BN12" s="90">
        <f t="shared" si="14"/>
        <v>87.064406779660203</v>
      </c>
      <c r="BO12">
        <v>6</v>
      </c>
      <c r="BP12" s="17">
        <f t="shared" si="15"/>
        <v>8.6867999999999999</v>
      </c>
      <c r="BQ12">
        <v>9730</v>
      </c>
      <c r="BR12" s="15">
        <v>12.6</v>
      </c>
      <c r="BS12" s="15">
        <f t="shared" si="16"/>
        <v>11317.44370104026</v>
      </c>
      <c r="BT12" s="15">
        <f t="shared" si="17"/>
        <v>210.38837649369714</v>
      </c>
      <c r="BU12" s="16">
        <v>70.808510638297875</v>
      </c>
      <c r="BV12" s="17">
        <v>4.95</v>
      </c>
      <c r="BW12" s="17">
        <v>4.96</v>
      </c>
      <c r="BX12" s="90">
        <f t="shared" si="18"/>
        <v>50.065549132947979</v>
      </c>
    </row>
    <row r="13" spans="2:76" x14ac:dyDescent="0.3">
      <c r="B13" s="58">
        <v>2023</v>
      </c>
      <c r="C13" t="s">
        <v>46</v>
      </c>
      <c r="D13">
        <v>109</v>
      </c>
      <c r="E13">
        <v>1</v>
      </c>
      <c r="F13">
        <v>9</v>
      </c>
      <c r="G13" t="s">
        <v>40</v>
      </c>
      <c r="H13">
        <v>9</v>
      </c>
      <c r="I13" t="s">
        <v>58</v>
      </c>
      <c r="J13">
        <v>34</v>
      </c>
      <c r="K13">
        <v>43</v>
      </c>
      <c r="L13" s="16">
        <f t="shared" si="1"/>
        <v>159.55242436800663</v>
      </c>
      <c r="M13">
        <v>46</v>
      </c>
      <c r="N13">
        <v>36</v>
      </c>
      <c r="O13">
        <v>38</v>
      </c>
      <c r="P13">
        <v>40</v>
      </c>
      <c r="Q13" s="62">
        <f t="shared" si="2"/>
        <v>40</v>
      </c>
      <c r="R13">
        <v>55</v>
      </c>
      <c r="S13">
        <v>55</v>
      </c>
      <c r="T13">
        <v>51</v>
      </c>
      <c r="U13">
        <v>62</v>
      </c>
      <c r="V13" s="62">
        <f t="shared" si="3"/>
        <v>55.75</v>
      </c>
      <c r="W13">
        <v>65</v>
      </c>
      <c r="X13">
        <v>65</v>
      </c>
      <c r="Y13">
        <v>64</v>
      </c>
      <c r="Z13">
        <v>72</v>
      </c>
      <c r="AA13" s="62">
        <f t="shared" si="4"/>
        <v>66.5</v>
      </c>
      <c r="AB13">
        <v>88</v>
      </c>
      <c r="AC13">
        <v>84</v>
      </c>
      <c r="AD13">
        <v>84</v>
      </c>
      <c r="AE13">
        <v>85</v>
      </c>
      <c r="AF13" s="62">
        <f t="shared" si="5"/>
        <v>85.25</v>
      </c>
      <c r="AG13">
        <v>87</v>
      </c>
      <c r="AH13">
        <v>82</v>
      </c>
      <c r="AI13">
        <v>84</v>
      </c>
      <c r="AJ13">
        <v>93</v>
      </c>
      <c r="AK13" s="62">
        <f t="shared" si="6"/>
        <v>86.5</v>
      </c>
      <c r="AP13" s="62" t="e">
        <f t="shared" si="7"/>
        <v>#DIV/0!</v>
      </c>
      <c r="AQ13" s="88">
        <v>45097</v>
      </c>
      <c r="AR13">
        <v>74</v>
      </c>
      <c r="AS13">
        <v>71</v>
      </c>
      <c r="AT13">
        <v>72</v>
      </c>
      <c r="AU13">
        <v>73</v>
      </c>
      <c r="AV13" s="62">
        <f t="shared" si="0"/>
        <v>72.5</v>
      </c>
      <c r="AW13">
        <v>20</v>
      </c>
      <c r="AX13">
        <v>0</v>
      </c>
      <c r="AY13">
        <v>0</v>
      </c>
      <c r="AZ13" s="15">
        <f t="shared" si="8"/>
        <v>13.333333333333334</v>
      </c>
      <c r="BD13" s="15">
        <f t="shared" si="9"/>
        <v>0</v>
      </c>
      <c r="BH13" s="15">
        <f t="shared" si="10"/>
        <v>0</v>
      </c>
      <c r="BI13">
        <v>27.89</v>
      </c>
      <c r="BJ13">
        <v>16.329999999999998</v>
      </c>
      <c r="BK13" s="12">
        <f t="shared" si="11"/>
        <v>41.448547866618867</v>
      </c>
      <c r="BL13" s="12">
        <f>(BK13-35)/2.5</f>
        <v>2.5794191466475467</v>
      </c>
      <c r="BM13" s="13">
        <f t="shared" si="13"/>
        <v>45136.579419146648</v>
      </c>
      <c r="BN13" s="90">
        <f t="shared" si="14"/>
        <v>88.579419146648434</v>
      </c>
      <c r="BO13">
        <v>6</v>
      </c>
      <c r="BP13" s="17">
        <f t="shared" si="15"/>
        <v>8.6867999999999999</v>
      </c>
      <c r="BQ13">
        <v>10400</v>
      </c>
      <c r="BR13" s="15">
        <v>12.8</v>
      </c>
      <c r="BS13" s="15">
        <f t="shared" si="16"/>
        <v>12069.072442914516</v>
      </c>
      <c r="BT13" s="15">
        <f t="shared" si="17"/>
        <v>224.36096207982112</v>
      </c>
      <c r="BU13" s="16">
        <v>70.638297872340416</v>
      </c>
      <c r="BV13" s="17">
        <v>4.63</v>
      </c>
      <c r="BW13" s="17">
        <v>4.93</v>
      </c>
      <c r="BX13" s="90">
        <f t="shared" si="18"/>
        <v>48.186820809248552</v>
      </c>
    </row>
    <row r="14" spans="2:76" x14ac:dyDescent="0.3">
      <c r="B14" s="58">
        <v>2023</v>
      </c>
      <c r="C14" t="s">
        <v>46</v>
      </c>
      <c r="D14">
        <v>110</v>
      </c>
      <c r="E14">
        <v>1</v>
      </c>
      <c r="F14">
        <v>10</v>
      </c>
      <c r="G14" t="s">
        <v>151</v>
      </c>
      <c r="H14">
        <v>1</v>
      </c>
      <c r="I14" t="s">
        <v>0</v>
      </c>
      <c r="J14">
        <v>33</v>
      </c>
      <c r="K14">
        <v>46</v>
      </c>
      <c r="L14" s="16">
        <f t="shared" si="1"/>
        <v>163.69664318276006</v>
      </c>
      <c r="M14">
        <v>49</v>
      </c>
      <c r="N14">
        <v>48</v>
      </c>
      <c r="O14">
        <v>41</v>
      </c>
      <c r="P14">
        <v>48</v>
      </c>
      <c r="Q14" s="62">
        <f t="shared" si="2"/>
        <v>46.5</v>
      </c>
      <c r="R14">
        <v>70</v>
      </c>
      <c r="S14">
        <v>70</v>
      </c>
      <c r="T14">
        <v>65</v>
      </c>
      <c r="U14">
        <v>68</v>
      </c>
      <c r="V14" s="62">
        <f t="shared" si="3"/>
        <v>68.25</v>
      </c>
      <c r="W14">
        <v>75</v>
      </c>
      <c r="X14">
        <v>82</v>
      </c>
      <c r="Y14">
        <v>82</v>
      </c>
      <c r="Z14">
        <v>75</v>
      </c>
      <c r="AA14" s="62">
        <f t="shared" si="4"/>
        <v>78.5</v>
      </c>
      <c r="AB14">
        <v>94</v>
      </c>
      <c r="AC14">
        <v>96</v>
      </c>
      <c r="AD14">
        <v>90</v>
      </c>
      <c r="AE14">
        <v>101</v>
      </c>
      <c r="AF14" s="62">
        <f t="shared" si="5"/>
        <v>95.25</v>
      </c>
      <c r="AG14">
        <v>103</v>
      </c>
      <c r="AH14">
        <v>96</v>
      </c>
      <c r="AI14">
        <v>94</v>
      </c>
      <c r="AJ14">
        <v>101</v>
      </c>
      <c r="AK14" s="62">
        <f t="shared" si="6"/>
        <v>98.5</v>
      </c>
      <c r="AP14" s="62" t="e">
        <f t="shared" si="7"/>
        <v>#DIV/0!</v>
      </c>
      <c r="AQ14" s="88">
        <v>45097</v>
      </c>
      <c r="AR14">
        <v>90</v>
      </c>
      <c r="AS14">
        <v>92</v>
      </c>
      <c r="AT14">
        <v>84</v>
      </c>
      <c r="AU14">
        <v>77</v>
      </c>
      <c r="AV14" s="62">
        <f t="shared" si="0"/>
        <v>85.75</v>
      </c>
      <c r="AW14">
        <v>70</v>
      </c>
      <c r="AX14">
        <v>0</v>
      </c>
      <c r="AY14">
        <v>0</v>
      </c>
      <c r="AZ14" s="15">
        <f t="shared" si="8"/>
        <v>46.666666666666664</v>
      </c>
      <c r="BA14">
        <v>30</v>
      </c>
      <c r="BD14" s="15">
        <f t="shared" si="9"/>
        <v>20</v>
      </c>
      <c r="BH14" s="15">
        <f t="shared" si="10"/>
        <v>0</v>
      </c>
      <c r="BI14">
        <v>23.06</v>
      </c>
      <c r="BJ14">
        <v>17.600000000000001</v>
      </c>
      <c r="BK14" s="12">
        <f t="shared" si="11"/>
        <v>23.677363399826529</v>
      </c>
      <c r="BL14" s="12">
        <f t="shared" si="12"/>
        <v>-4.5290546400693881</v>
      </c>
      <c r="BM14" s="13">
        <f t="shared" si="13"/>
        <v>45129.470945359928</v>
      </c>
      <c r="BN14" s="90">
        <f t="shared" si="14"/>
        <v>81.47094535992801</v>
      </c>
      <c r="BO14">
        <v>6</v>
      </c>
      <c r="BP14" s="17">
        <f t="shared" si="15"/>
        <v>8.6867999999999999</v>
      </c>
      <c r="BQ14">
        <v>9220</v>
      </c>
      <c r="BR14" s="15">
        <v>12.7</v>
      </c>
      <c r="BS14" s="15">
        <f t="shared" si="16"/>
        <v>10711.967210365818</v>
      </c>
      <c r="BT14" s="15">
        <f t="shared" si="17"/>
        <v>199.1327237824415</v>
      </c>
      <c r="BU14" s="16">
        <v>68.978723404255319</v>
      </c>
      <c r="BV14" s="17">
        <v>4.58</v>
      </c>
      <c r="BW14" s="17">
        <v>4.63</v>
      </c>
      <c r="BX14" s="90">
        <f t="shared" si="18"/>
        <v>46.475895953757231</v>
      </c>
    </row>
    <row r="15" spans="2:76" x14ac:dyDescent="0.3">
      <c r="B15" s="58">
        <v>2023</v>
      </c>
      <c r="C15" t="s">
        <v>46</v>
      </c>
      <c r="D15">
        <v>111</v>
      </c>
      <c r="E15">
        <v>1</v>
      </c>
      <c r="F15">
        <v>11</v>
      </c>
      <c r="G15" t="s">
        <v>151</v>
      </c>
      <c r="H15">
        <v>2</v>
      </c>
      <c r="I15" t="s">
        <v>53</v>
      </c>
      <c r="J15">
        <v>41</v>
      </c>
      <c r="K15">
        <v>46</v>
      </c>
      <c r="L15" s="16">
        <f t="shared" si="1"/>
        <v>180.27351844177375</v>
      </c>
      <c r="M15">
        <v>56</v>
      </c>
      <c r="N15">
        <v>38</v>
      </c>
      <c r="O15">
        <v>46</v>
      </c>
      <c r="P15">
        <v>36</v>
      </c>
      <c r="Q15" s="62">
        <f t="shared" si="2"/>
        <v>44</v>
      </c>
      <c r="R15">
        <v>70</v>
      </c>
      <c r="S15">
        <v>69</v>
      </c>
      <c r="T15">
        <v>64</v>
      </c>
      <c r="U15">
        <v>65</v>
      </c>
      <c r="V15" s="62">
        <f t="shared" si="3"/>
        <v>67</v>
      </c>
      <c r="W15">
        <v>85</v>
      </c>
      <c r="X15">
        <v>86</v>
      </c>
      <c r="Y15">
        <v>73</v>
      </c>
      <c r="Z15">
        <v>78</v>
      </c>
      <c r="AA15" s="62">
        <f t="shared" si="4"/>
        <v>80.5</v>
      </c>
      <c r="AB15">
        <v>97</v>
      </c>
      <c r="AC15">
        <v>98</v>
      </c>
      <c r="AD15">
        <v>103</v>
      </c>
      <c r="AE15">
        <v>97</v>
      </c>
      <c r="AF15" s="62">
        <f t="shared" si="5"/>
        <v>98.75</v>
      </c>
      <c r="AG15">
        <v>97</v>
      </c>
      <c r="AH15">
        <v>98</v>
      </c>
      <c r="AI15">
        <v>100</v>
      </c>
      <c r="AJ15">
        <v>89</v>
      </c>
      <c r="AK15" s="62">
        <f t="shared" si="6"/>
        <v>96</v>
      </c>
      <c r="AP15" s="62" t="e">
        <f t="shared" si="7"/>
        <v>#DIV/0!</v>
      </c>
      <c r="AQ15" s="88">
        <v>45097</v>
      </c>
      <c r="AR15">
        <v>85</v>
      </c>
      <c r="AS15">
        <v>83</v>
      </c>
      <c r="AT15">
        <v>75</v>
      </c>
      <c r="AU15">
        <v>74</v>
      </c>
      <c r="AV15" s="62">
        <f t="shared" si="0"/>
        <v>79.25</v>
      </c>
      <c r="AW15">
        <v>20</v>
      </c>
      <c r="AX15">
        <v>0</v>
      </c>
      <c r="AY15">
        <v>0</v>
      </c>
      <c r="AZ15" s="15">
        <f t="shared" si="8"/>
        <v>13.333333333333334</v>
      </c>
      <c r="BA15">
        <v>5</v>
      </c>
      <c r="BD15" s="15">
        <f t="shared" si="9"/>
        <v>3.3333333333333335</v>
      </c>
      <c r="BH15" s="15">
        <f t="shared" si="10"/>
        <v>0</v>
      </c>
      <c r="BI15">
        <v>18.010000000000002</v>
      </c>
      <c r="BJ15">
        <v>14.62</v>
      </c>
      <c r="BK15" s="12">
        <f t="shared" si="11"/>
        <v>18.822876179900067</v>
      </c>
      <c r="BL15" s="12">
        <f t="shared" si="12"/>
        <v>-6.4708495280399729</v>
      </c>
      <c r="BM15" s="13">
        <f t="shared" si="13"/>
        <v>45127.529150471957</v>
      </c>
      <c r="BN15" s="90">
        <f t="shared" si="14"/>
        <v>79.529150471957109</v>
      </c>
      <c r="BO15">
        <v>6</v>
      </c>
      <c r="BP15" s="17">
        <f t="shared" si="15"/>
        <v>8.6867999999999999</v>
      </c>
      <c r="BQ15">
        <v>10840</v>
      </c>
      <c r="BR15" s="15">
        <v>13.1</v>
      </c>
      <c r="BS15" s="15">
        <f t="shared" si="16"/>
        <v>12536.408306430514</v>
      </c>
      <c r="BT15" s="15">
        <f t="shared" si="17"/>
        <v>233.04861595287494</v>
      </c>
      <c r="BU15" s="16">
        <v>70.297872340425528</v>
      </c>
      <c r="BV15" s="17">
        <v>4.66</v>
      </c>
      <c r="BW15" s="17">
        <v>4.7700000000000005</v>
      </c>
      <c r="BX15" s="90">
        <f t="shared" si="18"/>
        <v>47.368034682080925</v>
      </c>
    </row>
    <row r="16" spans="2:76" x14ac:dyDescent="0.3">
      <c r="B16" s="58">
        <v>2023</v>
      </c>
      <c r="C16" t="s">
        <v>46</v>
      </c>
      <c r="D16">
        <v>112</v>
      </c>
      <c r="E16">
        <v>1</v>
      </c>
      <c r="F16">
        <v>12</v>
      </c>
      <c r="G16" t="s">
        <v>151</v>
      </c>
      <c r="H16">
        <v>3</v>
      </c>
      <c r="I16" t="s">
        <v>51</v>
      </c>
      <c r="J16">
        <v>44</v>
      </c>
      <c r="K16">
        <v>36</v>
      </c>
      <c r="L16" s="16">
        <f t="shared" si="1"/>
        <v>165.76875259013676</v>
      </c>
      <c r="M16">
        <v>55</v>
      </c>
      <c r="N16">
        <v>52</v>
      </c>
      <c r="O16">
        <v>49</v>
      </c>
      <c r="P16">
        <v>41</v>
      </c>
      <c r="Q16" s="62">
        <f t="shared" si="2"/>
        <v>49.25</v>
      </c>
      <c r="R16">
        <v>72</v>
      </c>
      <c r="S16">
        <v>74</v>
      </c>
      <c r="T16">
        <v>71</v>
      </c>
      <c r="U16">
        <v>70</v>
      </c>
      <c r="V16" s="62">
        <f t="shared" si="3"/>
        <v>71.75</v>
      </c>
      <c r="W16">
        <v>85</v>
      </c>
      <c r="X16">
        <v>87</v>
      </c>
      <c r="Y16">
        <v>90</v>
      </c>
      <c r="Z16">
        <v>90</v>
      </c>
      <c r="AA16" s="62">
        <f t="shared" si="4"/>
        <v>88</v>
      </c>
      <c r="AB16">
        <v>94</v>
      </c>
      <c r="AC16">
        <v>93</v>
      </c>
      <c r="AD16">
        <v>99</v>
      </c>
      <c r="AE16">
        <v>91</v>
      </c>
      <c r="AF16" s="62">
        <f t="shared" si="5"/>
        <v>94.25</v>
      </c>
      <c r="AG16">
        <v>96</v>
      </c>
      <c r="AH16">
        <v>94</v>
      </c>
      <c r="AI16">
        <v>99</v>
      </c>
      <c r="AJ16">
        <v>92</v>
      </c>
      <c r="AK16" s="62">
        <f t="shared" si="6"/>
        <v>95.25</v>
      </c>
      <c r="AP16" s="62" t="e">
        <f t="shared" si="7"/>
        <v>#DIV/0!</v>
      </c>
      <c r="AQ16" s="88">
        <v>45097</v>
      </c>
      <c r="AR16">
        <v>82</v>
      </c>
      <c r="AS16">
        <v>82</v>
      </c>
      <c r="AT16">
        <v>86</v>
      </c>
      <c r="AU16">
        <v>85</v>
      </c>
      <c r="AV16" s="62">
        <f t="shared" si="0"/>
        <v>83.75</v>
      </c>
      <c r="AW16">
        <v>60</v>
      </c>
      <c r="AX16">
        <v>0</v>
      </c>
      <c r="AY16">
        <v>0</v>
      </c>
      <c r="AZ16" s="15">
        <f t="shared" si="8"/>
        <v>40</v>
      </c>
      <c r="BA16">
        <v>20</v>
      </c>
      <c r="BD16" s="15">
        <f t="shared" si="9"/>
        <v>13.333333333333334</v>
      </c>
      <c r="BH16" s="15">
        <f t="shared" si="10"/>
        <v>0</v>
      </c>
      <c r="BI16">
        <v>21.24</v>
      </c>
      <c r="BJ16">
        <v>14.08</v>
      </c>
      <c r="BK16" s="12">
        <f t="shared" si="11"/>
        <v>33.709981167608284</v>
      </c>
      <c r="BL16" s="12">
        <f t="shared" si="12"/>
        <v>-0.51600753295668655</v>
      </c>
      <c r="BM16" s="13">
        <f t="shared" si="13"/>
        <v>45133.483992467045</v>
      </c>
      <c r="BN16" s="90">
        <f t="shared" si="14"/>
        <v>85.483992467045027</v>
      </c>
      <c r="BO16">
        <v>6</v>
      </c>
      <c r="BP16" s="17">
        <f t="shared" si="15"/>
        <v>8.6867999999999999</v>
      </c>
      <c r="BQ16">
        <v>10940</v>
      </c>
      <c r="BR16" s="15">
        <v>12.8</v>
      </c>
      <c r="BS16" s="15">
        <f t="shared" si="16"/>
        <v>12695.735819758156</v>
      </c>
      <c r="BT16" s="15">
        <f t="shared" si="17"/>
        <v>236.01047357242729</v>
      </c>
      <c r="BU16" s="16">
        <v>69.829787234042541</v>
      </c>
      <c r="BV16" s="17">
        <v>4.5</v>
      </c>
      <c r="BW16" s="17">
        <v>4.49</v>
      </c>
      <c r="BX16" s="90">
        <f t="shared" si="18"/>
        <v>45.313757225433527</v>
      </c>
    </row>
    <row r="17" spans="2:76" x14ac:dyDescent="0.3">
      <c r="B17" s="58">
        <v>2023</v>
      </c>
      <c r="C17" t="s">
        <v>46</v>
      </c>
      <c r="D17">
        <v>113</v>
      </c>
      <c r="E17">
        <v>1</v>
      </c>
      <c r="F17">
        <v>13</v>
      </c>
      <c r="G17" t="s">
        <v>151</v>
      </c>
      <c r="H17">
        <v>4</v>
      </c>
      <c r="I17" t="s">
        <v>52</v>
      </c>
      <c r="J17">
        <v>38</v>
      </c>
      <c r="K17">
        <v>30</v>
      </c>
      <c r="L17" s="16">
        <f t="shared" si="1"/>
        <v>140.90343970161626</v>
      </c>
      <c r="M17">
        <v>48</v>
      </c>
      <c r="N17">
        <v>45</v>
      </c>
      <c r="O17">
        <v>52</v>
      </c>
      <c r="P17">
        <v>41</v>
      </c>
      <c r="Q17" s="62">
        <f t="shared" si="2"/>
        <v>46.5</v>
      </c>
      <c r="R17">
        <v>68</v>
      </c>
      <c r="S17">
        <v>70</v>
      </c>
      <c r="T17">
        <v>68</v>
      </c>
      <c r="U17">
        <v>65</v>
      </c>
      <c r="V17" s="62">
        <f t="shared" si="3"/>
        <v>67.75</v>
      </c>
      <c r="W17">
        <v>80</v>
      </c>
      <c r="X17">
        <v>75</v>
      </c>
      <c r="Y17">
        <v>77</v>
      </c>
      <c r="Z17">
        <v>85</v>
      </c>
      <c r="AA17" s="62">
        <f t="shared" si="4"/>
        <v>79.25</v>
      </c>
      <c r="AB17">
        <v>89</v>
      </c>
      <c r="AC17">
        <v>90</v>
      </c>
      <c r="AD17">
        <v>91</v>
      </c>
      <c r="AE17">
        <v>98</v>
      </c>
      <c r="AF17" s="62">
        <f t="shared" si="5"/>
        <v>92</v>
      </c>
      <c r="AG17">
        <v>91</v>
      </c>
      <c r="AH17">
        <v>93</v>
      </c>
      <c r="AI17">
        <v>89</v>
      </c>
      <c r="AJ17">
        <v>97</v>
      </c>
      <c r="AK17" s="62">
        <f t="shared" si="6"/>
        <v>92.5</v>
      </c>
      <c r="AP17" s="62" t="e">
        <f t="shared" si="7"/>
        <v>#DIV/0!</v>
      </c>
      <c r="AQ17" s="88">
        <v>45097</v>
      </c>
      <c r="AR17">
        <v>80</v>
      </c>
      <c r="AS17">
        <v>79</v>
      </c>
      <c r="AT17">
        <v>74</v>
      </c>
      <c r="AU17">
        <v>80</v>
      </c>
      <c r="AV17" s="62">
        <f t="shared" si="0"/>
        <v>78.25</v>
      </c>
      <c r="AW17">
        <v>20</v>
      </c>
      <c r="AX17">
        <v>0</v>
      </c>
      <c r="AY17">
        <v>0</v>
      </c>
      <c r="AZ17" s="15">
        <f t="shared" si="8"/>
        <v>13.333333333333334</v>
      </c>
      <c r="BD17" s="15">
        <f t="shared" si="9"/>
        <v>0</v>
      </c>
      <c r="BH17" s="15">
        <f t="shared" si="10"/>
        <v>0</v>
      </c>
      <c r="BI17">
        <v>26.19</v>
      </c>
      <c r="BJ17">
        <v>16.010000000000002</v>
      </c>
      <c r="BK17" s="12">
        <f t="shared" si="11"/>
        <v>38.869797632684225</v>
      </c>
      <c r="BL17" s="12">
        <f t="shared" si="12"/>
        <v>1.5479190530736902</v>
      </c>
      <c r="BM17" s="13">
        <f t="shared" si="13"/>
        <v>45135.547919053075</v>
      </c>
      <c r="BN17" s="90">
        <f t="shared" si="14"/>
        <v>87.54791905307502</v>
      </c>
      <c r="BO17">
        <v>6</v>
      </c>
      <c r="BP17" s="17">
        <f t="shared" si="15"/>
        <v>8.6867999999999999</v>
      </c>
      <c r="BQ17">
        <v>10200</v>
      </c>
      <c r="BR17" s="15">
        <v>13.1</v>
      </c>
      <c r="BS17" s="15">
        <f t="shared" si="16"/>
        <v>11796.251358449377</v>
      </c>
      <c r="BT17" s="15">
        <f t="shared" si="17"/>
        <v>219.28928807373842</v>
      </c>
      <c r="BU17" s="16">
        <v>69.957446808510639</v>
      </c>
      <c r="BV17" s="17">
        <v>4.7</v>
      </c>
      <c r="BW17" s="17">
        <v>4.93</v>
      </c>
      <c r="BX17" s="90">
        <f t="shared" si="18"/>
        <v>48.372658959537567</v>
      </c>
    </row>
    <row r="18" spans="2:76" x14ac:dyDescent="0.3">
      <c r="B18" s="58">
        <v>2023</v>
      </c>
      <c r="C18" t="s">
        <v>46</v>
      </c>
      <c r="D18">
        <v>114</v>
      </c>
      <c r="E18">
        <v>1</v>
      </c>
      <c r="F18">
        <v>14</v>
      </c>
      <c r="G18" t="s">
        <v>151</v>
      </c>
      <c r="H18">
        <v>5</v>
      </c>
      <c r="I18" t="s">
        <v>54</v>
      </c>
      <c r="J18">
        <v>44</v>
      </c>
      <c r="K18">
        <v>39</v>
      </c>
      <c r="L18" s="16">
        <f t="shared" si="1"/>
        <v>171.98508081226689</v>
      </c>
      <c r="M18">
        <v>55</v>
      </c>
      <c r="N18">
        <v>56</v>
      </c>
      <c r="O18">
        <v>56</v>
      </c>
      <c r="P18">
        <v>51</v>
      </c>
      <c r="Q18" s="62">
        <f t="shared" si="2"/>
        <v>54.5</v>
      </c>
      <c r="R18">
        <v>70</v>
      </c>
      <c r="S18">
        <v>72</v>
      </c>
      <c r="T18">
        <v>75</v>
      </c>
      <c r="U18">
        <v>69</v>
      </c>
      <c r="V18" s="62">
        <f t="shared" si="3"/>
        <v>71.5</v>
      </c>
      <c r="W18">
        <v>75</v>
      </c>
      <c r="X18">
        <v>83</v>
      </c>
      <c r="Y18">
        <v>84</v>
      </c>
      <c r="Z18">
        <v>84</v>
      </c>
      <c r="AA18" s="62">
        <f t="shared" si="4"/>
        <v>81.5</v>
      </c>
      <c r="AB18">
        <v>89</v>
      </c>
      <c r="AC18">
        <v>84</v>
      </c>
      <c r="AD18">
        <v>95</v>
      </c>
      <c r="AE18">
        <v>92</v>
      </c>
      <c r="AF18" s="62">
        <f t="shared" si="5"/>
        <v>90</v>
      </c>
      <c r="AG18">
        <v>89</v>
      </c>
      <c r="AH18">
        <v>91</v>
      </c>
      <c r="AI18">
        <v>95</v>
      </c>
      <c r="AJ18">
        <v>87</v>
      </c>
      <c r="AK18" s="62">
        <f t="shared" si="6"/>
        <v>90.5</v>
      </c>
      <c r="AP18" s="62" t="e">
        <f t="shared" si="7"/>
        <v>#DIV/0!</v>
      </c>
      <c r="AQ18" s="88">
        <v>45097</v>
      </c>
      <c r="AR18">
        <v>71</v>
      </c>
      <c r="AS18">
        <v>77</v>
      </c>
      <c r="AT18">
        <v>77</v>
      </c>
      <c r="AU18">
        <v>75</v>
      </c>
      <c r="AV18" s="62">
        <f t="shared" si="0"/>
        <v>75</v>
      </c>
      <c r="AW18">
        <v>5</v>
      </c>
      <c r="AX18">
        <v>0</v>
      </c>
      <c r="AY18">
        <v>0</v>
      </c>
      <c r="AZ18" s="15">
        <f t="shared" si="8"/>
        <v>3.3333333333333335</v>
      </c>
      <c r="BD18" s="15">
        <f t="shared" si="9"/>
        <v>0</v>
      </c>
      <c r="BH18" s="15">
        <f t="shared" si="10"/>
        <v>0</v>
      </c>
      <c r="BI18">
        <v>22.44</v>
      </c>
      <c r="BJ18">
        <v>14.85</v>
      </c>
      <c r="BK18" s="12">
        <f t="shared" si="11"/>
        <v>33.82352941176471</v>
      </c>
      <c r="BL18" s="12">
        <f t="shared" si="12"/>
        <v>-0.47058823529411598</v>
      </c>
      <c r="BM18" s="13">
        <f t="shared" si="13"/>
        <v>45133.529411764706</v>
      </c>
      <c r="BN18" s="90">
        <f t="shared" si="14"/>
        <v>85.52941176470631</v>
      </c>
      <c r="BO18">
        <v>6</v>
      </c>
      <c r="BP18" s="17">
        <f t="shared" si="15"/>
        <v>8.6867999999999999</v>
      </c>
      <c r="BQ18">
        <v>10440</v>
      </c>
      <c r="BR18" s="15">
        <v>12.7</v>
      </c>
      <c r="BS18" s="15">
        <f t="shared" si="16"/>
        <v>12129.385865099688</v>
      </c>
      <c r="BT18" s="15">
        <f t="shared" si="17"/>
        <v>225.48217313326344</v>
      </c>
      <c r="BU18" s="16">
        <v>69.787234042553195</v>
      </c>
      <c r="BV18" s="17">
        <v>4.2200000000000006</v>
      </c>
      <c r="BW18" s="17">
        <v>4.34</v>
      </c>
      <c r="BX18" s="90">
        <f t="shared" si="18"/>
        <v>43.195838150289021</v>
      </c>
    </row>
    <row r="19" spans="2:76" x14ac:dyDescent="0.3">
      <c r="B19" s="58">
        <v>2023</v>
      </c>
      <c r="C19" t="s">
        <v>46</v>
      </c>
      <c r="D19">
        <v>115</v>
      </c>
      <c r="E19">
        <v>1</v>
      </c>
      <c r="F19">
        <v>15</v>
      </c>
      <c r="G19" t="s">
        <v>151</v>
      </c>
      <c r="H19">
        <v>6</v>
      </c>
      <c r="I19" t="s">
        <v>55</v>
      </c>
      <c r="J19">
        <v>46</v>
      </c>
      <c r="K19">
        <v>47</v>
      </c>
      <c r="L19" s="16">
        <f t="shared" si="1"/>
        <v>192.70617488603401</v>
      </c>
      <c r="M19">
        <v>43</v>
      </c>
      <c r="N19">
        <v>45</v>
      </c>
      <c r="O19">
        <v>49</v>
      </c>
      <c r="P19">
        <v>44</v>
      </c>
      <c r="Q19" s="62">
        <f t="shared" si="2"/>
        <v>45.25</v>
      </c>
      <c r="R19">
        <v>74</v>
      </c>
      <c r="S19">
        <v>64</v>
      </c>
      <c r="T19">
        <v>68</v>
      </c>
      <c r="U19">
        <v>65</v>
      </c>
      <c r="V19" s="62">
        <f t="shared" si="3"/>
        <v>67.75</v>
      </c>
      <c r="W19">
        <v>75</v>
      </c>
      <c r="X19">
        <v>70</v>
      </c>
      <c r="Y19">
        <v>77</v>
      </c>
      <c r="Z19">
        <v>80</v>
      </c>
      <c r="AA19" s="62">
        <f t="shared" si="4"/>
        <v>75.5</v>
      </c>
      <c r="AB19">
        <v>90</v>
      </c>
      <c r="AC19">
        <v>90</v>
      </c>
      <c r="AD19">
        <v>92</v>
      </c>
      <c r="AE19">
        <v>95</v>
      </c>
      <c r="AF19" s="62">
        <f t="shared" si="5"/>
        <v>91.75</v>
      </c>
      <c r="AG19">
        <v>94</v>
      </c>
      <c r="AH19">
        <v>88</v>
      </c>
      <c r="AI19">
        <v>84</v>
      </c>
      <c r="AJ19">
        <v>96</v>
      </c>
      <c r="AK19" s="62">
        <f t="shared" si="6"/>
        <v>90.5</v>
      </c>
      <c r="AP19" s="62" t="e">
        <f t="shared" si="7"/>
        <v>#DIV/0!</v>
      </c>
      <c r="AQ19" s="88">
        <v>45097</v>
      </c>
      <c r="AR19">
        <v>74</v>
      </c>
      <c r="AS19">
        <v>72</v>
      </c>
      <c r="AT19">
        <v>74</v>
      </c>
      <c r="AU19">
        <v>73</v>
      </c>
      <c r="AV19" s="62">
        <f t="shared" si="0"/>
        <v>73.25</v>
      </c>
      <c r="AW19">
        <v>10</v>
      </c>
      <c r="AX19">
        <v>0</v>
      </c>
      <c r="AY19">
        <v>0</v>
      </c>
      <c r="AZ19" s="15">
        <f t="shared" si="8"/>
        <v>6.666666666666667</v>
      </c>
      <c r="BD19" s="15">
        <f t="shared" si="9"/>
        <v>0</v>
      </c>
      <c r="BH19" s="15">
        <f t="shared" si="10"/>
        <v>0</v>
      </c>
      <c r="BI19">
        <v>22.08</v>
      </c>
      <c r="BJ19">
        <v>14.65</v>
      </c>
      <c r="BK19" s="12">
        <f t="shared" si="11"/>
        <v>33.650362318840571</v>
      </c>
      <c r="BL19" s="12">
        <f t="shared" si="12"/>
        <v>-0.53985507246377151</v>
      </c>
      <c r="BM19" s="13">
        <f t="shared" si="13"/>
        <v>45133.460144927536</v>
      </c>
      <c r="BN19" s="90">
        <f t="shared" si="14"/>
        <v>85.460144927536021</v>
      </c>
      <c r="BO19">
        <v>6</v>
      </c>
      <c r="BP19" s="17">
        <f t="shared" si="15"/>
        <v>8.6867999999999999</v>
      </c>
      <c r="BQ19">
        <v>10020</v>
      </c>
      <c r="BR19" s="15">
        <v>13</v>
      </c>
      <c r="BS19" s="15">
        <f t="shared" si="16"/>
        <v>11601.417179104514</v>
      </c>
      <c r="BT19" s="15">
        <f t="shared" si="17"/>
        <v>215.6673706371993</v>
      </c>
      <c r="BU19" s="16">
        <v>60.595744680851062</v>
      </c>
      <c r="BV19" s="17">
        <v>4.7299999999999995</v>
      </c>
      <c r="BW19" s="17">
        <v>4.57</v>
      </c>
      <c r="BX19" s="90">
        <f t="shared" si="18"/>
        <v>46.76878612716763</v>
      </c>
    </row>
    <row r="20" spans="2:76" x14ac:dyDescent="0.3">
      <c r="B20" s="58">
        <v>2023</v>
      </c>
      <c r="C20" t="s">
        <v>46</v>
      </c>
      <c r="D20">
        <v>116</v>
      </c>
      <c r="E20">
        <v>1</v>
      </c>
      <c r="F20">
        <v>16</v>
      </c>
      <c r="G20" t="s">
        <v>151</v>
      </c>
      <c r="H20">
        <v>7</v>
      </c>
      <c r="I20" t="s">
        <v>56</v>
      </c>
      <c r="J20">
        <v>47</v>
      </c>
      <c r="K20">
        <v>45</v>
      </c>
      <c r="L20" s="16">
        <f t="shared" si="1"/>
        <v>190.63406547865728</v>
      </c>
      <c r="M20">
        <v>59</v>
      </c>
      <c r="N20">
        <v>56</v>
      </c>
      <c r="O20">
        <v>47</v>
      </c>
      <c r="P20">
        <v>54</v>
      </c>
      <c r="Q20" s="62">
        <f t="shared" si="2"/>
        <v>54</v>
      </c>
      <c r="R20">
        <v>76</v>
      </c>
      <c r="S20">
        <v>75</v>
      </c>
      <c r="T20">
        <v>71</v>
      </c>
      <c r="U20">
        <v>73</v>
      </c>
      <c r="V20" s="62">
        <f t="shared" si="3"/>
        <v>73.75</v>
      </c>
      <c r="W20">
        <v>91</v>
      </c>
      <c r="X20">
        <v>83</v>
      </c>
      <c r="Y20">
        <v>75</v>
      </c>
      <c r="Z20">
        <v>82</v>
      </c>
      <c r="AA20" s="62">
        <f t="shared" si="4"/>
        <v>82.75</v>
      </c>
      <c r="AB20">
        <v>91</v>
      </c>
      <c r="AC20">
        <v>97</v>
      </c>
      <c r="AD20">
        <v>96</v>
      </c>
      <c r="AE20">
        <v>89</v>
      </c>
      <c r="AF20" s="62">
        <f t="shared" si="5"/>
        <v>93.25</v>
      </c>
      <c r="AG20">
        <v>80</v>
      </c>
      <c r="AH20">
        <v>90</v>
      </c>
      <c r="AI20">
        <v>92</v>
      </c>
      <c r="AJ20">
        <v>98</v>
      </c>
      <c r="AK20" s="62">
        <f t="shared" si="6"/>
        <v>90</v>
      </c>
      <c r="AP20" s="62" t="e">
        <f t="shared" si="7"/>
        <v>#DIV/0!</v>
      </c>
      <c r="AQ20" s="88">
        <v>45097</v>
      </c>
      <c r="AR20">
        <v>79</v>
      </c>
      <c r="AS20">
        <v>73</v>
      </c>
      <c r="AT20">
        <v>73</v>
      </c>
      <c r="AU20">
        <v>72</v>
      </c>
      <c r="AV20" s="62">
        <f t="shared" si="0"/>
        <v>74.25</v>
      </c>
      <c r="AW20">
        <v>10</v>
      </c>
      <c r="AX20">
        <v>0</v>
      </c>
      <c r="AY20">
        <v>0</v>
      </c>
      <c r="AZ20" s="15">
        <f t="shared" si="8"/>
        <v>6.666666666666667</v>
      </c>
      <c r="BD20" s="15">
        <f t="shared" si="9"/>
        <v>0</v>
      </c>
      <c r="BH20" s="15">
        <f t="shared" si="10"/>
        <v>0</v>
      </c>
      <c r="BI20">
        <v>22.44</v>
      </c>
      <c r="BJ20">
        <v>15.24</v>
      </c>
      <c r="BK20" s="12">
        <f t="shared" si="11"/>
        <v>32.085561497326204</v>
      </c>
      <c r="BL20" s="12">
        <f t="shared" si="12"/>
        <v>-1.1657754010695185</v>
      </c>
      <c r="BM20" s="13">
        <f t="shared" si="13"/>
        <v>45132.834224598933</v>
      </c>
      <c r="BN20" s="90">
        <f t="shared" si="14"/>
        <v>84.834224598933361</v>
      </c>
      <c r="BO20">
        <v>6</v>
      </c>
      <c r="BP20" s="17">
        <f t="shared" si="15"/>
        <v>8.6867999999999999</v>
      </c>
      <c r="BQ20">
        <v>9360</v>
      </c>
      <c r="BR20" s="15">
        <v>12.5</v>
      </c>
      <c r="BS20" s="15">
        <f t="shared" si="16"/>
        <v>10899.535033021997</v>
      </c>
      <c r="BT20" s="15">
        <f t="shared" si="17"/>
        <v>202.61956151130636</v>
      </c>
      <c r="BU20" s="16">
        <v>69.148936170212764</v>
      </c>
      <c r="BV20" s="17">
        <v>4.2799999999999994</v>
      </c>
      <c r="BW20" s="17">
        <v>4.41</v>
      </c>
      <c r="BX20" s="90">
        <f t="shared" si="18"/>
        <v>43.952312138728324</v>
      </c>
    </row>
    <row r="21" spans="2:76" x14ac:dyDescent="0.3">
      <c r="B21" s="58">
        <v>2023</v>
      </c>
      <c r="C21" t="s">
        <v>46</v>
      </c>
      <c r="D21">
        <v>117</v>
      </c>
      <c r="E21">
        <v>1</v>
      </c>
      <c r="F21">
        <v>17</v>
      </c>
      <c r="G21" t="s">
        <v>151</v>
      </c>
      <c r="H21">
        <v>8</v>
      </c>
      <c r="I21" t="s">
        <v>57</v>
      </c>
      <c r="J21">
        <v>41</v>
      </c>
      <c r="K21">
        <v>42</v>
      </c>
      <c r="L21" s="16">
        <f t="shared" si="1"/>
        <v>171.98508081226689</v>
      </c>
      <c r="M21">
        <v>51</v>
      </c>
      <c r="N21">
        <v>53</v>
      </c>
      <c r="O21">
        <v>49</v>
      </c>
      <c r="P21">
        <v>44</v>
      </c>
      <c r="Q21" s="62">
        <f t="shared" si="2"/>
        <v>49.25</v>
      </c>
      <c r="R21">
        <v>71</v>
      </c>
      <c r="S21">
        <v>65</v>
      </c>
      <c r="T21">
        <v>67</v>
      </c>
      <c r="U21">
        <v>64</v>
      </c>
      <c r="V21" s="62">
        <f t="shared" si="3"/>
        <v>66.75</v>
      </c>
      <c r="W21">
        <v>82</v>
      </c>
      <c r="X21">
        <v>81</v>
      </c>
      <c r="Y21">
        <v>88</v>
      </c>
      <c r="Z21">
        <v>79</v>
      </c>
      <c r="AA21" s="62">
        <f t="shared" si="4"/>
        <v>82.5</v>
      </c>
      <c r="AB21">
        <v>89</v>
      </c>
      <c r="AC21">
        <v>90</v>
      </c>
      <c r="AD21">
        <v>91</v>
      </c>
      <c r="AE21">
        <v>93</v>
      </c>
      <c r="AF21" s="62">
        <f t="shared" si="5"/>
        <v>90.75</v>
      </c>
      <c r="AG21">
        <v>96</v>
      </c>
      <c r="AH21">
        <v>92</v>
      </c>
      <c r="AI21">
        <v>87</v>
      </c>
      <c r="AJ21">
        <v>91</v>
      </c>
      <c r="AK21" s="62">
        <f t="shared" si="6"/>
        <v>91.5</v>
      </c>
      <c r="AP21" s="62" t="e">
        <f t="shared" si="7"/>
        <v>#DIV/0!</v>
      </c>
      <c r="AQ21" s="88">
        <v>45097</v>
      </c>
      <c r="AR21">
        <v>71</v>
      </c>
      <c r="AS21">
        <v>74</v>
      </c>
      <c r="AT21">
        <v>72</v>
      </c>
      <c r="AU21">
        <v>72</v>
      </c>
      <c r="AV21" s="62">
        <f t="shared" si="0"/>
        <v>72.25</v>
      </c>
      <c r="AW21">
        <v>5</v>
      </c>
      <c r="AX21">
        <v>0</v>
      </c>
      <c r="AY21">
        <v>0</v>
      </c>
      <c r="AZ21" s="15">
        <f t="shared" si="8"/>
        <v>3.3333333333333335</v>
      </c>
      <c r="BD21" s="15">
        <f t="shared" si="9"/>
        <v>0</v>
      </c>
      <c r="BH21" s="15">
        <f t="shared" si="10"/>
        <v>0</v>
      </c>
      <c r="BI21">
        <v>16.46</v>
      </c>
      <c r="BJ21">
        <v>12.51</v>
      </c>
      <c r="BK21" s="12">
        <f t="shared" si="11"/>
        <v>23.997569866342655</v>
      </c>
      <c r="BL21" s="12">
        <f t="shared" si="12"/>
        <v>-4.4009720534629384</v>
      </c>
      <c r="BM21" s="13">
        <f t="shared" si="13"/>
        <v>45129.59902794654</v>
      </c>
      <c r="BN21" s="90">
        <f t="shared" si="14"/>
        <v>81.599027946540446</v>
      </c>
      <c r="BO21">
        <v>6</v>
      </c>
      <c r="BP21" s="17">
        <f t="shared" si="15"/>
        <v>8.6867999999999999</v>
      </c>
      <c r="BQ21">
        <v>9190</v>
      </c>
      <c r="BR21" s="15">
        <v>12.1</v>
      </c>
      <c r="BS21" s="15">
        <f t="shared" si="16"/>
        <v>10750.494870830531</v>
      </c>
      <c r="BT21" s="15">
        <f t="shared" si="17"/>
        <v>199.8489431115932</v>
      </c>
      <c r="BU21" s="16">
        <v>69.234042553191486</v>
      </c>
      <c r="BV21" s="17">
        <v>4.43</v>
      </c>
      <c r="BW21" s="17">
        <v>4.4399999999999995</v>
      </c>
      <c r="BX21" s="90">
        <f t="shared" si="18"/>
        <v>45.067803468208091</v>
      </c>
    </row>
    <row r="22" spans="2:76" x14ac:dyDescent="0.3">
      <c r="B22" s="58">
        <v>2023</v>
      </c>
      <c r="C22" t="s">
        <v>46</v>
      </c>
      <c r="D22">
        <v>118</v>
      </c>
      <c r="E22">
        <v>1</v>
      </c>
      <c r="F22">
        <v>18</v>
      </c>
      <c r="G22" t="s">
        <v>151</v>
      </c>
      <c r="H22">
        <v>9</v>
      </c>
      <c r="I22" t="s">
        <v>58</v>
      </c>
      <c r="J22">
        <v>36</v>
      </c>
      <c r="K22">
        <v>37</v>
      </c>
      <c r="L22" s="16">
        <f t="shared" si="1"/>
        <v>151.2639867384998</v>
      </c>
      <c r="M22">
        <v>56</v>
      </c>
      <c r="N22">
        <v>54</v>
      </c>
      <c r="O22">
        <v>52</v>
      </c>
      <c r="P22">
        <v>49</v>
      </c>
      <c r="Q22" s="62">
        <f t="shared" si="2"/>
        <v>52.75</v>
      </c>
      <c r="R22">
        <v>66</v>
      </c>
      <c r="S22">
        <v>71</v>
      </c>
      <c r="T22">
        <v>74</v>
      </c>
      <c r="U22">
        <v>70</v>
      </c>
      <c r="V22" s="62">
        <f t="shared" si="3"/>
        <v>70.25</v>
      </c>
      <c r="W22">
        <v>83</v>
      </c>
      <c r="X22">
        <v>81</v>
      </c>
      <c r="Y22">
        <v>83</v>
      </c>
      <c r="Z22">
        <v>79</v>
      </c>
      <c r="AA22" s="62">
        <f t="shared" si="4"/>
        <v>81.5</v>
      </c>
      <c r="AB22">
        <v>82</v>
      </c>
      <c r="AC22">
        <v>90</v>
      </c>
      <c r="AD22">
        <v>84</v>
      </c>
      <c r="AE22">
        <v>82</v>
      </c>
      <c r="AF22" s="62">
        <f t="shared" si="5"/>
        <v>84.5</v>
      </c>
      <c r="AG22">
        <v>80</v>
      </c>
      <c r="AH22">
        <v>87</v>
      </c>
      <c r="AI22">
        <v>79</v>
      </c>
      <c r="AJ22">
        <v>92</v>
      </c>
      <c r="AK22" s="62">
        <f t="shared" si="6"/>
        <v>84.5</v>
      </c>
      <c r="AP22" s="62" t="e">
        <f t="shared" si="7"/>
        <v>#DIV/0!</v>
      </c>
      <c r="AQ22" s="88">
        <v>45097</v>
      </c>
      <c r="AR22">
        <v>71</v>
      </c>
      <c r="AS22">
        <v>69</v>
      </c>
      <c r="AT22">
        <v>74</v>
      </c>
      <c r="AU22">
        <v>76</v>
      </c>
      <c r="AV22" s="62">
        <f t="shared" si="0"/>
        <v>72.5</v>
      </c>
      <c r="AW22">
        <v>5</v>
      </c>
      <c r="AX22">
        <v>0</v>
      </c>
      <c r="AY22">
        <v>0</v>
      </c>
      <c r="AZ22" s="15">
        <f t="shared" si="8"/>
        <v>3.3333333333333335</v>
      </c>
      <c r="BD22" s="15">
        <f t="shared" si="9"/>
        <v>0</v>
      </c>
      <c r="BH22" s="15">
        <f t="shared" si="10"/>
        <v>0</v>
      </c>
      <c r="BI22">
        <v>19.18</v>
      </c>
      <c r="BJ22">
        <v>13.48</v>
      </c>
      <c r="BK22" s="12">
        <f t="shared" si="11"/>
        <v>29.718456725755992</v>
      </c>
      <c r="BL22" s="12">
        <f t="shared" si="12"/>
        <v>-2.1126173096976033</v>
      </c>
      <c r="BM22" s="13">
        <f t="shared" si="13"/>
        <v>45131.8873826903</v>
      </c>
      <c r="BN22" s="90">
        <f t="shared" si="14"/>
        <v>83.887382690300001</v>
      </c>
      <c r="BO22">
        <v>6</v>
      </c>
      <c r="BP22" s="17">
        <f t="shared" si="15"/>
        <v>8.6867999999999999</v>
      </c>
      <c r="BQ22">
        <v>8850</v>
      </c>
      <c r="BR22" s="15">
        <v>12.4</v>
      </c>
      <c r="BS22" s="15">
        <f t="shared" si="16"/>
        <v>10317.427997192472</v>
      </c>
      <c r="BT22" s="15">
        <f t="shared" si="17"/>
        <v>191.7983409734498</v>
      </c>
      <c r="BU22" s="16">
        <v>68.340425531914889</v>
      </c>
      <c r="BV22" s="17">
        <v>4.09</v>
      </c>
      <c r="BW22" s="17">
        <v>4.0200000000000005</v>
      </c>
      <c r="BX22" s="90">
        <f t="shared" si="18"/>
        <v>41.06566473988439</v>
      </c>
    </row>
    <row r="23" spans="2:76" x14ac:dyDescent="0.3">
      <c r="B23" s="58">
        <v>2023</v>
      </c>
      <c r="C23" t="s">
        <v>46</v>
      </c>
      <c r="D23">
        <v>119</v>
      </c>
      <c r="E23">
        <v>1</v>
      </c>
      <c r="F23">
        <v>19</v>
      </c>
      <c r="G23" t="s">
        <v>50</v>
      </c>
      <c r="H23">
        <v>1</v>
      </c>
      <c r="I23" t="s">
        <v>0</v>
      </c>
      <c r="J23">
        <v>43</v>
      </c>
      <c r="K23">
        <v>40</v>
      </c>
      <c r="L23" s="16">
        <f t="shared" si="1"/>
        <v>171.98508081226689</v>
      </c>
      <c r="M23">
        <v>58</v>
      </c>
      <c r="N23">
        <v>53</v>
      </c>
      <c r="O23">
        <v>60</v>
      </c>
      <c r="P23">
        <v>54</v>
      </c>
      <c r="Q23" s="62">
        <f t="shared" si="2"/>
        <v>56.25</v>
      </c>
      <c r="R23">
        <v>70</v>
      </c>
      <c r="S23">
        <v>67</v>
      </c>
      <c r="T23">
        <v>72</v>
      </c>
      <c r="U23">
        <v>73</v>
      </c>
      <c r="V23" s="62">
        <f t="shared" si="3"/>
        <v>70.5</v>
      </c>
      <c r="W23">
        <v>74</v>
      </c>
      <c r="X23">
        <v>75</v>
      </c>
      <c r="Y23">
        <v>71</v>
      </c>
      <c r="Z23">
        <v>72</v>
      </c>
      <c r="AA23" s="62">
        <f t="shared" si="4"/>
        <v>73</v>
      </c>
      <c r="AB23">
        <v>71</v>
      </c>
      <c r="AC23">
        <v>72</v>
      </c>
      <c r="AD23">
        <v>73</v>
      </c>
      <c r="AE23">
        <v>75</v>
      </c>
      <c r="AF23" s="62">
        <f t="shared" si="5"/>
        <v>72.75</v>
      </c>
      <c r="AG23">
        <v>82</v>
      </c>
      <c r="AH23">
        <v>79</v>
      </c>
      <c r="AI23">
        <v>77</v>
      </c>
      <c r="AJ23">
        <v>74</v>
      </c>
      <c r="AK23" s="62">
        <f t="shared" si="6"/>
        <v>78</v>
      </c>
      <c r="AP23" s="62" t="e">
        <f t="shared" si="7"/>
        <v>#DIV/0!</v>
      </c>
      <c r="AQ23" s="88">
        <v>45097</v>
      </c>
      <c r="AR23">
        <v>58</v>
      </c>
      <c r="AS23">
        <v>61</v>
      </c>
      <c r="AT23">
        <v>58</v>
      </c>
      <c r="AU23">
        <v>60</v>
      </c>
      <c r="AV23" s="62">
        <f t="shared" si="0"/>
        <v>59.25</v>
      </c>
      <c r="AW23">
        <v>0</v>
      </c>
      <c r="AX23">
        <v>0</v>
      </c>
      <c r="AY23">
        <v>0</v>
      </c>
      <c r="AZ23" s="15">
        <f t="shared" si="8"/>
        <v>0</v>
      </c>
      <c r="BD23" s="15">
        <f t="shared" si="9"/>
        <v>0</v>
      </c>
      <c r="BH23" s="15">
        <f t="shared" si="10"/>
        <v>0</v>
      </c>
      <c r="BI23">
        <v>15.54</v>
      </c>
      <c r="BJ23">
        <v>10.92</v>
      </c>
      <c r="BK23" s="12">
        <f t="shared" si="11"/>
        <v>29.729729729729726</v>
      </c>
      <c r="BL23" s="12">
        <f t="shared" si="12"/>
        <v>-2.1081081081081097</v>
      </c>
      <c r="BM23" s="13">
        <f t="shared" si="13"/>
        <v>45131.891891891893</v>
      </c>
      <c r="BN23" s="90">
        <f t="shared" si="14"/>
        <v>83.891891891893465</v>
      </c>
      <c r="BO23">
        <v>6</v>
      </c>
      <c r="BP23" s="17">
        <f t="shared" si="15"/>
        <v>8.6867999999999999</v>
      </c>
      <c r="BQ23">
        <v>9240</v>
      </c>
      <c r="BR23" s="15">
        <v>9.6999999999999993</v>
      </c>
      <c r="BS23" s="15">
        <f t="shared" si="16"/>
        <v>11104.110921334104</v>
      </c>
      <c r="BT23" s="15">
        <f t="shared" si="17"/>
        <v>206.42257481967246</v>
      </c>
      <c r="BU23" s="16">
        <v>68.170212765957444</v>
      </c>
      <c r="BV23" s="17">
        <v>5.3</v>
      </c>
      <c r="BW23" s="17">
        <v>5.1100000000000003</v>
      </c>
      <c r="BX23" s="90">
        <f t="shared" si="18"/>
        <v>54.336589595375713</v>
      </c>
    </row>
    <row r="24" spans="2:76" x14ac:dyDescent="0.3">
      <c r="B24" s="58">
        <v>2023</v>
      </c>
      <c r="C24" t="s">
        <v>46</v>
      </c>
      <c r="D24">
        <v>120</v>
      </c>
      <c r="E24">
        <v>1</v>
      </c>
      <c r="F24">
        <v>20</v>
      </c>
      <c r="G24" t="s">
        <v>50</v>
      </c>
      <c r="H24">
        <v>2</v>
      </c>
      <c r="I24" t="s">
        <v>53</v>
      </c>
      <c r="J24">
        <v>42</v>
      </c>
      <c r="K24">
        <v>41</v>
      </c>
      <c r="L24" s="16">
        <f t="shared" si="1"/>
        <v>171.98508081226689</v>
      </c>
      <c r="M24">
        <v>45</v>
      </c>
      <c r="N24">
        <v>52</v>
      </c>
      <c r="O24">
        <v>50</v>
      </c>
      <c r="P24">
        <v>52</v>
      </c>
      <c r="Q24" s="62">
        <f t="shared" si="2"/>
        <v>49.75</v>
      </c>
      <c r="R24">
        <v>66</v>
      </c>
      <c r="S24">
        <v>65</v>
      </c>
      <c r="T24">
        <v>70</v>
      </c>
      <c r="U24">
        <v>72</v>
      </c>
      <c r="V24" s="62">
        <f t="shared" si="3"/>
        <v>68.25</v>
      </c>
      <c r="W24">
        <v>75</v>
      </c>
      <c r="X24">
        <v>73</v>
      </c>
      <c r="Y24">
        <v>80</v>
      </c>
      <c r="Z24">
        <v>75</v>
      </c>
      <c r="AA24" s="62">
        <f t="shared" si="4"/>
        <v>75.75</v>
      </c>
      <c r="AB24">
        <v>79</v>
      </c>
      <c r="AC24">
        <v>78</v>
      </c>
      <c r="AD24">
        <v>84</v>
      </c>
      <c r="AE24">
        <v>81</v>
      </c>
      <c r="AF24" s="62">
        <f t="shared" si="5"/>
        <v>80.5</v>
      </c>
      <c r="AG24">
        <v>78</v>
      </c>
      <c r="AH24">
        <v>79</v>
      </c>
      <c r="AI24">
        <v>84</v>
      </c>
      <c r="AJ24">
        <v>84</v>
      </c>
      <c r="AK24" s="62">
        <f t="shared" si="6"/>
        <v>81.25</v>
      </c>
      <c r="AP24" s="62" t="e">
        <f t="shared" si="7"/>
        <v>#DIV/0!</v>
      </c>
      <c r="AQ24" s="88">
        <v>45097</v>
      </c>
      <c r="AR24">
        <v>60</v>
      </c>
      <c r="AS24">
        <v>66</v>
      </c>
      <c r="AT24">
        <v>65</v>
      </c>
      <c r="AU24">
        <v>57</v>
      </c>
      <c r="AV24" s="62">
        <f t="shared" si="0"/>
        <v>62</v>
      </c>
      <c r="AW24">
        <v>0</v>
      </c>
      <c r="AX24">
        <v>0</v>
      </c>
      <c r="AY24">
        <v>0</v>
      </c>
      <c r="AZ24" s="15">
        <f t="shared" si="8"/>
        <v>0</v>
      </c>
      <c r="BD24" s="15">
        <f t="shared" si="9"/>
        <v>0</v>
      </c>
      <c r="BH24" s="15">
        <f t="shared" si="10"/>
        <v>0</v>
      </c>
      <c r="BI24">
        <v>15.23</v>
      </c>
      <c r="BJ24">
        <v>13.04</v>
      </c>
      <c r="BK24" s="12">
        <f t="shared" si="11"/>
        <v>14.379514116874597</v>
      </c>
      <c r="BL24" s="12">
        <f t="shared" si="12"/>
        <v>-8.2481943532501614</v>
      </c>
      <c r="BM24" s="13">
        <f t="shared" si="13"/>
        <v>45125.751805646752</v>
      </c>
      <c r="BN24" s="90">
        <f t="shared" si="14"/>
        <v>77.751805646752473</v>
      </c>
      <c r="BO24">
        <v>6</v>
      </c>
      <c r="BP24" s="17">
        <f t="shared" si="15"/>
        <v>8.6867999999999999</v>
      </c>
      <c r="BQ24">
        <v>9860</v>
      </c>
      <c r="BR24" s="15">
        <v>12.2</v>
      </c>
      <c r="BS24" s="15">
        <f t="shared" si="16"/>
        <v>11521.141238543843</v>
      </c>
      <c r="BT24" s="15">
        <f t="shared" si="17"/>
        <v>214.17506148575094</v>
      </c>
      <c r="BU24" s="16">
        <v>69.446808510638292</v>
      </c>
      <c r="BV24" s="17">
        <v>5.35</v>
      </c>
      <c r="BW24" s="17">
        <v>5.34</v>
      </c>
      <c r="BX24" s="90">
        <f t="shared" si="18"/>
        <v>54.253294797687857</v>
      </c>
    </row>
    <row r="25" spans="2:76" x14ac:dyDescent="0.3">
      <c r="B25" s="58">
        <v>2023</v>
      </c>
      <c r="C25" t="s">
        <v>46</v>
      </c>
      <c r="D25">
        <v>121</v>
      </c>
      <c r="E25">
        <v>1</v>
      </c>
      <c r="F25">
        <v>21</v>
      </c>
      <c r="G25" t="s">
        <v>50</v>
      </c>
      <c r="H25">
        <v>3</v>
      </c>
      <c r="I25" t="s">
        <v>51</v>
      </c>
      <c r="J25">
        <v>43</v>
      </c>
      <c r="K25">
        <v>45</v>
      </c>
      <c r="L25" s="16">
        <f t="shared" si="1"/>
        <v>182.34562784915045</v>
      </c>
      <c r="M25">
        <v>56</v>
      </c>
      <c r="N25">
        <v>52</v>
      </c>
      <c r="O25">
        <v>51</v>
      </c>
      <c r="P25">
        <v>51</v>
      </c>
      <c r="Q25" s="62">
        <f t="shared" si="2"/>
        <v>52.5</v>
      </c>
      <c r="R25">
        <v>69</v>
      </c>
      <c r="S25">
        <v>68</v>
      </c>
      <c r="T25">
        <v>74</v>
      </c>
      <c r="U25">
        <v>69</v>
      </c>
      <c r="V25" s="62">
        <f t="shared" si="3"/>
        <v>70</v>
      </c>
      <c r="W25">
        <v>73</v>
      </c>
      <c r="X25">
        <v>75</v>
      </c>
      <c r="Y25">
        <v>72</v>
      </c>
      <c r="Z25">
        <v>79</v>
      </c>
      <c r="AA25" s="62">
        <f t="shared" si="4"/>
        <v>74.75</v>
      </c>
      <c r="AB25">
        <v>79</v>
      </c>
      <c r="AC25">
        <v>75</v>
      </c>
      <c r="AD25">
        <v>82</v>
      </c>
      <c r="AE25">
        <v>84</v>
      </c>
      <c r="AF25" s="62">
        <f t="shared" si="5"/>
        <v>80</v>
      </c>
      <c r="AG25">
        <v>79</v>
      </c>
      <c r="AH25">
        <v>89</v>
      </c>
      <c r="AI25">
        <v>79</v>
      </c>
      <c r="AJ25">
        <v>82</v>
      </c>
      <c r="AK25" s="62">
        <f t="shared" si="6"/>
        <v>82.25</v>
      </c>
      <c r="AP25" s="62" t="e">
        <f t="shared" si="7"/>
        <v>#DIV/0!</v>
      </c>
      <c r="AQ25" s="88">
        <v>45097</v>
      </c>
      <c r="AR25">
        <v>57</v>
      </c>
      <c r="AS25">
        <v>62</v>
      </c>
      <c r="AT25">
        <v>65</v>
      </c>
      <c r="AU25">
        <v>77</v>
      </c>
      <c r="AV25" s="62">
        <f t="shared" si="0"/>
        <v>65.25</v>
      </c>
      <c r="AW25">
        <v>0</v>
      </c>
      <c r="AX25">
        <v>0</v>
      </c>
      <c r="AY25">
        <v>0</v>
      </c>
      <c r="AZ25" s="15">
        <f t="shared" si="8"/>
        <v>0</v>
      </c>
      <c r="BD25" s="15">
        <f t="shared" si="9"/>
        <v>0</v>
      </c>
      <c r="BH25" s="15">
        <f t="shared" si="10"/>
        <v>0</v>
      </c>
      <c r="BI25">
        <v>19.989999999999998</v>
      </c>
      <c r="BJ25">
        <v>12.32</v>
      </c>
      <c r="BK25" s="12">
        <f t="shared" si="11"/>
        <v>38.369184592296143</v>
      </c>
      <c r="BL25" s="12">
        <f t="shared" si="12"/>
        <v>1.3476738369184573</v>
      </c>
      <c r="BM25" s="13">
        <f t="shared" si="13"/>
        <v>45135.347673836921</v>
      </c>
      <c r="BN25" s="90">
        <f t="shared" si="14"/>
        <v>87.347673836920876</v>
      </c>
      <c r="BO25">
        <v>6</v>
      </c>
      <c r="BP25" s="17">
        <f t="shared" si="15"/>
        <v>8.6867999999999999</v>
      </c>
      <c r="BQ25">
        <v>12210</v>
      </c>
      <c r="BR25" s="15">
        <v>12.5</v>
      </c>
      <c r="BS25" s="15">
        <f t="shared" si="16"/>
        <v>14218.303712948567</v>
      </c>
      <c r="BT25" s="15">
        <f t="shared" si="17"/>
        <v>264.3146203048131</v>
      </c>
      <c r="BU25" s="106"/>
      <c r="BV25" s="107"/>
      <c r="BW25" s="107"/>
      <c r="BX25" s="90" t="e">
        <f t="shared" si="18"/>
        <v>#DIV/0!</v>
      </c>
    </row>
    <row r="26" spans="2:76" x14ac:dyDescent="0.3">
      <c r="B26" s="58">
        <v>2023</v>
      </c>
      <c r="C26" t="s">
        <v>46</v>
      </c>
      <c r="D26">
        <v>122</v>
      </c>
      <c r="E26">
        <v>1</v>
      </c>
      <c r="F26">
        <v>22</v>
      </c>
      <c r="G26" t="s">
        <v>50</v>
      </c>
      <c r="H26">
        <v>4</v>
      </c>
      <c r="I26" t="s">
        <v>52</v>
      </c>
      <c r="J26">
        <v>44</v>
      </c>
      <c r="K26">
        <v>41</v>
      </c>
      <c r="L26" s="16">
        <f t="shared" si="1"/>
        <v>176.12929962702032</v>
      </c>
      <c r="M26">
        <v>60</v>
      </c>
      <c r="N26">
        <v>59</v>
      </c>
      <c r="O26">
        <v>55</v>
      </c>
      <c r="P26">
        <v>44</v>
      </c>
      <c r="Q26" s="62">
        <f t="shared" si="2"/>
        <v>54.5</v>
      </c>
      <c r="R26">
        <v>69</v>
      </c>
      <c r="S26">
        <v>63</v>
      </c>
      <c r="T26">
        <v>72</v>
      </c>
      <c r="U26">
        <v>67</v>
      </c>
      <c r="V26" s="62">
        <f t="shared" si="3"/>
        <v>67.75</v>
      </c>
      <c r="W26">
        <v>70</v>
      </c>
      <c r="X26">
        <v>70</v>
      </c>
      <c r="Y26">
        <v>75</v>
      </c>
      <c r="Z26">
        <v>73</v>
      </c>
      <c r="AA26" s="62">
        <f t="shared" si="4"/>
        <v>72</v>
      </c>
      <c r="AB26">
        <v>72</v>
      </c>
      <c r="AC26">
        <v>75</v>
      </c>
      <c r="AD26">
        <v>78</v>
      </c>
      <c r="AE26">
        <v>79</v>
      </c>
      <c r="AF26" s="62">
        <f t="shared" si="5"/>
        <v>76</v>
      </c>
      <c r="AG26">
        <v>80</v>
      </c>
      <c r="AH26">
        <v>78</v>
      </c>
      <c r="AI26">
        <v>78</v>
      </c>
      <c r="AJ26">
        <v>84</v>
      </c>
      <c r="AK26" s="62">
        <f t="shared" si="6"/>
        <v>80</v>
      </c>
      <c r="AP26" s="62" t="e">
        <f t="shared" si="7"/>
        <v>#DIV/0!</v>
      </c>
      <c r="AQ26" s="88">
        <v>45097</v>
      </c>
      <c r="AR26">
        <v>66</v>
      </c>
      <c r="AS26">
        <v>63</v>
      </c>
      <c r="AT26">
        <v>55</v>
      </c>
      <c r="AU26">
        <v>53</v>
      </c>
      <c r="AV26" s="62">
        <f t="shared" si="0"/>
        <v>59.25</v>
      </c>
      <c r="AW26">
        <v>0</v>
      </c>
      <c r="AX26">
        <v>0</v>
      </c>
      <c r="AY26">
        <v>0</v>
      </c>
      <c r="AZ26" s="15">
        <f t="shared" si="8"/>
        <v>0</v>
      </c>
      <c r="BD26" s="15">
        <f t="shared" si="9"/>
        <v>0</v>
      </c>
      <c r="BH26" s="15">
        <f t="shared" si="10"/>
        <v>0</v>
      </c>
      <c r="BI26">
        <v>19.649999999999999</v>
      </c>
      <c r="BJ26">
        <v>12.82</v>
      </c>
      <c r="BK26" s="12">
        <f t="shared" si="11"/>
        <v>34.758269720101772</v>
      </c>
      <c r="BL26" s="12">
        <f t="shared" si="12"/>
        <v>-9.6692111959291088E-2</v>
      </c>
      <c r="BM26" s="13">
        <f t="shared" si="13"/>
        <v>45133.903307888038</v>
      </c>
      <c r="BN26" s="90">
        <f t="shared" si="14"/>
        <v>85.903307888038398</v>
      </c>
      <c r="BO26">
        <v>6</v>
      </c>
      <c r="BP26" s="17">
        <f t="shared" si="15"/>
        <v>8.6867999999999999</v>
      </c>
      <c r="BQ26">
        <v>9140</v>
      </c>
      <c r="BR26" s="15">
        <v>9</v>
      </c>
      <c r="BS26" s="15">
        <f t="shared" si="16"/>
        <v>11069.083355757895</v>
      </c>
      <c r="BT26" s="15">
        <f t="shared" si="17"/>
        <v>205.77142135703781</v>
      </c>
      <c r="BU26" s="16">
        <v>68.723404255319153</v>
      </c>
      <c r="BV26" s="17">
        <v>5.2</v>
      </c>
      <c r="BW26" s="17">
        <v>5.16</v>
      </c>
      <c r="BX26" s="90">
        <f t="shared" si="18"/>
        <v>54.494797687861272</v>
      </c>
    </row>
    <row r="27" spans="2:76" x14ac:dyDescent="0.3">
      <c r="B27" s="58">
        <v>2023</v>
      </c>
      <c r="C27" t="s">
        <v>46</v>
      </c>
      <c r="D27">
        <v>123</v>
      </c>
      <c r="E27">
        <v>1</v>
      </c>
      <c r="F27">
        <v>23</v>
      </c>
      <c r="G27" t="s">
        <v>50</v>
      </c>
      <c r="H27">
        <v>5</v>
      </c>
      <c r="I27" t="s">
        <v>54</v>
      </c>
      <c r="J27">
        <v>38</v>
      </c>
      <c r="K27">
        <v>37</v>
      </c>
      <c r="L27" s="16">
        <f t="shared" si="1"/>
        <v>155.40820555325323</v>
      </c>
      <c r="M27">
        <v>53</v>
      </c>
      <c r="N27">
        <v>44</v>
      </c>
      <c r="O27">
        <v>48</v>
      </c>
      <c r="P27">
        <v>48</v>
      </c>
      <c r="Q27" s="62">
        <f t="shared" si="2"/>
        <v>48.25</v>
      </c>
      <c r="R27">
        <v>62</v>
      </c>
      <c r="S27">
        <v>62</v>
      </c>
      <c r="T27">
        <v>65</v>
      </c>
      <c r="U27">
        <v>61</v>
      </c>
      <c r="V27" s="62">
        <f t="shared" si="3"/>
        <v>62.5</v>
      </c>
      <c r="W27">
        <v>77</v>
      </c>
      <c r="X27">
        <v>69</v>
      </c>
      <c r="Y27">
        <v>69</v>
      </c>
      <c r="Z27">
        <v>76</v>
      </c>
      <c r="AA27" s="62">
        <f t="shared" si="4"/>
        <v>72.75</v>
      </c>
      <c r="AB27">
        <v>75</v>
      </c>
      <c r="AC27">
        <v>75</v>
      </c>
      <c r="AD27">
        <v>76</v>
      </c>
      <c r="AE27">
        <v>76</v>
      </c>
      <c r="AF27" s="62">
        <f t="shared" si="5"/>
        <v>75.5</v>
      </c>
      <c r="AG27">
        <v>69</v>
      </c>
      <c r="AH27">
        <v>75</v>
      </c>
      <c r="AI27">
        <v>72</v>
      </c>
      <c r="AJ27">
        <v>76</v>
      </c>
      <c r="AK27" s="62">
        <f t="shared" si="6"/>
        <v>73</v>
      </c>
      <c r="AP27" s="62" t="e">
        <f t="shared" si="7"/>
        <v>#DIV/0!</v>
      </c>
      <c r="AQ27" s="88">
        <v>45097</v>
      </c>
      <c r="AR27">
        <v>62</v>
      </c>
      <c r="AS27">
        <v>64</v>
      </c>
      <c r="AT27">
        <v>61</v>
      </c>
      <c r="AU27">
        <v>60</v>
      </c>
      <c r="AV27" s="62">
        <f t="shared" si="0"/>
        <v>61.75</v>
      </c>
      <c r="AW27">
        <v>0</v>
      </c>
      <c r="AX27">
        <v>0</v>
      </c>
      <c r="AY27">
        <v>0</v>
      </c>
      <c r="AZ27" s="15">
        <f t="shared" si="8"/>
        <v>0</v>
      </c>
      <c r="BD27" s="15">
        <f t="shared" si="9"/>
        <v>0</v>
      </c>
      <c r="BH27" s="15">
        <f t="shared" si="10"/>
        <v>0</v>
      </c>
      <c r="BI27">
        <v>20.28</v>
      </c>
      <c r="BJ27">
        <v>12.18</v>
      </c>
      <c r="BK27" s="12">
        <f t="shared" si="11"/>
        <v>39.940828402366868</v>
      </c>
      <c r="BL27" s="12">
        <f t="shared" si="12"/>
        <v>1.9763313609467474</v>
      </c>
      <c r="BM27" s="13">
        <f t="shared" si="13"/>
        <v>45135.976331360944</v>
      </c>
      <c r="BN27" s="90">
        <f t="shared" si="14"/>
        <v>87.976331360943732</v>
      </c>
      <c r="BO27">
        <v>6</v>
      </c>
      <c r="BP27" s="17">
        <f t="shared" si="15"/>
        <v>8.6867999999999999</v>
      </c>
      <c r="BQ27">
        <v>9180</v>
      </c>
      <c r="BR27" s="15">
        <v>9.6</v>
      </c>
      <c r="BS27" s="15">
        <f t="shared" si="16"/>
        <v>11044.223366207607</v>
      </c>
      <c r="BT27" s="15">
        <f t="shared" si="17"/>
        <v>205.30928052565423</v>
      </c>
      <c r="BU27" s="16">
        <v>68.340425531914889</v>
      </c>
      <c r="BV27" s="17">
        <v>6.01</v>
      </c>
      <c r="BW27" s="17">
        <v>6.17</v>
      </c>
      <c r="BX27" s="90">
        <f t="shared" si="18"/>
        <v>63.645780346820814</v>
      </c>
    </row>
    <row r="28" spans="2:76" x14ac:dyDescent="0.3">
      <c r="B28" s="58">
        <v>2023</v>
      </c>
      <c r="C28" t="s">
        <v>46</v>
      </c>
      <c r="D28">
        <v>124</v>
      </c>
      <c r="E28">
        <v>1</v>
      </c>
      <c r="F28">
        <v>24</v>
      </c>
      <c r="G28" t="s">
        <v>50</v>
      </c>
      <c r="H28">
        <v>6</v>
      </c>
      <c r="I28" t="s">
        <v>55</v>
      </c>
      <c r="J28">
        <v>38</v>
      </c>
      <c r="K28">
        <v>39</v>
      </c>
      <c r="L28" s="16">
        <f t="shared" si="1"/>
        <v>159.55242436800663</v>
      </c>
      <c r="M28">
        <v>49</v>
      </c>
      <c r="N28">
        <v>46</v>
      </c>
      <c r="O28">
        <v>57</v>
      </c>
      <c r="P28">
        <v>47</v>
      </c>
      <c r="Q28" s="62">
        <f t="shared" si="2"/>
        <v>49.75</v>
      </c>
      <c r="R28">
        <v>63</v>
      </c>
      <c r="S28">
        <v>69</v>
      </c>
      <c r="T28">
        <v>63</v>
      </c>
      <c r="U28">
        <v>62</v>
      </c>
      <c r="V28" s="62">
        <f t="shared" si="3"/>
        <v>64.25</v>
      </c>
      <c r="W28">
        <v>68</v>
      </c>
      <c r="X28">
        <v>69</v>
      </c>
      <c r="Y28">
        <v>69</v>
      </c>
      <c r="Z28">
        <v>65</v>
      </c>
      <c r="AA28" s="62">
        <f t="shared" si="4"/>
        <v>67.75</v>
      </c>
      <c r="AB28">
        <v>71</v>
      </c>
      <c r="AC28">
        <v>71</v>
      </c>
      <c r="AD28">
        <v>73</v>
      </c>
      <c r="AE28">
        <v>71</v>
      </c>
      <c r="AF28" s="62">
        <f t="shared" si="5"/>
        <v>71.5</v>
      </c>
      <c r="AG28">
        <v>79</v>
      </c>
      <c r="AH28">
        <v>77</v>
      </c>
      <c r="AI28">
        <v>73</v>
      </c>
      <c r="AJ28">
        <v>72</v>
      </c>
      <c r="AK28" s="62">
        <f t="shared" si="6"/>
        <v>75.25</v>
      </c>
      <c r="AP28" s="62" t="e">
        <f t="shared" si="7"/>
        <v>#DIV/0!</v>
      </c>
      <c r="AQ28" s="88">
        <v>45097</v>
      </c>
      <c r="AR28">
        <v>68</v>
      </c>
      <c r="AS28">
        <v>61</v>
      </c>
      <c r="AT28">
        <v>60</v>
      </c>
      <c r="AU28">
        <v>56</v>
      </c>
      <c r="AV28" s="62">
        <f t="shared" si="0"/>
        <v>61.25</v>
      </c>
      <c r="AW28">
        <v>5</v>
      </c>
      <c r="AX28">
        <v>0</v>
      </c>
      <c r="AY28">
        <v>0</v>
      </c>
      <c r="AZ28" s="15">
        <f t="shared" si="8"/>
        <v>3.3333333333333335</v>
      </c>
      <c r="BD28" s="15">
        <f t="shared" si="9"/>
        <v>0</v>
      </c>
      <c r="BH28" s="15">
        <f t="shared" si="10"/>
        <v>0</v>
      </c>
      <c r="BI28">
        <v>22.1</v>
      </c>
      <c r="BJ28">
        <v>12.36</v>
      </c>
      <c r="BK28" s="12">
        <f t="shared" si="11"/>
        <v>44.072398190045256</v>
      </c>
      <c r="BL28" s="12">
        <f t="shared" si="12"/>
        <v>3.6289592760181022</v>
      </c>
      <c r="BM28" s="13">
        <f t="shared" si="13"/>
        <v>45137.628959276015</v>
      </c>
      <c r="BN28" s="90">
        <f t="shared" si="14"/>
        <v>89.628959276014939</v>
      </c>
      <c r="BO28">
        <v>6</v>
      </c>
      <c r="BP28" s="17">
        <f t="shared" si="15"/>
        <v>8.6867999999999999</v>
      </c>
      <c r="BQ28">
        <v>8910</v>
      </c>
      <c r="BR28" s="15">
        <v>8.9</v>
      </c>
      <c r="BS28" s="15">
        <f t="shared" si="16"/>
        <v>10802.397418606824</v>
      </c>
      <c r="BT28" s="15">
        <f t="shared" si="17"/>
        <v>200.81379816640893</v>
      </c>
      <c r="BU28" s="16">
        <v>67.914893617021278</v>
      </c>
      <c r="BV28" s="17">
        <v>5.29</v>
      </c>
      <c r="BW28" s="17">
        <v>5.04</v>
      </c>
      <c r="BX28" s="90">
        <f t="shared" si="18"/>
        <v>54.396705202312127</v>
      </c>
    </row>
    <row r="29" spans="2:76" x14ac:dyDescent="0.3">
      <c r="B29" s="58">
        <v>2023</v>
      </c>
      <c r="C29" t="s">
        <v>46</v>
      </c>
      <c r="D29">
        <v>125</v>
      </c>
      <c r="E29">
        <v>1</v>
      </c>
      <c r="F29">
        <v>25</v>
      </c>
      <c r="G29" t="s">
        <v>50</v>
      </c>
      <c r="H29">
        <v>7</v>
      </c>
      <c r="I29" t="s">
        <v>56</v>
      </c>
      <c r="J29">
        <v>38</v>
      </c>
      <c r="K29">
        <v>46</v>
      </c>
      <c r="L29" s="16">
        <f t="shared" si="1"/>
        <v>174.05719021964362</v>
      </c>
      <c r="M29">
        <v>58</v>
      </c>
      <c r="N29">
        <v>58</v>
      </c>
      <c r="O29">
        <v>56</v>
      </c>
      <c r="P29">
        <v>50</v>
      </c>
      <c r="Q29" s="62">
        <f t="shared" si="2"/>
        <v>55.5</v>
      </c>
      <c r="R29">
        <v>64</v>
      </c>
      <c r="S29">
        <v>68</v>
      </c>
      <c r="T29">
        <v>71</v>
      </c>
      <c r="U29">
        <v>72</v>
      </c>
      <c r="V29" s="62">
        <f t="shared" si="3"/>
        <v>68.75</v>
      </c>
      <c r="W29">
        <v>75</v>
      </c>
      <c r="X29">
        <v>75</v>
      </c>
      <c r="Y29">
        <v>82</v>
      </c>
      <c r="Z29">
        <v>79</v>
      </c>
      <c r="AA29" s="62">
        <f t="shared" si="4"/>
        <v>77.75</v>
      </c>
      <c r="AB29">
        <v>71</v>
      </c>
      <c r="AC29">
        <v>74</v>
      </c>
      <c r="AD29">
        <v>79</v>
      </c>
      <c r="AE29">
        <v>82</v>
      </c>
      <c r="AF29" s="62">
        <f t="shared" si="5"/>
        <v>76.5</v>
      </c>
      <c r="AG29">
        <v>75</v>
      </c>
      <c r="AH29">
        <v>78</v>
      </c>
      <c r="AI29">
        <v>76</v>
      </c>
      <c r="AJ29">
        <v>72</v>
      </c>
      <c r="AK29" s="62">
        <f t="shared" si="6"/>
        <v>75.25</v>
      </c>
      <c r="AP29" s="62" t="e">
        <f t="shared" si="7"/>
        <v>#DIV/0!</v>
      </c>
      <c r="AQ29" s="88">
        <v>45097</v>
      </c>
      <c r="AR29">
        <v>65</v>
      </c>
      <c r="AS29">
        <v>60</v>
      </c>
      <c r="AT29">
        <v>60</v>
      </c>
      <c r="AU29">
        <v>65</v>
      </c>
      <c r="AV29" s="62">
        <f t="shared" si="0"/>
        <v>62.5</v>
      </c>
      <c r="AW29">
        <v>0</v>
      </c>
      <c r="AX29">
        <v>0</v>
      </c>
      <c r="AY29">
        <v>0</v>
      </c>
      <c r="AZ29" s="15">
        <f t="shared" si="8"/>
        <v>0</v>
      </c>
      <c r="BD29" s="15">
        <f t="shared" si="9"/>
        <v>0</v>
      </c>
      <c r="BH29" s="15">
        <f t="shared" si="10"/>
        <v>0</v>
      </c>
      <c r="BI29">
        <v>22.58</v>
      </c>
      <c r="BJ29">
        <v>13.78</v>
      </c>
      <c r="BK29" s="12">
        <f t="shared" si="11"/>
        <v>38.972542072630645</v>
      </c>
      <c r="BL29" s="12">
        <f t="shared" si="12"/>
        <v>1.5890168290522582</v>
      </c>
      <c r="BM29" s="13">
        <f t="shared" si="13"/>
        <v>45135.58901682905</v>
      </c>
      <c r="BN29" s="90">
        <f t="shared" si="14"/>
        <v>87.589016829049797</v>
      </c>
      <c r="BO29">
        <v>6</v>
      </c>
      <c r="BP29" s="17">
        <f t="shared" si="15"/>
        <v>8.6867999999999999</v>
      </c>
      <c r="BQ29">
        <v>9980</v>
      </c>
      <c r="BR29" s="15">
        <v>11.3</v>
      </c>
      <c r="BS29" s="15">
        <f t="shared" si="16"/>
        <v>11780.893527645827</v>
      </c>
      <c r="BT29" s="15">
        <f t="shared" si="17"/>
        <v>219.00378993700573</v>
      </c>
      <c r="BU29" s="16">
        <v>69.617021276595736</v>
      </c>
      <c r="BV29" s="17">
        <v>5.7299999999999995</v>
      </c>
      <c r="BW29" s="17">
        <v>5.7</v>
      </c>
      <c r="BX29" s="90">
        <f t="shared" si="18"/>
        <v>58.603526011560696</v>
      </c>
    </row>
    <row r="30" spans="2:76" x14ac:dyDescent="0.3">
      <c r="B30" s="58">
        <v>2023</v>
      </c>
      <c r="C30" t="s">
        <v>46</v>
      </c>
      <c r="D30">
        <v>126</v>
      </c>
      <c r="E30">
        <v>1</v>
      </c>
      <c r="F30">
        <v>26</v>
      </c>
      <c r="G30" t="s">
        <v>50</v>
      </c>
      <c r="H30">
        <v>8</v>
      </c>
      <c r="I30" t="s">
        <v>57</v>
      </c>
      <c r="J30">
        <v>42</v>
      </c>
      <c r="K30">
        <v>43</v>
      </c>
      <c r="L30" s="16">
        <f t="shared" si="1"/>
        <v>176.12929962702032</v>
      </c>
      <c r="M30">
        <v>43</v>
      </c>
      <c r="N30">
        <v>44</v>
      </c>
      <c r="O30">
        <v>44</v>
      </c>
      <c r="P30">
        <v>42</v>
      </c>
      <c r="Q30" s="62">
        <f t="shared" si="2"/>
        <v>43.25</v>
      </c>
      <c r="R30">
        <v>63</v>
      </c>
      <c r="S30">
        <v>63</v>
      </c>
      <c r="T30">
        <v>68</v>
      </c>
      <c r="U30">
        <v>64</v>
      </c>
      <c r="V30" s="62">
        <f t="shared" si="3"/>
        <v>64.5</v>
      </c>
      <c r="W30">
        <v>73</v>
      </c>
      <c r="X30">
        <v>76</v>
      </c>
      <c r="Y30">
        <v>73</v>
      </c>
      <c r="Z30">
        <v>75</v>
      </c>
      <c r="AA30" s="62">
        <f t="shared" si="4"/>
        <v>74.25</v>
      </c>
      <c r="AB30">
        <v>74</v>
      </c>
      <c r="AC30">
        <v>75</v>
      </c>
      <c r="AD30">
        <v>79</v>
      </c>
      <c r="AE30">
        <v>81</v>
      </c>
      <c r="AF30" s="62">
        <f t="shared" si="5"/>
        <v>77.25</v>
      </c>
      <c r="AG30">
        <v>81</v>
      </c>
      <c r="AH30">
        <v>73</v>
      </c>
      <c r="AI30">
        <v>81</v>
      </c>
      <c r="AJ30">
        <v>80</v>
      </c>
      <c r="AK30" s="62">
        <f t="shared" si="6"/>
        <v>78.75</v>
      </c>
      <c r="AP30" s="62" t="e">
        <f t="shared" si="7"/>
        <v>#DIV/0!</v>
      </c>
      <c r="AQ30" s="88">
        <v>45097</v>
      </c>
      <c r="AR30">
        <v>62</v>
      </c>
      <c r="AS30">
        <v>62</v>
      </c>
      <c r="AT30">
        <v>62</v>
      </c>
      <c r="AU30">
        <v>64</v>
      </c>
      <c r="AV30" s="62">
        <f t="shared" si="0"/>
        <v>62.5</v>
      </c>
      <c r="AW30">
        <v>20</v>
      </c>
      <c r="AX30">
        <v>0</v>
      </c>
      <c r="AY30">
        <v>0</v>
      </c>
      <c r="AZ30" s="15">
        <f t="shared" si="8"/>
        <v>13.333333333333334</v>
      </c>
      <c r="BD30" s="15">
        <f t="shared" si="9"/>
        <v>0</v>
      </c>
      <c r="BH30" s="15">
        <f t="shared" si="10"/>
        <v>0</v>
      </c>
      <c r="BI30">
        <v>20.79</v>
      </c>
      <c r="BJ30">
        <v>12.04</v>
      </c>
      <c r="BK30" s="12">
        <f t="shared" si="11"/>
        <v>42.08754208754209</v>
      </c>
      <c r="BL30" s="12">
        <f t="shared" si="12"/>
        <v>2.8350168350168361</v>
      </c>
      <c r="BM30" s="13">
        <f t="shared" si="13"/>
        <v>45136.835016835015</v>
      </c>
      <c r="BN30" s="90">
        <f t="shared" si="14"/>
        <v>88.835016835015267</v>
      </c>
      <c r="BO30">
        <v>6</v>
      </c>
      <c r="BP30" s="17">
        <f t="shared" si="15"/>
        <v>8.6867999999999999</v>
      </c>
      <c r="BQ30">
        <v>9020</v>
      </c>
      <c r="BR30" s="15">
        <v>9.6</v>
      </c>
      <c r="BS30" s="15">
        <f t="shared" si="16"/>
        <v>10851.731455685473</v>
      </c>
      <c r="BT30" s="15">
        <f t="shared" si="17"/>
        <v>201.73090526594788</v>
      </c>
      <c r="BU30" s="16">
        <v>69.106382978723403</v>
      </c>
      <c r="BV30" s="17">
        <v>5.3100000000000005</v>
      </c>
      <c r="BW30" s="17">
        <v>5.34</v>
      </c>
      <c r="BX30" s="90">
        <f t="shared" si="18"/>
        <v>55.650867052023131</v>
      </c>
    </row>
    <row r="31" spans="2:76" x14ac:dyDescent="0.3">
      <c r="B31" s="58">
        <v>2023</v>
      </c>
      <c r="C31" t="s">
        <v>46</v>
      </c>
      <c r="D31">
        <v>127</v>
      </c>
      <c r="E31">
        <v>1</v>
      </c>
      <c r="F31">
        <v>27</v>
      </c>
      <c r="G31" t="s">
        <v>50</v>
      </c>
      <c r="H31">
        <v>9</v>
      </c>
      <c r="I31" t="s">
        <v>58</v>
      </c>
      <c r="J31">
        <v>37</v>
      </c>
      <c r="K31">
        <v>36</v>
      </c>
      <c r="L31" s="16">
        <f t="shared" si="1"/>
        <v>151.2639867384998</v>
      </c>
      <c r="M31">
        <v>57</v>
      </c>
      <c r="N31">
        <v>38</v>
      </c>
      <c r="O31">
        <v>55</v>
      </c>
      <c r="P31">
        <v>53</v>
      </c>
      <c r="Q31" s="62">
        <f t="shared" si="2"/>
        <v>50.75</v>
      </c>
      <c r="R31">
        <v>69</v>
      </c>
      <c r="S31">
        <v>68</v>
      </c>
      <c r="T31">
        <v>70</v>
      </c>
      <c r="U31">
        <v>68</v>
      </c>
      <c r="V31" s="62">
        <f t="shared" si="3"/>
        <v>68.75</v>
      </c>
      <c r="W31">
        <v>79</v>
      </c>
      <c r="X31">
        <v>70</v>
      </c>
      <c r="Y31">
        <v>80</v>
      </c>
      <c r="Z31">
        <v>80</v>
      </c>
      <c r="AA31" s="62">
        <f t="shared" si="4"/>
        <v>77.25</v>
      </c>
      <c r="AB31">
        <v>74</v>
      </c>
      <c r="AC31">
        <v>76</v>
      </c>
      <c r="AD31">
        <v>77</v>
      </c>
      <c r="AE31">
        <v>85</v>
      </c>
      <c r="AF31" s="62">
        <f t="shared" si="5"/>
        <v>78</v>
      </c>
      <c r="AG31">
        <v>81</v>
      </c>
      <c r="AH31">
        <v>88</v>
      </c>
      <c r="AI31">
        <v>77</v>
      </c>
      <c r="AJ31">
        <v>80</v>
      </c>
      <c r="AK31" s="62">
        <f t="shared" si="6"/>
        <v>81.5</v>
      </c>
      <c r="AP31" s="62" t="e">
        <f t="shared" si="7"/>
        <v>#DIV/0!</v>
      </c>
      <c r="AQ31" s="88">
        <v>45097</v>
      </c>
      <c r="AR31">
        <v>64</v>
      </c>
      <c r="AS31">
        <v>66</v>
      </c>
      <c r="AT31">
        <v>65</v>
      </c>
      <c r="AU31">
        <v>68</v>
      </c>
      <c r="AV31" s="62">
        <f t="shared" si="0"/>
        <v>65.75</v>
      </c>
      <c r="AW31">
        <v>0</v>
      </c>
      <c r="AX31">
        <v>0</v>
      </c>
      <c r="AY31">
        <v>0</v>
      </c>
      <c r="AZ31" s="15">
        <f t="shared" si="8"/>
        <v>0</v>
      </c>
      <c r="BD31" s="15">
        <f t="shared" si="9"/>
        <v>0</v>
      </c>
      <c r="BH31" s="15">
        <f t="shared" si="10"/>
        <v>0</v>
      </c>
      <c r="BI31">
        <v>20.079999999999998</v>
      </c>
      <c r="BJ31">
        <v>13.27</v>
      </c>
      <c r="BK31" s="12">
        <f t="shared" si="11"/>
        <v>33.914342629482071</v>
      </c>
      <c r="BL31" s="12">
        <f t="shared" si="12"/>
        <v>-0.43426294820717148</v>
      </c>
      <c r="BM31" s="13">
        <f t="shared" si="13"/>
        <v>45133.565737051795</v>
      </c>
      <c r="BN31" s="90">
        <f t="shared" si="14"/>
        <v>85.565737051794713</v>
      </c>
      <c r="BO31">
        <v>6</v>
      </c>
      <c r="BP31" s="17">
        <f t="shared" si="15"/>
        <v>8.6867999999999999</v>
      </c>
      <c r="BQ31">
        <v>8410</v>
      </c>
      <c r="BR31" s="15">
        <v>12.2</v>
      </c>
      <c r="BS31" s="15">
        <f t="shared" si="16"/>
        <v>9826.8557622873959</v>
      </c>
      <c r="BT31" s="15">
        <f t="shared" si="17"/>
        <v>182.67872891431696</v>
      </c>
      <c r="BU31" s="16">
        <v>69.702127659574472</v>
      </c>
      <c r="BV31" s="17">
        <v>4.4399999999999995</v>
      </c>
      <c r="BW31" s="17">
        <v>4.5999999999999996</v>
      </c>
      <c r="BX31" s="90">
        <f t="shared" si="18"/>
        <v>45.879306358381498</v>
      </c>
    </row>
    <row r="32" spans="2:76" x14ac:dyDescent="0.3">
      <c r="B32" s="58">
        <v>2023</v>
      </c>
      <c r="C32" t="s">
        <v>46</v>
      </c>
      <c r="D32">
        <v>201</v>
      </c>
      <c r="E32">
        <v>2</v>
      </c>
      <c r="F32">
        <v>27</v>
      </c>
      <c r="G32" t="s">
        <v>50</v>
      </c>
      <c r="H32">
        <v>9</v>
      </c>
      <c r="I32" s="18" t="s">
        <v>58</v>
      </c>
      <c r="J32">
        <v>54</v>
      </c>
      <c r="K32">
        <v>37</v>
      </c>
      <c r="L32" s="16">
        <f t="shared" si="1"/>
        <v>188.56195607128058</v>
      </c>
      <c r="M32">
        <v>58</v>
      </c>
      <c r="N32">
        <v>62</v>
      </c>
      <c r="O32">
        <v>62</v>
      </c>
      <c r="P32">
        <v>57</v>
      </c>
      <c r="Q32" s="62">
        <f t="shared" si="2"/>
        <v>59.75</v>
      </c>
      <c r="R32">
        <v>69</v>
      </c>
      <c r="S32">
        <v>70</v>
      </c>
      <c r="T32">
        <v>71</v>
      </c>
      <c r="U32">
        <v>72</v>
      </c>
      <c r="V32" s="62">
        <f t="shared" si="3"/>
        <v>70.5</v>
      </c>
      <c r="W32">
        <v>75</v>
      </c>
      <c r="X32">
        <v>75</v>
      </c>
      <c r="Y32">
        <v>85</v>
      </c>
      <c r="Z32">
        <v>74</v>
      </c>
      <c r="AA32" s="62">
        <f t="shared" si="4"/>
        <v>77.25</v>
      </c>
      <c r="AB32">
        <v>75</v>
      </c>
      <c r="AC32">
        <v>76</v>
      </c>
      <c r="AD32">
        <v>76</v>
      </c>
      <c r="AE32">
        <v>77</v>
      </c>
      <c r="AF32" s="62">
        <f t="shared" si="5"/>
        <v>76</v>
      </c>
      <c r="AG32">
        <v>74</v>
      </c>
      <c r="AH32">
        <v>78</v>
      </c>
      <c r="AI32">
        <v>75</v>
      </c>
      <c r="AJ32">
        <v>69</v>
      </c>
      <c r="AK32" s="62">
        <f t="shared" si="6"/>
        <v>74</v>
      </c>
      <c r="AP32" s="62" t="e">
        <f t="shared" si="7"/>
        <v>#DIV/0!</v>
      </c>
      <c r="AQ32" s="88">
        <v>45097</v>
      </c>
      <c r="AR32">
        <v>62</v>
      </c>
      <c r="AS32">
        <v>62</v>
      </c>
      <c r="AT32">
        <v>61</v>
      </c>
      <c r="AU32">
        <v>60</v>
      </c>
      <c r="AV32" s="62">
        <f t="shared" si="0"/>
        <v>61.25</v>
      </c>
      <c r="AW32">
        <v>0</v>
      </c>
      <c r="AX32">
        <v>0</v>
      </c>
      <c r="AY32">
        <v>0</v>
      </c>
      <c r="AZ32" s="15">
        <f t="shared" si="8"/>
        <v>0</v>
      </c>
      <c r="BD32" s="15">
        <f t="shared" si="9"/>
        <v>0</v>
      </c>
      <c r="BH32" s="15">
        <f t="shared" si="10"/>
        <v>0</v>
      </c>
      <c r="BI32" s="63">
        <v>12.32</v>
      </c>
      <c r="BJ32" s="64">
        <v>12.55</v>
      </c>
      <c r="BK32" s="65">
        <f t="shared" si="11"/>
        <v>-1.8668831168831204</v>
      </c>
      <c r="BL32" s="65">
        <f t="shared" si="12"/>
        <v>-14.746753246753249</v>
      </c>
      <c r="BM32" s="13">
        <f t="shared" si="13"/>
        <v>45119.253246753244</v>
      </c>
      <c r="BN32" s="90">
        <f t="shared" si="14"/>
        <v>71.253246753243729</v>
      </c>
      <c r="BO32">
        <v>6</v>
      </c>
      <c r="BP32" s="17">
        <f t="shared" si="15"/>
        <v>8.6867999999999999</v>
      </c>
      <c r="BQ32" s="15">
        <v>9960</v>
      </c>
      <c r="BR32">
        <v>9.5</v>
      </c>
      <c r="BS32" s="15">
        <f t="shared" si="16"/>
        <v>11995.876542204358</v>
      </c>
      <c r="BT32" s="15">
        <f t="shared" si="17"/>
        <v>223.00026905379895</v>
      </c>
      <c r="BU32" s="16">
        <v>68.680851063829792</v>
      </c>
      <c r="BV32" s="17">
        <v>5.36</v>
      </c>
      <c r="BW32" s="17">
        <v>5.0999999999999996</v>
      </c>
      <c r="BX32" s="90">
        <f t="shared" si="18"/>
        <v>54.718497109826593</v>
      </c>
    </row>
    <row r="33" spans="2:76" x14ac:dyDescent="0.3">
      <c r="B33" s="58">
        <v>2023</v>
      </c>
      <c r="C33" t="s">
        <v>46</v>
      </c>
      <c r="D33">
        <v>202</v>
      </c>
      <c r="E33">
        <v>2</v>
      </c>
      <c r="F33">
        <v>26</v>
      </c>
      <c r="G33" t="s">
        <v>50</v>
      </c>
      <c r="H33">
        <v>8</v>
      </c>
      <c r="I33" s="18" t="s">
        <v>57</v>
      </c>
      <c r="J33">
        <v>41</v>
      </c>
      <c r="K33">
        <v>37</v>
      </c>
      <c r="L33" s="16">
        <f t="shared" si="1"/>
        <v>161.62453377538336</v>
      </c>
      <c r="M33">
        <v>60</v>
      </c>
      <c r="N33">
        <v>56</v>
      </c>
      <c r="O33">
        <v>49</v>
      </c>
      <c r="P33">
        <v>61</v>
      </c>
      <c r="Q33" s="62">
        <f t="shared" si="2"/>
        <v>56.5</v>
      </c>
      <c r="R33">
        <v>74</v>
      </c>
      <c r="S33">
        <v>71</v>
      </c>
      <c r="T33">
        <v>68</v>
      </c>
      <c r="U33">
        <v>68</v>
      </c>
      <c r="V33" s="62">
        <f t="shared" si="3"/>
        <v>70.25</v>
      </c>
      <c r="W33">
        <v>77</v>
      </c>
      <c r="X33">
        <v>80</v>
      </c>
      <c r="Y33">
        <v>75</v>
      </c>
      <c r="Z33">
        <v>77</v>
      </c>
      <c r="AA33" s="62">
        <f t="shared" si="4"/>
        <v>77.25</v>
      </c>
      <c r="AB33">
        <v>79</v>
      </c>
      <c r="AC33">
        <v>80</v>
      </c>
      <c r="AD33">
        <v>84</v>
      </c>
      <c r="AE33">
        <v>85</v>
      </c>
      <c r="AF33" s="62">
        <f t="shared" si="5"/>
        <v>82</v>
      </c>
      <c r="AG33">
        <v>80</v>
      </c>
      <c r="AH33">
        <v>85</v>
      </c>
      <c r="AI33">
        <v>79</v>
      </c>
      <c r="AJ33">
        <v>77</v>
      </c>
      <c r="AK33" s="62">
        <f t="shared" si="6"/>
        <v>80.25</v>
      </c>
      <c r="AP33" s="62" t="e">
        <f t="shared" si="7"/>
        <v>#DIV/0!</v>
      </c>
      <c r="AQ33" s="88">
        <v>45097</v>
      </c>
      <c r="AR33">
        <v>62</v>
      </c>
      <c r="AS33">
        <v>66</v>
      </c>
      <c r="AT33">
        <v>62</v>
      </c>
      <c r="AU33">
        <v>59</v>
      </c>
      <c r="AV33" s="62">
        <f t="shared" si="0"/>
        <v>62.25</v>
      </c>
      <c r="AW33">
        <v>0</v>
      </c>
      <c r="AX33">
        <v>0</v>
      </c>
      <c r="AY33">
        <v>0</v>
      </c>
      <c r="AZ33" s="15">
        <f t="shared" si="8"/>
        <v>0</v>
      </c>
      <c r="BD33" s="15">
        <f t="shared" si="9"/>
        <v>0</v>
      </c>
      <c r="BH33" s="15">
        <f t="shared" si="10"/>
        <v>0</v>
      </c>
      <c r="BI33">
        <v>19.45</v>
      </c>
      <c r="BJ33">
        <v>14.46</v>
      </c>
      <c r="BK33" s="12">
        <f t="shared" si="11"/>
        <v>25.655526992287907</v>
      </c>
      <c r="BL33" s="12">
        <f t="shared" si="12"/>
        <v>-3.7377892030848372</v>
      </c>
      <c r="BM33" s="13">
        <f t="shared" si="13"/>
        <v>45130.262210796915</v>
      </c>
      <c r="BN33" s="90">
        <f t="shared" si="14"/>
        <v>82.262210796914587</v>
      </c>
      <c r="BO33">
        <v>6</v>
      </c>
      <c r="BP33" s="17">
        <f t="shared" si="15"/>
        <v>8.6867999999999999</v>
      </c>
      <c r="BQ33">
        <v>9460</v>
      </c>
      <c r="BR33">
        <v>10.5</v>
      </c>
      <c r="BS33" s="15">
        <f t="shared" si="16"/>
        <v>11267.776955322021</v>
      </c>
      <c r="BT33" s="15">
        <f t="shared" si="17"/>
        <v>209.46508442585809</v>
      </c>
      <c r="BU33" s="16">
        <v>68.510638297872333</v>
      </c>
      <c r="BV33" s="17">
        <v>5.55</v>
      </c>
      <c r="BW33" s="17">
        <v>4.83</v>
      </c>
      <c r="BX33" s="90">
        <f t="shared" si="18"/>
        <v>53.699999999999996</v>
      </c>
    </row>
    <row r="34" spans="2:76" x14ac:dyDescent="0.3">
      <c r="B34" s="58">
        <v>2023</v>
      </c>
      <c r="C34" t="s">
        <v>46</v>
      </c>
      <c r="D34">
        <v>203</v>
      </c>
      <c r="E34">
        <v>2</v>
      </c>
      <c r="F34">
        <v>24</v>
      </c>
      <c r="G34" t="s">
        <v>50</v>
      </c>
      <c r="H34">
        <v>6</v>
      </c>
      <c r="I34" s="18" t="s">
        <v>55</v>
      </c>
      <c r="J34">
        <v>46</v>
      </c>
      <c r="K34">
        <v>37</v>
      </c>
      <c r="L34" s="16">
        <f t="shared" si="1"/>
        <v>171.98508081226689</v>
      </c>
      <c r="M34">
        <v>60</v>
      </c>
      <c r="N34">
        <v>53</v>
      </c>
      <c r="O34">
        <v>61</v>
      </c>
      <c r="P34">
        <v>56</v>
      </c>
      <c r="Q34" s="62">
        <f t="shared" si="2"/>
        <v>57.5</v>
      </c>
      <c r="R34">
        <v>65</v>
      </c>
      <c r="S34">
        <v>66</v>
      </c>
      <c r="T34">
        <v>67</v>
      </c>
      <c r="U34">
        <v>71</v>
      </c>
      <c r="V34" s="62">
        <f t="shared" si="3"/>
        <v>67.25</v>
      </c>
      <c r="W34">
        <v>74</v>
      </c>
      <c r="X34">
        <v>75</v>
      </c>
      <c r="Y34">
        <v>73</v>
      </c>
      <c r="Z34">
        <v>80</v>
      </c>
      <c r="AA34" s="62">
        <f t="shared" si="4"/>
        <v>75.5</v>
      </c>
      <c r="AB34">
        <v>75</v>
      </c>
      <c r="AC34">
        <v>78</v>
      </c>
      <c r="AD34">
        <v>73</v>
      </c>
      <c r="AE34">
        <v>81</v>
      </c>
      <c r="AF34" s="62">
        <f t="shared" si="5"/>
        <v>76.75</v>
      </c>
      <c r="AG34">
        <v>77</v>
      </c>
      <c r="AH34">
        <v>77</v>
      </c>
      <c r="AI34">
        <v>74</v>
      </c>
      <c r="AJ34">
        <v>69</v>
      </c>
      <c r="AK34" s="62">
        <f t="shared" si="6"/>
        <v>74.25</v>
      </c>
      <c r="AP34" s="62" t="e">
        <f t="shared" si="7"/>
        <v>#DIV/0!</v>
      </c>
      <c r="AQ34" s="88">
        <v>45097</v>
      </c>
      <c r="AR34">
        <v>58</v>
      </c>
      <c r="AS34">
        <v>53</v>
      </c>
      <c r="AT34">
        <v>60</v>
      </c>
      <c r="AU34">
        <v>59</v>
      </c>
      <c r="AV34" s="62">
        <f t="shared" si="0"/>
        <v>57.5</v>
      </c>
      <c r="AW34">
        <v>0</v>
      </c>
      <c r="AX34">
        <v>0</v>
      </c>
      <c r="AY34">
        <v>0</v>
      </c>
      <c r="AZ34" s="15">
        <f t="shared" si="8"/>
        <v>0</v>
      </c>
      <c r="BD34" s="15">
        <f t="shared" si="9"/>
        <v>0</v>
      </c>
      <c r="BH34" s="15">
        <f t="shared" si="10"/>
        <v>0</v>
      </c>
      <c r="BI34" s="63">
        <v>12.82</v>
      </c>
      <c r="BJ34" s="63">
        <v>14.07</v>
      </c>
      <c r="BK34" s="65">
        <f t="shared" si="11"/>
        <v>-9.7503900156006242</v>
      </c>
      <c r="BL34" s="65">
        <f t="shared" si="12"/>
        <v>-17.900156006240248</v>
      </c>
      <c r="BM34" s="13">
        <f t="shared" si="13"/>
        <v>45116.099843993761</v>
      </c>
      <c r="BN34" s="90">
        <f t="shared" si="14"/>
        <v>68.099843993761169</v>
      </c>
      <c r="BO34">
        <v>6</v>
      </c>
      <c r="BP34" s="17">
        <f t="shared" si="15"/>
        <v>8.6867999999999999</v>
      </c>
      <c r="BQ34">
        <v>10180</v>
      </c>
      <c r="BR34">
        <v>12.3</v>
      </c>
      <c r="BS34" s="15">
        <f t="shared" si="16"/>
        <v>11881.504620258334</v>
      </c>
      <c r="BT34" s="15">
        <f t="shared" si="17"/>
        <v>220.87412435095624</v>
      </c>
      <c r="BU34" s="16">
        <v>68.297872340425528</v>
      </c>
      <c r="BV34" s="17">
        <v>5.15</v>
      </c>
      <c r="BW34" s="17">
        <v>5.43</v>
      </c>
      <c r="BX34" s="90">
        <f t="shared" si="18"/>
        <v>53.633872832369939</v>
      </c>
    </row>
    <row r="35" spans="2:76" x14ac:dyDescent="0.3">
      <c r="B35" s="58">
        <v>2023</v>
      </c>
      <c r="C35" t="s">
        <v>46</v>
      </c>
      <c r="D35">
        <v>204</v>
      </c>
      <c r="E35">
        <v>2</v>
      </c>
      <c r="F35">
        <v>22</v>
      </c>
      <c r="G35" t="s">
        <v>50</v>
      </c>
      <c r="H35">
        <v>4</v>
      </c>
      <c r="I35" s="18" t="s">
        <v>52</v>
      </c>
      <c r="J35">
        <v>44</v>
      </c>
      <c r="K35">
        <v>39</v>
      </c>
      <c r="L35" s="16">
        <f t="shared" si="1"/>
        <v>171.98508081226689</v>
      </c>
      <c r="M35">
        <v>55</v>
      </c>
      <c r="N35">
        <v>62</v>
      </c>
      <c r="O35">
        <v>59</v>
      </c>
      <c r="P35">
        <v>50</v>
      </c>
      <c r="Q35" s="62">
        <f t="shared" si="2"/>
        <v>56.5</v>
      </c>
      <c r="R35">
        <v>70</v>
      </c>
      <c r="S35">
        <v>68</v>
      </c>
      <c r="T35">
        <v>65</v>
      </c>
      <c r="U35">
        <v>70</v>
      </c>
      <c r="V35" s="62">
        <f t="shared" si="3"/>
        <v>68.25</v>
      </c>
      <c r="W35">
        <v>74</v>
      </c>
      <c r="X35">
        <v>80</v>
      </c>
      <c r="Y35">
        <v>80</v>
      </c>
      <c r="Z35">
        <v>80</v>
      </c>
      <c r="AA35" s="62">
        <f t="shared" si="4"/>
        <v>78.5</v>
      </c>
      <c r="AB35">
        <v>81</v>
      </c>
      <c r="AC35">
        <v>86</v>
      </c>
      <c r="AD35">
        <v>86</v>
      </c>
      <c r="AE35">
        <v>82</v>
      </c>
      <c r="AF35" s="62">
        <f t="shared" si="5"/>
        <v>83.75</v>
      </c>
      <c r="AG35">
        <v>78</v>
      </c>
      <c r="AH35">
        <v>82</v>
      </c>
      <c r="AI35">
        <v>88</v>
      </c>
      <c r="AJ35">
        <v>84</v>
      </c>
      <c r="AK35" s="62">
        <f t="shared" si="6"/>
        <v>83</v>
      </c>
      <c r="AP35" s="62" t="e">
        <f t="shared" si="7"/>
        <v>#DIV/0!</v>
      </c>
      <c r="AQ35" s="88">
        <v>45097</v>
      </c>
      <c r="AR35">
        <v>65</v>
      </c>
      <c r="AS35">
        <v>66</v>
      </c>
      <c r="AT35">
        <v>61</v>
      </c>
      <c r="AU35">
        <v>62</v>
      </c>
      <c r="AV35" s="62">
        <f t="shared" si="0"/>
        <v>63.5</v>
      </c>
      <c r="AW35">
        <v>5</v>
      </c>
      <c r="AX35">
        <v>0</v>
      </c>
      <c r="AY35">
        <v>0</v>
      </c>
      <c r="AZ35" s="15">
        <f t="shared" si="8"/>
        <v>3.3333333333333335</v>
      </c>
      <c r="BD35" s="15">
        <f t="shared" si="9"/>
        <v>0</v>
      </c>
      <c r="BH35" s="15">
        <f t="shared" si="10"/>
        <v>0</v>
      </c>
      <c r="BI35">
        <v>20.5</v>
      </c>
      <c r="BJ35">
        <v>14</v>
      </c>
      <c r="BK35" s="12">
        <f t="shared" si="11"/>
        <v>31.707317073170731</v>
      </c>
      <c r="BL35" s="12">
        <f t="shared" si="12"/>
        <v>-1.3170731707317074</v>
      </c>
      <c r="BM35" s="13">
        <f t="shared" si="13"/>
        <v>45132.682926829271</v>
      </c>
      <c r="BN35" s="90">
        <f t="shared" si="14"/>
        <v>84.68292682927131</v>
      </c>
      <c r="BO35">
        <v>6</v>
      </c>
      <c r="BP35" s="17">
        <f t="shared" si="15"/>
        <v>8.6867999999999999</v>
      </c>
      <c r="BQ35">
        <v>11010</v>
      </c>
      <c r="BR35">
        <v>12.7</v>
      </c>
      <c r="BS35" s="15">
        <f t="shared" si="16"/>
        <v>12791.622449688464</v>
      </c>
      <c r="BT35" s="15">
        <f t="shared" si="17"/>
        <v>237.79298143651633</v>
      </c>
      <c r="BU35" s="16">
        <v>68.978723404255319</v>
      </c>
      <c r="BV35" s="17">
        <v>5.0999999999999996</v>
      </c>
      <c r="BW35" s="17">
        <v>5.66</v>
      </c>
      <c r="BX35" s="90">
        <f t="shared" si="18"/>
        <v>54.297572254335257</v>
      </c>
    </row>
    <row r="36" spans="2:76" x14ac:dyDescent="0.3">
      <c r="B36" s="58">
        <v>2023</v>
      </c>
      <c r="C36" t="s">
        <v>46</v>
      </c>
      <c r="D36">
        <v>205</v>
      </c>
      <c r="E36">
        <v>2</v>
      </c>
      <c r="F36">
        <v>19</v>
      </c>
      <c r="G36" t="s">
        <v>50</v>
      </c>
      <c r="H36">
        <v>1</v>
      </c>
      <c r="I36" s="18" t="s">
        <v>0</v>
      </c>
      <c r="J36">
        <v>38</v>
      </c>
      <c r="K36">
        <v>42</v>
      </c>
      <c r="L36" s="16">
        <f t="shared" si="1"/>
        <v>165.76875259013676</v>
      </c>
      <c r="M36">
        <v>58</v>
      </c>
      <c r="N36">
        <v>62</v>
      </c>
      <c r="O36">
        <v>54</v>
      </c>
      <c r="P36">
        <v>56</v>
      </c>
      <c r="Q36" s="62">
        <f t="shared" si="2"/>
        <v>57.5</v>
      </c>
      <c r="R36">
        <v>71</v>
      </c>
      <c r="S36">
        <v>67</v>
      </c>
      <c r="T36">
        <v>73</v>
      </c>
      <c r="U36">
        <v>72</v>
      </c>
      <c r="V36" s="62">
        <f t="shared" si="3"/>
        <v>70.75</v>
      </c>
      <c r="W36">
        <v>80</v>
      </c>
      <c r="X36">
        <v>80</v>
      </c>
      <c r="Y36">
        <v>73</v>
      </c>
      <c r="Z36">
        <v>80</v>
      </c>
      <c r="AA36" s="62">
        <f t="shared" si="4"/>
        <v>78.25</v>
      </c>
      <c r="AB36">
        <v>86</v>
      </c>
      <c r="AC36">
        <v>86</v>
      </c>
      <c r="AD36">
        <v>84</v>
      </c>
      <c r="AE36">
        <v>82</v>
      </c>
      <c r="AF36" s="62">
        <f t="shared" si="5"/>
        <v>84.5</v>
      </c>
      <c r="AG36">
        <v>82</v>
      </c>
      <c r="AH36">
        <v>80</v>
      </c>
      <c r="AI36">
        <v>77</v>
      </c>
      <c r="AJ36">
        <v>84</v>
      </c>
      <c r="AK36" s="62">
        <f t="shared" si="6"/>
        <v>80.75</v>
      </c>
      <c r="AP36" s="62" t="e">
        <f t="shared" si="7"/>
        <v>#DIV/0!</v>
      </c>
      <c r="AQ36" s="88">
        <v>45097</v>
      </c>
      <c r="AR36">
        <v>65</v>
      </c>
      <c r="AS36">
        <v>62</v>
      </c>
      <c r="AT36">
        <v>59</v>
      </c>
      <c r="AU36">
        <v>59</v>
      </c>
      <c r="AV36" s="62">
        <f t="shared" si="0"/>
        <v>61.25</v>
      </c>
      <c r="AW36">
        <v>5</v>
      </c>
      <c r="AX36">
        <v>0</v>
      </c>
      <c r="AY36">
        <v>0</v>
      </c>
      <c r="AZ36" s="15">
        <f t="shared" si="8"/>
        <v>3.3333333333333335</v>
      </c>
      <c r="BD36" s="15">
        <f t="shared" si="9"/>
        <v>0</v>
      </c>
      <c r="BH36" s="15">
        <f t="shared" si="10"/>
        <v>0</v>
      </c>
      <c r="BI36">
        <v>13.7</v>
      </c>
      <c r="BJ36">
        <v>10.9</v>
      </c>
      <c r="BK36" s="12">
        <f t="shared" si="11"/>
        <v>20.437956204379557</v>
      </c>
      <c r="BL36" s="12">
        <f t="shared" si="12"/>
        <v>-5.8248175182481772</v>
      </c>
      <c r="BM36" s="13">
        <f t="shared" si="13"/>
        <v>45128.175182481755</v>
      </c>
      <c r="BN36" s="90">
        <f t="shared" si="14"/>
        <v>80.175182481754746</v>
      </c>
      <c r="BO36">
        <v>6</v>
      </c>
      <c r="BP36" s="17">
        <f t="shared" si="15"/>
        <v>8.6867999999999999</v>
      </c>
      <c r="BQ36">
        <v>10640</v>
      </c>
      <c r="BR36">
        <v>11.8</v>
      </c>
      <c r="BS36" s="15">
        <f t="shared" si="16"/>
        <v>12489.190296299668</v>
      </c>
      <c r="BT36" s="15">
        <f t="shared" si="17"/>
        <v>232.17084525172461</v>
      </c>
      <c r="BU36" s="16">
        <v>69.40425531914893</v>
      </c>
      <c r="BV36" s="17">
        <v>5.38</v>
      </c>
      <c r="BW36" s="17">
        <v>6.1899999999999995</v>
      </c>
      <c r="BX36" s="90">
        <f t="shared" si="18"/>
        <v>58.986936416184975</v>
      </c>
    </row>
    <row r="37" spans="2:76" x14ac:dyDescent="0.3">
      <c r="B37" s="58">
        <v>2023</v>
      </c>
      <c r="C37" t="s">
        <v>46</v>
      </c>
      <c r="D37">
        <v>206</v>
      </c>
      <c r="E37">
        <v>2</v>
      </c>
      <c r="F37">
        <v>25</v>
      </c>
      <c r="G37" t="s">
        <v>50</v>
      </c>
      <c r="H37">
        <v>7</v>
      </c>
      <c r="I37" s="18" t="s">
        <v>56</v>
      </c>
      <c r="J37">
        <v>38</v>
      </c>
      <c r="K37">
        <v>71</v>
      </c>
      <c r="L37" s="16">
        <f t="shared" si="1"/>
        <v>225.85992540406136</v>
      </c>
      <c r="M37">
        <v>59</v>
      </c>
      <c r="N37">
        <v>60</v>
      </c>
      <c r="O37">
        <v>59</v>
      </c>
      <c r="P37">
        <v>65</v>
      </c>
      <c r="Q37" s="62">
        <f t="shared" si="2"/>
        <v>60.75</v>
      </c>
      <c r="R37">
        <v>66</v>
      </c>
      <c r="S37">
        <v>73</v>
      </c>
      <c r="T37">
        <v>74</v>
      </c>
      <c r="U37">
        <v>74</v>
      </c>
      <c r="V37" s="62">
        <f t="shared" si="3"/>
        <v>71.75</v>
      </c>
      <c r="W37">
        <v>80</v>
      </c>
      <c r="X37">
        <v>80</v>
      </c>
      <c r="Y37">
        <v>80</v>
      </c>
      <c r="Z37">
        <v>77</v>
      </c>
      <c r="AA37" s="62">
        <f t="shared" si="4"/>
        <v>79.25</v>
      </c>
      <c r="AB37">
        <v>81</v>
      </c>
      <c r="AC37">
        <v>72</v>
      </c>
      <c r="AD37">
        <v>74</v>
      </c>
      <c r="AE37">
        <v>81</v>
      </c>
      <c r="AF37" s="62">
        <f t="shared" si="5"/>
        <v>77</v>
      </c>
      <c r="AG37">
        <v>77</v>
      </c>
      <c r="AH37">
        <v>78</v>
      </c>
      <c r="AI37">
        <v>83</v>
      </c>
      <c r="AJ37">
        <v>76</v>
      </c>
      <c r="AK37" s="62">
        <f t="shared" si="6"/>
        <v>78.5</v>
      </c>
      <c r="AP37" s="62" t="e">
        <f t="shared" si="7"/>
        <v>#DIV/0!</v>
      </c>
      <c r="AQ37" s="88">
        <v>45097</v>
      </c>
      <c r="AR37">
        <v>62</v>
      </c>
      <c r="AS37">
        <v>67</v>
      </c>
      <c r="AT37">
        <v>61</v>
      </c>
      <c r="AU37">
        <v>63</v>
      </c>
      <c r="AV37" s="62">
        <f t="shared" ref="AV37:AV68" si="19">AVERAGE(AR37:AU37)</f>
        <v>63.25</v>
      </c>
      <c r="AW37">
        <v>0</v>
      </c>
      <c r="AX37">
        <v>0</v>
      </c>
      <c r="AY37">
        <v>0</v>
      </c>
      <c r="AZ37" s="15">
        <f t="shared" si="8"/>
        <v>0</v>
      </c>
      <c r="BD37" s="15">
        <f t="shared" si="9"/>
        <v>0</v>
      </c>
      <c r="BH37" s="15">
        <f t="shared" si="10"/>
        <v>0</v>
      </c>
      <c r="BI37">
        <v>18.95</v>
      </c>
      <c r="BJ37">
        <v>10.64</v>
      </c>
      <c r="BK37" s="12">
        <f t="shared" si="11"/>
        <v>43.852242744063318</v>
      </c>
      <c r="BL37" s="12">
        <f t="shared" si="12"/>
        <v>3.5408970976253271</v>
      </c>
      <c r="BM37" s="13">
        <f t="shared" si="13"/>
        <v>45137.540897097628</v>
      </c>
      <c r="BN37" s="90">
        <f t="shared" si="14"/>
        <v>89.540897097627749</v>
      </c>
      <c r="BO37">
        <v>6</v>
      </c>
      <c r="BP37" s="17">
        <f t="shared" si="15"/>
        <v>8.6867999999999999</v>
      </c>
      <c r="BQ37">
        <v>10210</v>
      </c>
      <c r="BR37">
        <v>11</v>
      </c>
      <c r="BS37" s="15">
        <f t="shared" si="16"/>
        <v>12093.16054842095</v>
      </c>
      <c r="BT37" s="15">
        <f t="shared" si="17"/>
        <v>224.80875378474843</v>
      </c>
      <c r="BU37" s="16">
        <v>69.063829787234042</v>
      </c>
      <c r="BV37" s="17">
        <v>0.59000000000000008</v>
      </c>
      <c r="BW37" s="17">
        <v>5.32</v>
      </c>
      <c r="BX37" s="90">
        <f t="shared" si="18"/>
        <v>30.404046242774569</v>
      </c>
    </row>
    <row r="38" spans="2:76" x14ac:dyDescent="0.3">
      <c r="B38" s="58">
        <v>2023</v>
      </c>
      <c r="C38" t="s">
        <v>46</v>
      </c>
      <c r="D38">
        <v>207</v>
      </c>
      <c r="E38">
        <v>2</v>
      </c>
      <c r="F38">
        <v>23</v>
      </c>
      <c r="G38" t="s">
        <v>50</v>
      </c>
      <c r="H38">
        <v>5</v>
      </c>
      <c r="I38" s="18" t="s">
        <v>54</v>
      </c>
      <c r="J38">
        <v>43</v>
      </c>
      <c r="K38">
        <v>45</v>
      </c>
      <c r="L38" s="16">
        <f t="shared" si="1"/>
        <v>182.34562784915045</v>
      </c>
      <c r="M38">
        <v>65</v>
      </c>
      <c r="N38">
        <v>62</v>
      </c>
      <c r="O38">
        <v>58</v>
      </c>
      <c r="P38">
        <v>60</v>
      </c>
      <c r="Q38" s="62">
        <f t="shared" si="2"/>
        <v>61.25</v>
      </c>
      <c r="R38">
        <v>72</v>
      </c>
      <c r="S38">
        <v>70</v>
      </c>
      <c r="T38">
        <v>75</v>
      </c>
      <c r="U38">
        <v>71</v>
      </c>
      <c r="V38" s="62">
        <f t="shared" si="3"/>
        <v>72</v>
      </c>
      <c r="W38">
        <v>75</v>
      </c>
      <c r="X38">
        <v>79</v>
      </c>
      <c r="Y38">
        <v>81</v>
      </c>
      <c r="Z38">
        <v>80</v>
      </c>
      <c r="AA38" s="62">
        <f t="shared" si="4"/>
        <v>78.75</v>
      </c>
      <c r="AB38">
        <v>81</v>
      </c>
      <c r="AC38">
        <v>83</v>
      </c>
      <c r="AD38">
        <v>82</v>
      </c>
      <c r="AE38">
        <v>80</v>
      </c>
      <c r="AF38" s="62">
        <f t="shared" si="5"/>
        <v>81.5</v>
      </c>
      <c r="AG38">
        <v>80</v>
      </c>
      <c r="AH38">
        <v>82</v>
      </c>
      <c r="AI38">
        <v>82</v>
      </c>
      <c r="AJ38">
        <v>82</v>
      </c>
      <c r="AK38" s="62">
        <f t="shared" si="6"/>
        <v>81.5</v>
      </c>
      <c r="AP38" s="62" t="e">
        <f t="shared" si="7"/>
        <v>#DIV/0!</v>
      </c>
      <c r="AQ38" s="88">
        <v>45097</v>
      </c>
      <c r="AR38">
        <v>66</v>
      </c>
      <c r="AS38">
        <v>62</v>
      </c>
      <c r="AT38">
        <v>55</v>
      </c>
      <c r="AU38">
        <v>65</v>
      </c>
      <c r="AV38" s="62">
        <f t="shared" si="19"/>
        <v>62</v>
      </c>
      <c r="AW38">
        <v>0</v>
      </c>
      <c r="AX38">
        <v>0</v>
      </c>
      <c r="AY38">
        <v>0</v>
      </c>
      <c r="AZ38" s="15">
        <f t="shared" si="8"/>
        <v>0</v>
      </c>
      <c r="BD38" s="15">
        <f t="shared" si="9"/>
        <v>0</v>
      </c>
      <c r="BH38" s="15">
        <f t="shared" si="10"/>
        <v>0</v>
      </c>
      <c r="BI38">
        <v>19.13</v>
      </c>
      <c r="BJ38">
        <v>11.63</v>
      </c>
      <c r="BK38" s="12">
        <f t="shared" si="11"/>
        <v>39.205436487192884</v>
      </c>
      <c r="BL38" s="12">
        <f t="shared" si="12"/>
        <v>1.6821745948771536</v>
      </c>
      <c r="BM38" s="13">
        <f t="shared" si="13"/>
        <v>45135.682174594876</v>
      </c>
      <c r="BN38" s="90">
        <f t="shared" si="14"/>
        <v>87.682174594876415</v>
      </c>
      <c r="BO38">
        <v>6</v>
      </c>
      <c r="BP38" s="17">
        <f t="shared" si="15"/>
        <v>8.6867999999999999</v>
      </c>
      <c r="BQ38">
        <v>10800</v>
      </c>
      <c r="BR38">
        <v>11.1</v>
      </c>
      <c r="BS38" s="15">
        <f t="shared" si="16"/>
        <v>12777.608761788868</v>
      </c>
      <c r="BT38" s="15">
        <f t="shared" si="17"/>
        <v>237.53247057171615</v>
      </c>
      <c r="BU38" s="16">
        <v>69.361702127659569</v>
      </c>
      <c r="BV38" s="17">
        <v>5.2799999999999994</v>
      </c>
      <c r="BW38" s="17">
        <v>5.37</v>
      </c>
      <c r="BX38" s="90">
        <f t="shared" si="18"/>
        <v>54.727456647398839</v>
      </c>
    </row>
    <row r="39" spans="2:76" x14ac:dyDescent="0.3">
      <c r="B39" s="58">
        <v>2023</v>
      </c>
      <c r="C39" t="s">
        <v>46</v>
      </c>
      <c r="D39">
        <v>208</v>
      </c>
      <c r="E39">
        <v>2</v>
      </c>
      <c r="F39">
        <v>21</v>
      </c>
      <c r="G39" t="s">
        <v>50</v>
      </c>
      <c r="H39">
        <v>3</v>
      </c>
      <c r="I39" s="18" t="s">
        <v>51</v>
      </c>
      <c r="J39">
        <v>37</v>
      </c>
      <c r="K39">
        <v>30</v>
      </c>
      <c r="L39" s="16">
        <f t="shared" si="1"/>
        <v>138.83133029423954</v>
      </c>
      <c r="M39">
        <v>60</v>
      </c>
      <c r="N39">
        <v>59</v>
      </c>
      <c r="O39">
        <v>60</v>
      </c>
      <c r="P39">
        <v>63</v>
      </c>
      <c r="Q39" s="62">
        <f t="shared" si="2"/>
        <v>60.5</v>
      </c>
      <c r="R39">
        <v>68</v>
      </c>
      <c r="S39">
        <v>70</v>
      </c>
      <c r="T39">
        <v>70</v>
      </c>
      <c r="U39">
        <v>75</v>
      </c>
      <c r="V39" s="62">
        <f t="shared" si="3"/>
        <v>70.75</v>
      </c>
      <c r="W39">
        <v>81</v>
      </c>
      <c r="X39">
        <v>85</v>
      </c>
      <c r="Y39">
        <v>83</v>
      </c>
      <c r="Z39">
        <v>77</v>
      </c>
      <c r="AA39" s="62">
        <f t="shared" si="4"/>
        <v>81.5</v>
      </c>
      <c r="AB39">
        <v>83</v>
      </c>
      <c r="AC39">
        <v>84</v>
      </c>
      <c r="AD39">
        <v>85</v>
      </c>
      <c r="AE39">
        <v>85</v>
      </c>
      <c r="AF39" s="62">
        <f t="shared" si="5"/>
        <v>84.25</v>
      </c>
      <c r="AG39">
        <v>73</v>
      </c>
      <c r="AH39">
        <v>85</v>
      </c>
      <c r="AI39">
        <v>83</v>
      </c>
      <c r="AJ39">
        <v>77</v>
      </c>
      <c r="AK39" s="62">
        <f t="shared" si="6"/>
        <v>79.5</v>
      </c>
      <c r="AP39" s="62" t="e">
        <f t="shared" si="7"/>
        <v>#DIV/0!</v>
      </c>
      <c r="AQ39" s="88">
        <v>45097</v>
      </c>
      <c r="AR39">
        <v>68</v>
      </c>
      <c r="AS39">
        <v>66</v>
      </c>
      <c r="AT39">
        <v>73</v>
      </c>
      <c r="AU39">
        <v>69</v>
      </c>
      <c r="AV39" s="62">
        <f t="shared" si="19"/>
        <v>69</v>
      </c>
      <c r="AW39">
        <v>30</v>
      </c>
      <c r="AX39">
        <v>0</v>
      </c>
      <c r="AY39">
        <v>0</v>
      </c>
      <c r="AZ39" s="15">
        <f t="shared" si="8"/>
        <v>20</v>
      </c>
      <c r="BA39">
        <v>5</v>
      </c>
      <c r="BD39" s="15">
        <f t="shared" si="9"/>
        <v>3.3333333333333335</v>
      </c>
      <c r="BH39" s="15">
        <f t="shared" si="10"/>
        <v>0</v>
      </c>
      <c r="BI39">
        <v>19.43</v>
      </c>
      <c r="BJ39">
        <v>11.3</v>
      </c>
      <c r="BK39" s="12">
        <f t="shared" si="11"/>
        <v>41.84251158003088</v>
      </c>
      <c r="BL39" s="12">
        <f t="shared" si="12"/>
        <v>2.737004632012352</v>
      </c>
      <c r="BM39" s="13">
        <f t="shared" si="13"/>
        <v>45136.737004632014</v>
      </c>
      <c r="BN39" s="90">
        <f t="shared" si="14"/>
        <v>88.73700463201385</v>
      </c>
      <c r="BO39">
        <v>6</v>
      </c>
      <c r="BP39" s="17">
        <f t="shared" si="15"/>
        <v>8.6867999999999999</v>
      </c>
      <c r="BQ39">
        <v>10520</v>
      </c>
      <c r="BR39">
        <v>10.4</v>
      </c>
      <c r="BS39" s="15">
        <f t="shared" si="16"/>
        <v>12544.340080398377</v>
      </c>
      <c r="BT39" s="15">
        <f t="shared" si="17"/>
        <v>233.1960655971493</v>
      </c>
      <c r="BU39" s="16">
        <v>69.276595744680847</v>
      </c>
      <c r="BV39" s="17">
        <v>5.86</v>
      </c>
      <c r="BW39" s="17">
        <v>5.83</v>
      </c>
      <c r="BX39" s="90">
        <f t="shared" si="18"/>
        <v>60.54473988439306</v>
      </c>
    </row>
    <row r="40" spans="2:76" x14ac:dyDescent="0.3">
      <c r="B40" s="58">
        <v>2023</v>
      </c>
      <c r="C40" t="s">
        <v>46</v>
      </c>
      <c r="D40">
        <v>209</v>
      </c>
      <c r="E40">
        <v>2</v>
      </c>
      <c r="F40">
        <v>20</v>
      </c>
      <c r="G40" t="s">
        <v>50</v>
      </c>
      <c r="H40">
        <v>2</v>
      </c>
      <c r="I40" s="18" t="s">
        <v>53</v>
      </c>
      <c r="J40">
        <v>36</v>
      </c>
      <c r="K40">
        <v>29</v>
      </c>
      <c r="L40" s="16">
        <f t="shared" si="1"/>
        <v>134.68711147948613</v>
      </c>
      <c r="M40">
        <v>59</v>
      </c>
      <c r="N40">
        <v>54</v>
      </c>
      <c r="O40">
        <v>63</v>
      </c>
      <c r="P40">
        <v>60</v>
      </c>
      <c r="Q40" s="62">
        <f t="shared" si="2"/>
        <v>59</v>
      </c>
      <c r="R40">
        <v>69</v>
      </c>
      <c r="S40">
        <v>69</v>
      </c>
      <c r="T40">
        <v>76</v>
      </c>
      <c r="U40">
        <v>75</v>
      </c>
      <c r="V40" s="62">
        <f t="shared" si="3"/>
        <v>72.25</v>
      </c>
      <c r="W40">
        <v>80</v>
      </c>
      <c r="X40">
        <v>82</v>
      </c>
      <c r="Y40">
        <v>84</v>
      </c>
      <c r="Z40">
        <v>77</v>
      </c>
      <c r="AA40" s="62">
        <f t="shared" si="4"/>
        <v>80.75</v>
      </c>
      <c r="AB40">
        <v>80</v>
      </c>
      <c r="AC40">
        <v>83</v>
      </c>
      <c r="AD40">
        <v>85</v>
      </c>
      <c r="AE40">
        <v>86</v>
      </c>
      <c r="AF40" s="62">
        <f t="shared" si="5"/>
        <v>83.5</v>
      </c>
      <c r="AG40">
        <v>91</v>
      </c>
      <c r="AH40">
        <v>93</v>
      </c>
      <c r="AI40">
        <v>91</v>
      </c>
      <c r="AJ40">
        <v>85</v>
      </c>
      <c r="AK40" s="62">
        <f t="shared" si="6"/>
        <v>90</v>
      </c>
      <c r="AP40" s="62" t="e">
        <f t="shared" si="7"/>
        <v>#DIV/0!</v>
      </c>
      <c r="AQ40" s="88">
        <v>45097</v>
      </c>
      <c r="AR40">
        <v>70</v>
      </c>
      <c r="AS40">
        <v>68</v>
      </c>
      <c r="AT40">
        <v>62</v>
      </c>
      <c r="AU40">
        <v>59</v>
      </c>
      <c r="AV40" s="62">
        <f t="shared" si="19"/>
        <v>64.75</v>
      </c>
      <c r="AW40">
        <v>5</v>
      </c>
      <c r="AX40">
        <v>0</v>
      </c>
      <c r="AY40">
        <v>0</v>
      </c>
      <c r="AZ40" s="15">
        <f t="shared" si="8"/>
        <v>3.3333333333333335</v>
      </c>
      <c r="BA40">
        <v>35</v>
      </c>
      <c r="BD40" s="15">
        <f t="shared" si="9"/>
        <v>23.333333333333332</v>
      </c>
      <c r="BH40" s="15">
        <f t="shared" si="10"/>
        <v>0</v>
      </c>
      <c r="BI40">
        <v>23.4</v>
      </c>
      <c r="BJ40">
        <v>13.97</v>
      </c>
      <c r="BK40" s="12">
        <f t="shared" si="11"/>
        <v>40.299145299145295</v>
      </c>
      <c r="BL40" s="12">
        <f t="shared" si="12"/>
        <v>2.1196581196581179</v>
      </c>
      <c r="BM40" s="13">
        <f t="shared" si="13"/>
        <v>45136.119658119656</v>
      </c>
      <c r="BN40" s="90">
        <f t="shared" si="14"/>
        <v>88.119658119656378</v>
      </c>
      <c r="BO40">
        <v>6</v>
      </c>
      <c r="BP40" s="17">
        <f t="shared" si="15"/>
        <v>8.6867999999999999</v>
      </c>
      <c r="BQ40">
        <v>10540</v>
      </c>
      <c r="BR40">
        <v>12.4</v>
      </c>
      <c r="BS40" s="15">
        <f t="shared" si="16"/>
        <v>12287.648710780635</v>
      </c>
      <c r="BT40" s="15">
        <f t="shared" si="17"/>
        <v>228.42423885425541</v>
      </c>
      <c r="BU40" s="16">
        <v>69.063829787234042</v>
      </c>
      <c r="BV40" s="17">
        <v>5.34</v>
      </c>
      <c r="BW40" s="17">
        <v>5.7299999999999995</v>
      </c>
      <c r="BX40" s="90">
        <f t="shared" si="18"/>
        <v>56.05387283236994</v>
      </c>
    </row>
    <row r="41" spans="2:76" x14ac:dyDescent="0.3">
      <c r="B41" s="58">
        <v>2023</v>
      </c>
      <c r="C41" t="s">
        <v>46</v>
      </c>
      <c r="D41">
        <v>210</v>
      </c>
      <c r="E41">
        <v>2</v>
      </c>
      <c r="F41">
        <v>8</v>
      </c>
      <c r="G41" t="s">
        <v>40</v>
      </c>
      <c r="H41">
        <v>8</v>
      </c>
      <c r="I41" s="18" t="s">
        <v>57</v>
      </c>
      <c r="J41">
        <v>37</v>
      </c>
      <c r="K41">
        <v>40</v>
      </c>
      <c r="L41" s="16">
        <f t="shared" si="1"/>
        <v>159.55242436800663</v>
      </c>
      <c r="M41">
        <v>50</v>
      </c>
      <c r="N41">
        <v>49</v>
      </c>
      <c r="O41">
        <v>49</v>
      </c>
      <c r="P41">
        <v>45</v>
      </c>
      <c r="Q41" s="62">
        <f t="shared" si="2"/>
        <v>48.25</v>
      </c>
      <c r="R41">
        <v>58</v>
      </c>
      <c r="S41">
        <v>65</v>
      </c>
      <c r="T41">
        <v>62</v>
      </c>
      <c r="U41">
        <v>65</v>
      </c>
      <c r="V41" s="62">
        <f t="shared" si="3"/>
        <v>62.5</v>
      </c>
      <c r="W41">
        <v>76</v>
      </c>
      <c r="X41">
        <v>86</v>
      </c>
      <c r="Y41">
        <v>76</v>
      </c>
      <c r="Z41">
        <v>79</v>
      </c>
      <c r="AA41" s="62">
        <f t="shared" si="4"/>
        <v>79.25</v>
      </c>
      <c r="AB41">
        <v>98</v>
      </c>
      <c r="AC41">
        <v>98</v>
      </c>
      <c r="AD41">
        <v>101</v>
      </c>
      <c r="AE41">
        <v>101</v>
      </c>
      <c r="AF41" s="62">
        <f t="shared" si="5"/>
        <v>99.5</v>
      </c>
      <c r="AG41">
        <v>100</v>
      </c>
      <c r="AH41">
        <v>100</v>
      </c>
      <c r="AI41">
        <v>103</v>
      </c>
      <c r="AJ41">
        <v>95</v>
      </c>
      <c r="AK41" s="62">
        <f t="shared" si="6"/>
        <v>99.5</v>
      </c>
      <c r="AP41" s="62" t="e">
        <f t="shared" si="7"/>
        <v>#DIV/0!</v>
      </c>
      <c r="AQ41" s="88">
        <v>45097</v>
      </c>
      <c r="AR41">
        <v>81</v>
      </c>
      <c r="AS41">
        <v>77</v>
      </c>
      <c r="AT41">
        <v>80</v>
      </c>
      <c r="AU41">
        <v>80</v>
      </c>
      <c r="AV41" s="62">
        <f t="shared" si="19"/>
        <v>79.5</v>
      </c>
      <c r="AW41">
        <v>90</v>
      </c>
      <c r="AX41">
        <v>0</v>
      </c>
      <c r="AY41">
        <v>0</v>
      </c>
      <c r="AZ41" s="15">
        <f t="shared" si="8"/>
        <v>60</v>
      </c>
      <c r="BD41" s="15">
        <f t="shared" si="9"/>
        <v>0</v>
      </c>
      <c r="BH41" s="15">
        <f t="shared" si="10"/>
        <v>0</v>
      </c>
      <c r="BI41">
        <v>25.83</v>
      </c>
      <c r="BJ41">
        <v>15.58</v>
      </c>
      <c r="BK41" s="12">
        <f t="shared" si="11"/>
        <v>39.682539682539684</v>
      </c>
      <c r="BL41" s="12">
        <f t="shared" si="12"/>
        <v>1.8730158730158735</v>
      </c>
      <c r="BM41" s="13">
        <f t="shared" si="13"/>
        <v>45135.873015873018</v>
      </c>
      <c r="BN41" s="90">
        <f t="shared" si="14"/>
        <v>87.873015873017721</v>
      </c>
      <c r="BO41">
        <v>6</v>
      </c>
      <c r="BP41" s="17">
        <f t="shared" si="15"/>
        <v>8.6867999999999999</v>
      </c>
      <c r="BQ41">
        <v>10540</v>
      </c>
      <c r="BR41">
        <v>12.8</v>
      </c>
      <c r="BS41" s="15">
        <f t="shared" si="16"/>
        <v>12231.540725799905</v>
      </c>
      <c r="BT41" s="15">
        <f t="shared" si="17"/>
        <v>227.38120580012645</v>
      </c>
      <c r="BU41" s="16">
        <v>71.489361702127653</v>
      </c>
      <c r="BV41" s="17">
        <v>5.6899999999999995</v>
      </c>
      <c r="BW41" s="17">
        <v>5.09</v>
      </c>
      <c r="BX41" s="90">
        <f t="shared" si="18"/>
        <v>54.336184971098263</v>
      </c>
    </row>
    <row r="42" spans="2:76" x14ac:dyDescent="0.3">
      <c r="B42" s="58">
        <v>2023</v>
      </c>
      <c r="C42" t="s">
        <v>46</v>
      </c>
      <c r="D42">
        <v>211</v>
      </c>
      <c r="E42">
        <v>2</v>
      </c>
      <c r="F42">
        <v>1</v>
      </c>
      <c r="G42" t="s">
        <v>40</v>
      </c>
      <c r="H42">
        <v>1</v>
      </c>
      <c r="I42" s="18" t="s">
        <v>0</v>
      </c>
      <c r="J42">
        <v>43</v>
      </c>
      <c r="K42">
        <v>42</v>
      </c>
      <c r="L42" s="16">
        <f t="shared" si="1"/>
        <v>176.12929962702032</v>
      </c>
      <c r="M42">
        <v>60</v>
      </c>
      <c r="N42">
        <v>60</v>
      </c>
      <c r="O42">
        <v>57</v>
      </c>
      <c r="P42">
        <v>55</v>
      </c>
      <c r="Q42" s="62">
        <f t="shared" si="2"/>
        <v>58</v>
      </c>
      <c r="R42">
        <v>72</v>
      </c>
      <c r="S42">
        <v>79</v>
      </c>
      <c r="T42">
        <v>71</v>
      </c>
      <c r="U42">
        <v>75</v>
      </c>
      <c r="V42" s="62">
        <f t="shared" si="3"/>
        <v>74.25</v>
      </c>
      <c r="W42">
        <v>90</v>
      </c>
      <c r="X42">
        <v>95</v>
      </c>
      <c r="Y42">
        <v>91</v>
      </c>
      <c r="Z42">
        <v>97</v>
      </c>
      <c r="AA42" s="62">
        <f t="shared" si="4"/>
        <v>93.25</v>
      </c>
      <c r="AB42">
        <v>99</v>
      </c>
      <c r="AC42">
        <v>103</v>
      </c>
      <c r="AD42">
        <v>103</v>
      </c>
      <c r="AE42">
        <v>105</v>
      </c>
      <c r="AF42" s="62">
        <f t="shared" si="5"/>
        <v>102.5</v>
      </c>
      <c r="AG42">
        <v>103</v>
      </c>
      <c r="AH42">
        <v>110</v>
      </c>
      <c r="AI42">
        <v>108</v>
      </c>
      <c r="AJ42">
        <v>99</v>
      </c>
      <c r="AK42" s="62">
        <f t="shared" si="6"/>
        <v>105</v>
      </c>
      <c r="AP42" s="62" t="e">
        <f t="shared" si="7"/>
        <v>#DIV/0!</v>
      </c>
      <c r="AQ42" s="88">
        <v>45097</v>
      </c>
      <c r="AR42">
        <v>85</v>
      </c>
      <c r="AS42">
        <v>84</v>
      </c>
      <c r="AT42">
        <v>78</v>
      </c>
      <c r="AU42">
        <v>83</v>
      </c>
      <c r="AV42" s="62">
        <f t="shared" si="19"/>
        <v>82.5</v>
      </c>
      <c r="AW42">
        <v>50</v>
      </c>
      <c r="AX42">
        <v>0</v>
      </c>
      <c r="AY42">
        <v>0</v>
      </c>
      <c r="AZ42" s="15">
        <f t="shared" si="8"/>
        <v>33.333333333333336</v>
      </c>
      <c r="BA42">
        <v>50</v>
      </c>
      <c r="BD42" s="15">
        <f t="shared" si="9"/>
        <v>33.333333333333336</v>
      </c>
      <c r="BH42" s="15">
        <f t="shared" si="10"/>
        <v>0</v>
      </c>
      <c r="BI42">
        <v>21.29</v>
      </c>
      <c r="BJ42">
        <v>16.25</v>
      </c>
      <c r="BK42" s="12">
        <f t="shared" si="11"/>
        <v>23.673085955847814</v>
      </c>
      <c r="BL42" s="12">
        <f t="shared" si="12"/>
        <v>-4.5307656176608742</v>
      </c>
      <c r="BM42" s="13">
        <f t="shared" si="13"/>
        <v>45129.469234382341</v>
      </c>
      <c r="BN42" s="90">
        <f t="shared" si="14"/>
        <v>81.469234382340801</v>
      </c>
      <c r="BO42">
        <v>6</v>
      </c>
      <c r="BP42" s="17">
        <f t="shared" si="15"/>
        <v>8.6867999999999999</v>
      </c>
      <c r="BQ42">
        <v>9260</v>
      </c>
      <c r="BR42" s="15">
        <v>12.6</v>
      </c>
      <c r="BS42" s="15">
        <f t="shared" si="16"/>
        <v>10770.76348115445</v>
      </c>
      <c r="BT42" s="15">
        <f t="shared" si="17"/>
        <v>200.22573138043529</v>
      </c>
      <c r="BU42" s="16">
        <v>71.319148936170208</v>
      </c>
      <c r="BV42" s="17">
        <v>4.59</v>
      </c>
      <c r="BW42" s="17">
        <v>5.2799999999999994</v>
      </c>
      <c r="BX42" s="90">
        <f t="shared" si="18"/>
        <v>49.863468208092485</v>
      </c>
    </row>
    <row r="43" spans="2:76" x14ac:dyDescent="0.3">
      <c r="B43" s="58">
        <v>2023</v>
      </c>
      <c r="C43" t="s">
        <v>46</v>
      </c>
      <c r="D43">
        <v>212</v>
      </c>
      <c r="E43">
        <v>2</v>
      </c>
      <c r="F43">
        <v>2</v>
      </c>
      <c r="G43" t="s">
        <v>40</v>
      </c>
      <c r="H43">
        <v>2</v>
      </c>
      <c r="I43" s="18" t="s">
        <v>53</v>
      </c>
      <c r="J43">
        <v>32</v>
      </c>
      <c r="K43">
        <v>46</v>
      </c>
      <c r="L43" s="16">
        <f t="shared" si="1"/>
        <v>161.62453377538336</v>
      </c>
      <c r="M43">
        <v>60</v>
      </c>
      <c r="N43">
        <v>52</v>
      </c>
      <c r="O43">
        <v>57</v>
      </c>
      <c r="P43">
        <v>52</v>
      </c>
      <c r="Q43" s="62">
        <f t="shared" si="2"/>
        <v>55.25</v>
      </c>
      <c r="R43">
        <v>68</v>
      </c>
      <c r="S43">
        <v>75</v>
      </c>
      <c r="T43">
        <v>72</v>
      </c>
      <c r="U43">
        <v>79</v>
      </c>
      <c r="V43" s="62">
        <f t="shared" si="3"/>
        <v>73.5</v>
      </c>
      <c r="W43">
        <v>83</v>
      </c>
      <c r="X43">
        <v>87</v>
      </c>
      <c r="Y43">
        <v>86</v>
      </c>
      <c r="Z43">
        <v>88</v>
      </c>
      <c r="AA43" s="62">
        <f t="shared" si="4"/>
        <v>86</v>
      </c>
      <c r="AB43">
        <v>93</v>
      </c>
      <c r="AC43">
        <v>100</v>
      </c>
      <c r="AD43">
        <v>102</v>
      </c>
      <c r="AE43">
        <v>101</v>
      </c>
      <c r="AF43" s="62">
        <f t="shared" si="5"/>
        <v>99</v>
      </c>
      <c r="AG43">
        <v>96</v>
      </c>
      <c r="AH43">
        <v>99</v>
      </c>
      <c r="AI43">
        <v>100</v>
      </c>
      <c r="AJ43">
        <v>100</v>
      </c>
      <c r="AK43" s="62">
        <f t="shared" si="6"/>
        <v>98.75</v>
      </c>
      <c r="AP43" s="62" t="e">
        <f t="shared" si="7"/>
        <v>#DIV/0!</v>
      </c>
      <c r="AQ43" s="88">
        <v>45097</v>
      </c>
      <c r="AR43">
        <v>82</v>
      </c>
      <c r="AS43">
        <v>87</v>
      </c>
      <c r="AT43">
        <v>87</v>
      </c>
      <c r="AU43">
        <v>86</v>
      </c>
      <c r="AV43" s="62">
        <f t="shared" si="19"/>
        <v>85.5</v>
      </c>
      <c r="AW43">
        <v>55</v>
      </c>
      <c r="AX43">
        <v>0</v>
      </c>
      <c r="AY43">
        <v>0</v>
      </c>
      <c r="AZ43" s="15">
        <f t="shared" si="8"/>
        <v>36.666666666666664</v>
      </c>
      <c r="BA43">
        <v>45</v>
      </c>
      <c r="BD43" s="15">
        <f t="shared" si="9"/>
        <v>30</v>
      </c>
      <c r="BH43" s="15">
        <f t="shared" si="10"/>
        <v>0</v>
      </c>
      <c r="BI43">
        <v>24.87</v>
      </c>
      <c r="BJ43">
        <v>16.53</v>
      </c>
      <c r="BK43" s="12">
        <f t="shared" si="11"/>
        <v>33.534378769601929</v>
      </c>
      <c r="BL43" s="12">
        <f t="shared" si="12"/>
        <v>-0.58624849215922836</v>
      </c>
      <c r="BM43" s="13">
        <f t="shared" si="13"/>
        <v>45133.41375150784</v>
      </c>
      <c r="BN43" s="90">
        <f t="shared" si="14"/>
        <v>85.413751507840061</v>
      </c>
      <c r="BO43">
        <v>6</v>
      </c>
      <c r="BP43" s="17">
        <f t="shared" si="15"/>
        <v>8.6867999999999999</v>
      </c>
      <c r="BQ43">
        <v>9840</v>
      </c>
      <c r="BR43" s="15">
        <v>12.6</v>
      </c>
      <c r="BS43" s="15">
        <f t="shared" si="16"/>
        <v>11445.390135481621</v>
      </c>
      <c r="BT43" s="15">
        <f t="shared" si="17"/>
        <v>212.76686790318396</v>
      </c>
      <c r="BU43" s="16">
        <v>71.744680851063819</v>
      </c>
      <c r="BV43" s="17">
        <v>4.82</v>
      </c>
      <c r="BW43" s="107"/>
      <c r="BX43" s="90">
        <f t="shared" si="18"/>
        <v>48.701502890173415</v>
      </c>
    </row>
    <row r="44" spans="2:76" x14ac:dyDescent="0.3">
      <c r="B44" s="58">
        <v>2023</v>
      </c>
      <c r="C44" t="s">
        <v>46</v>
      </c>
      <c r="D44">
        <v>213</v>
      </c>
      <c r="E44">
        <v>2</v>
      </c>
      <c r="F44">
        <v>6</v>
      </c>
      <c r="G44" t="s">
        <v>40</v>
      </c>
      <c r="H44">
        <v>6</v>
      </c>
      <c r="I44" s="18" t="s">
        <v>55</v>
      </c>
      <c r="J44">
        <v>40</v>
      </c>
      <c r="K44">
        <v>32</v>
      </c>
      <c r="L44" s="16">
        <f t="shared" si="1"/>
        <v>149.1918773311231</v>
      </c>
      <c r="M44">
        <v>57</v>
      </c>
      <c r="N44">
        <v>54</v>
      </c>
      <c r="O44">
        <v>57</v>
      </c>
      <c r="P44">
        <v>51</v>
      </c>
      <c r="Q44" s="62">
        <f t="shared" si="2"/>
        <v>54.75</v>
      </c>
      <c r="R44">
        <v>62</v>
      </c>
      <c r="S44">
        <v>65</v>
      </c>
      <c r="T44">
        <v>70</v>
      </c>
      <c r="U44">
        <v>60</v>
      </c>
      <c r="V44" s="62">
        <f t="shared" si="3"/>
        <v>64.25</v>
      </c>
      <c r="W44">
        <v>66</v>
      </c>
      <c r="X44">
        <v>76</v>
      </c>
      <c r="Y44">
        <v>63</v>
      </c>
      <c r="Z44">
        <v>69</v>
      </c>
      <c r="AA44" s="62">
        <f t="shared" si="4"/>
        <v>68.5</v>
      </c>
      <c r="AB44">
        <v>76</v>
      </c>
      <c r="AC44">
        <v>83</v>
      </c>
      <c r="AD44">
        <v>85</v>
      </c>
      <c r="AE44">
        <v>77</v>
      </c>
      <c r="AF44" s="62">
        <f t="shared" si="5"/>
        <v>80.25</v>
      </c>
      <c r="AG44">
        <v>88</v>
      </c>
      <c r="AH44">
        <v>81</v>
      </c>
      <c r="AI44">
        <v>73</v>
      </c>
      <c r="AJ44">
        <v>75</v>
      </c>
      <c r="AK44" s="62">
        <f t="shared" si="6"/>
        <v>79.25</v>
      </c>
      <c r="AP44" s="62" t="e">
        <f t="shared" si="7"/>
        <v>#DIV/0!</v>
      </c>
      <c r="AQ44" s="88">
        <v>45097</v>
      </c>
      <c r="AR44">
        <v>63</v>
      </c>
      <c r="AS44">
        <v>69</v>
      </c>
      <c r="AT44">
        <v>66</v>
      </c>
      <c r="AU44">
        <v>68</v>
      </c>
      <c r="AV44" s="62">
        <f t="shared" si="19"/>
        <v>66.5</v>
      </c>
      <c r="AW44">
        <v>0</v>
      </c>
      <c r="AX44">
        <v>0</v>
      </c>
      <c r="AY44">
        <v>0</v>
      </c>
      <c r="AZ44" s="15">
        <f t="shared" si="8"/>
        <v>0</v>
      </c>
      <c r="BD44" s="15">
        <f t="shared" si="9"/>
        <v>0</v>
      </c>
      <c r="BH44" s="15">
        <f t="shared" si="10"/>
        <v>0</v>
      </c>
      <c r="BI44">
        <v>27.07</v>
      </c>
      <c r="BJ44">
        <v>16.170000000000002</v>
      </c>
      <c r="BK44" s="12">
        <f t="shared" si="11"/>
        <v>40.265977096416691</v>
      </c>
      <c r="BL44" s="12">
        <f t="shared" si="12"/>
        <v>2.1063908385666763</v>
      </c>
      <c r="BM44" s="13">
        <f t="shared" si="13"/>
        <v>45136.106390838569</v>
      </c>
      <c r="BN44" s="90">
        <f t="shared" si="14"/>
        <v>88.106390838569496</v>
      </c>
      <c r="BO44">
        <v>6</v>
      </c>
      <c r="BP44" s="17">
        <f t="shared" si="15"/>
        <v>8.6867999999999999</v>
      </c>
      <c r="BQ44">
        <v>9880</v>
      </c>
      <c r="BR44" s="15">
        <v>12.6</v>
      </c>
      <c r="BS44" s="15">
        <f t="shared" si="16"/>
        <v>11491.916111642115</v>
      </c>
      <c r="BT44" s="15">
        <f t="shared" si="17"/>
        <v>213.63177387027008</v>
      </c>
      <c r="BU44" s="16">
        <v>69.957446808510639</v>
      </c>
      <c r="BV44" s="17">
        <v>5.1100000000000003</v>
      </c>
      <c r="BW44" s="17">
        <v>4.9700000000000006</v>
      </c>
      <c r="BX44" s="90">
        <f t="shared" si="18"/>
        <v>50.924393063583821</v>
      </c>
    </row>
    <row r="45" spans="2:76" x14ac:dyDescent="0.3">
      <c r="B45" s="58">
        <v>2023</v>
      </c>
      <c r="C45" t="s">
        <v>46</v>
      </c>
      <c r="D45">
        <v>214</v>
      </c>
      <c r="E45">
        <v>2</v>
      </c>
      <c r="F45">
        <v>9</v>
      </c>
      <c r="G45" t="s">
        <v>40</v>
      </c>
      <c r="H45">
        <v>9</v>
      </c>
      <c r="I45" s="18" t="s">
        <v>58</v>
      </c>
      <c r="J45">
        <v>30</v>
      </c>
      <c r="K45">
        <v>32</v>
      </c>
      <c r="L45" s="16">
        <f t="shared" si="1"/>
        <v>128.470783257356</v>
      </c>
      <c r="M45">
        <v>54</v>
      </c>
      <c r="N45">
        <v>52</v>
      </c>
      <c r="O45">
        <v>55</v>
      </c>
      <c r="P45">
        <v>44</v>
      </c>
      <c r="Q45" s="62">
        <f t="shared" si="2"/>
        <v>51.25</v>
      </c>
      <c r="R45">
        <v>68</v>
      </c>
      <c r="S45">
        <v>62</v>
      </c>
      <c r="T45">
        <v>62</v>
      </c>
      <c r="U45">
        <v>63</v>
      </c>
      <c r="V45" s="62">
        <f t="shared" si="3"/>
        <v>63.75</v>
      </c>
      <c r="W45">
        <v>73</v>
      </c>
      <c r="X45">
        <v>70</v>
      </c>
      <c r="Y45">
        <v>5</v>
      </c>
      <c r="Z45">
        <v>70</v>
      </c>
      <c r="AA45" s="62">
        <f t="shared" si="4"/>
        <v>54.5</v>
      </c>
      <c r="AB45">
        <v>83</v>
      </c>
      <c r="AC45">
        <v>84</v>
      </c>
      <c r="AD45">
        <v>86</v>
      </c>
      <c r="AE45">
        <v>88</v>
      </c>
      <c r="AF45" s="62">
        <f t="shared" si="5"/>
        <v>85.25</v>
      </c>
      <c r="AG45">
        <v>87</v>
      </c>
      <c r="AH45">
        <v>84</v>
      </c>
      <c r="AI45">
        <v>88</v>
      </c>
      <c r="AJ45">
        <v>80</v>
      </c>
      <c r="AK45" s="62">
        <f t="shared" si="6"/>
        <v>84.75</v>
      </c>
      <c r="AP45" s="62" t="e">
        <f t="shared" si="7"/>
        <v>#DIV/0!</v>
      </c>
      <c r="AQ45" s="88">
        <v>45097</v>
      </c>
      <c r="AR45">
        <v>66</v>
      </c>
      <c r="AS45">
        <v>64</v>
      </c>
      <c r="AT45">
        <v>64</v>
      </c>
      <c r="AU45">
        <v>66</v>
      </c>
      <c r="AV45" s="62">
        <f t="shared" si="19"/>
        <v>65</v>
      </c>
      <c r="AW45">
        <v>0</v>
      </c>
      <c r="AX45">
        <v>0</v>
      </c>
      <c r="AY45">
        <v>0</v>
      </c>
      <c r="AZ45" s="15">
        <f t="shared" si="8"/>
        <v>0</v>
      </c>
      <c r="BD45" s="15">
        <f t="shared" si="9"/>
        <v>0</v>
      </c>
      <c r="BH45" s="15">
        <f t="shared" si="10"/>
        <v>0</v>
      </c>
      <c r="BI45">
        <v>25.7</v>
      </c>
      <c r="BJ45">
        <v>17.010000000000002</v>
      </c>
      <c r="BK45" s="12">
        <f t="shared" si="11"/>
        <v>33.813229571984429</v>
      </c>
      <c r="BL45" s="12">
        <f t="shared" si="12"/>
        <v>-0.47470817120622827</v>
      </c>
      <c r="BM45" s="13">
        <f t="shared" si="13"/>
        <v>45133.525291828795</v>
      </c>
      <c r="BN45" s="90">
        <f t="shared" si="14"/>
        <v>85.525291828795162</v>
      </c>
      <c r="BO45">
        <v>6</v>
      </c>
      <c r="BP45" s="17">
        <f t="shared" si="15"/>
        <v>8.6867999999999999</v>
      </c>
      <c r="BQ45">
        <v>10000</v>
      </c>
      <c r="BR45" s="15">
        <v>12.5</v>
      </c>
      <c r="BS45" s="15">
        <f t="shared" si="16"/>
        <v>11644.802385707262</v>
      </c>
      <c r="BT45" s="15">
        <f t="shared" si="17"/>
        <v>216.47389050353246</v>
      </c>
      <c r="BU45" s="16">
        <v>69.787234042553195</v>
      </c>
      <c r="BV45" s="17">
        <v>5.1100000000000003</v>
      </c>
      <c r="BW45" s="17">
        <v>5.0600000000000005</v>
      </c>
      <c r="BX45" s="90">
        <f t="shared" si="18"/>
        <v>51.437861271676312</v>
      </c>
    </row>
    <row r="46" spans="2:76" x14ac:dyDescent="0.3">
      <c r="B46" s="58">
        <v>2023</v>
      </c>
      <c r="C46" t="s">
        <v>46</v>
      </c>
      <c r="D46">
        <v>215</v>
      </c>
      <c r="E46">
        <v>2</v>
      </c>
      <c r="F46">
        <v>4</v>
      </c>
      <c r="G46" t="s">
        <v>40</v>
      </c>
      <c r="H46">
        <v>4</v>
      </c>
      <c r="I46" s="18" t="s">
        <v>52</v>
      </c>
      <c r="J46">
        <v>41</v>
      </c>
      <c r="K46">
        <v>30</v>
      </c>
      <c r="L46" s="16">
        <f t="shared" si="1"/>
        <v>147.11976792374639</v>
      </c>
      <c r="M46">
        <v>53</v>
      </c>
      <c r="N46">
        <v>47</v>
      </c>
      <c r="O46">
        <v>56</v>
      </c>
      <c r="P46">
        <v>55</v>
      </c>
      <c r="Q46" s="62">
        <f t="shared" si="2"/>
        <v>52.75</v>
      </c>
      <c r="R46">
        <v>68</v>
      </c>
      <c r="S46">
        <v>64</v>
      </c>
      <c r="T46">
        <v>68</v>
      </c>
      <c r="U46">
        <v>64</v>
      </c>
      <c r="V46" s="62">
        <f t="shared" si="3"/>
        <v>66</v>
      </c>
      <c r="W46">
        <v>72</v>
      </c>
      <c r="X46">
        <v>70</v>
      </c>
      <c r="Y46">
        <v>75</v>
      </c>
      <c r="Z46">
        <v>72</v>
      </c>
      <c r="AA46" s="62">
        <f t="shared" si="4"/>
        <v>72.25</v>
      </c>
      <c r="AB46">
        <v>88</v>
      </c>
      <c r="AC46">
        <v>87</v>
      </c>
      <c r="AD46">
        <v>90</v>
      </c>
      <c r="AE46">
        <v>90</v>
      </c>
      <c r="AF46" s="62">
        <f t="shared" si="5"/>
        <v>88.75</v>
      </c>
      <c r="AG46">
        <v>90</v>
      </c>
      <c r="AH46">
        <v>92</v>
      </c>
      <c r="AI46">
        <v>95</v>
      </c>
      <c r="AJ46">
        <v>88</v>
      </c>
      <c r="AK46" s="62">
        <f t="shared" si="6"/>
        <v>91.25</v>
      </c>
      <c r="AP46" s="62" t="e">
        <f t="shared" si="7"/>
        <v>#DIV/0!</v>
      </c>
      <c r="AQ46" s="88">
        <v>45097</v>
      </c>
      <c r="AR46">
        <v>78</v>
      </c>
      <c r="AS46">
        <v>74</v>
      </c>
      <c r="AT46">
        <v>69</v>
      </c>
      <c r="AU46">
        <v>64</v>
      </c>
      <c r="AV46" s="62">
        <f t="shared" si="19"/>
        <v>71.25</v>
      </c>
      <c r="AW46">
        <v>5</v>
      </c>
      <c r="AX46">
        <v>0</v>
      </c>
      <c r="AY46">
        <v>0</v>
      </c>
      <c r="AZ46" s="15">
        <f t="shared" si="8"/>
        <v>3.3333333333333335</v>
      </c>
      <c r="BD46" s="15">
        <f t="shared" si="9"/>
        <v>0</v>
      </c>
      <c r="BH46" s="15">
        <f t="shared" si="10"/>
        <v>0</v>
      </c>
      <c r="BI46">
        <v>24.03</v>
      </c>
      <c r="BJ46">
        <v>16.63</v>
      </c>
      <c r="BK46" s="12">
        <f t="shared" si="11"/>
        <v>30.794839783603834</v>
      </c>
      <c r="BL46" s="12">
        <f t="shared" si="12"/>
        <v>-1.6820640865584664</v>
      </c>
      <c r="BM46" s="13">
        <f t="shared" si="13"/>
        <v>45132.317935913445</v>
      </c>
      <c r="BN46" s="90">
        <f t="shared" si="14"/>
        <v>84.317935913444671</v>
      </c>
      <c r="BO46">
        <v>6</v>
      </c>
      <c r="BP46" s="17">
        <f t="shared" si="15"/>
        <v>8.6867999999999999</v>
      </c>
      <c r="BQ46">
        <v>10100</v>
      </c>
      <c r="BR46" s="15">
        <v>12.5</v>
      </c>
      <c r="BS46" s="15">
        <f t="shared" si="16"/>
        <v>11761.250409564336</v>
      </c>
      <c r="BT46" s="15">
        <f t="shared" si="17"/>
        <v>218.63862940856777</v>
      </c>
      <c r="BU46" s="16">
        <v>71.361702127659569</v>
      </c>
      <c r="BV46" s="17">
        <v>5.46</v>
      </c>
      <c r="BW46" s="17">
        <v>5.1899999999999995</v>
      </c>
      <c r="BX46" s="90">
        <f t="shared" si="18"/>
        <v>53.865606936416185</v>
      </c>
    </row>
    <row r="47" spans="2:76" x14ac:dyDescent="0.3">
      <c r="B47" s="58">
        <v>2023</v>
      </c>
      <c r="C47" t="s">
        <v>46</v>
      </c>
      <c r="D47">
        <v>216</v>
      </c>
      <c r="E47">
        <v>2</v>
      </c>
      <c r="F47">
        <v>5</v>
      </c>
      <c r="G47" t="s">
        <v>40</v>
      </c>
      <c r="H47">
        <v>5</v>
      </c>
      <c r="I47" s="18" t="s">
        <v>54</v>
      </c>
      <c r="J47">
        <v>46</v>
      </c>
      <c r="K47">
        <v>43</v>
      </c>
      <c r="L47" s="16">
        <f t="shared" si="1"/>
        <v>184.41773725652715</v>
      </c>
      <c r="M47">
        <v>53</v>
      </c>
      <c r="N47">
        <v>47</v>
      </c>
      <c r="O47">
        <v>50</v>
      </c>
      <c r="P47">
        <v>45</v>
      </c>
      <c r="Q47" s="62">
        <f t="shared" si="2"/>
        <v>48.75</v>
      </c>
      <c r="R47">
        <v>67</v>
      </c>
      <c r="S47">
        <v>59</v>
      </c>
      <c r="T47">
        <v>61</v>
      </c>
      <c r="U47">
        <v>66</v>
      </c>
      <c r="V47" s="62">
        <f t="shared" si="3"/>
        <v>63.25</v>
      </c>
      <c r="W47">
        <v>75</v>
      </c>
      <c r="X47">
        <v>78</v>
      </c>
      <c r="Y47">
        <v>72</v>
      </c>
      <c r="Z47">
        <v>79</v>
      </c>
      <c r="AA47" s="62">
        <f t="shared" si="4"/>
        <v>76</v>
      </c>
      <c r="AB47">
        <v>82</v>
      </c>
      <c r="AC47">
        <v>86</v>
      </c>
      <c r="AD47">
        <v>93</v>
      </c>
      <c r="AE47">
        <v>87</v>
      </c>
      <c r="AF47" s="62">
        <f t="shared" si="5"/>
        <v>87</v>
      </c>
      <c r="AG47">
        <v>80</v>
      </c>
      <c r="AH47">
        <v>84</v>
      </c>
      <c r="AI47">
        <v>80</v>
      </c>
      <c r="AJ47">
        <v>89</v>
      </c>
      <c r="AK47" s="62">
        <f t="shared" si="6"/>
        <v>83.25</v>
      </c>
      <c r="AP47" s="62" t="e">
        <f t="shared" si="7"/>
        <v>#DIV/0!</v>
      </c>
      <c r="AQ47" s="88">
        <v>45097</v>
      </c>
      <c r="AR47">
        <v>71</v>
      </c>
      <c r="AS47">
        <v>71</v>
      </c>
      <c r="AT47">
        <v>70</v>
      </c>
      <c r="AU47">
        <v>70</v>
      </c>
      <c r="AV47" s="62">
        <f t="shared" si="19"/>
        <v>70.5</v>
      </c>
      <c r="AW47">
        <v>5</v>
      </c>
      <c r="AX47">
        <v>0</v>
      </c>
      <c r="AY47">
        <v>0</v>
      </c>
      <c r="AZ47" s="15">
        <f t="shared" si="8"/>
        <v>3.3333333333333335</v>
      </c>
      <c r="BD47" s="15">
        <f t="shared" si="9"/>
        <v>0</v>
      </c>
      <c r="BH47" s="15">
        <f t="shared" si="10"/>
        <v>0</v>
      </c>
      <c r="BI47">
        <v>22.66</v>
      </c>
      <c r="BJ47">
        <v>14.86</v>
      </c>
      <c r="BK47" s="12">
        <f t="shared" si="11"/>
        <v>34.42188879082083</v>
      </c>
      <c r="BL47" s="12">
        <f t="shared" si="12"/>
        <v>-0.23124448367166792</v>
      </c>
      <c r="BM47" s="13">
        <f t="shared" si="13"/>
        <v>45133.768755516328</v>
      </c>
      <c r="BN47" s="90">
        <f t="shared" si="14"/>
        <v>85.768755516328383</v>
      </c>
      <c r="BO47">
        <v>6</v>
      </c>
      <c r="BP47" s="17">
        <f t="shared" si="15"/>
        <v>8.6867999999999999</v>
      </c>
      <c r="BQ47">
        <v>9410</v>
      </c>
      <c r="BR47" s="15">
        <v>12</v>
      </c>
      <c r="BS47" s="15">
        <f t="shared" si="16"/>
        <v>11020.374810921679</v>
      </c>
      <c r="BT47" s="15">
        <f t="shared" si="17"/>
        <v>204.86594199790304</v>
      </c>
      <c r="BU47" s="16">
        <v>70.553191489361708</v>
      </c>
      <c r="BV47" s="17">
        <v>5.1899999999999995</v>
      </c>
      <c r="BW47" s="17">
        <v>4.99</v>
      </c>
      <c r="BX47" s="90">
        <f t="shared" si="18"/>
        <v>51.782658959537571</v>
      </c>
    </row>
    <row r="48" spans="2:76" x14ac:dyDescent="0.3">
      <c r="B48" s="58">
        <v>2023</v>
      </c>
      <c r="C48" t="s">
        <v>46</v>
      </c>
      <c r="D48">
        <v>217</v>
      </c>
      <c r="E48">
        <v>2</v>
      </c>
      <c r="F48">
        <v>3</v>
      </c>
      <c r="G48" t="s">
        <v>40</v>
      </c>
      <c r="H48">
        <v>3</v>
      </c>
      <c r="I48" s="18" t="s">
        <v>51</v>
      </c>
      <c r="J48">
        <v>43</v>
      </c>
      <c r="K48">
        <v>34</v>
      </c>
      <c r="L48" s="16">
        <f t="shared" si="1"/>
        <v>159.55242436800663</v>
      </c>
      <c r="M48">
        <v>46</v>
      </c>
      <c r="N48">
        <v>51</v>
      </c>
      <c r="O48">
        <v>52</v>
      </c>
      <c r="P48">
        <v>49</v>
      </c>
      <c r="Q48" s="62">
        <f t="shared" si="2"/>
        <v>49.5</v>
      </c>
      <c r="R48">
        <v>67</v>
      </c>
      <c r="S48">
        <v>64</v>
      </c>
      <c r="T48">
        <v>64</v>
      </c>
      <c r="U48">
        <v>67</v>
      </c>
      <c r="V48" s="62">
        <f t="shared" si="3"/>
        <v>65.5</v>
      </c>
      <c r="W48">
        <v>78</v>
      </c>
      <c r="X48">
        <v>74</v>
      </c>
      <c r="Y48">
        <v>80</v>
      </c>
      <c r="Z48">
        <v>79</v>
      </c>
      <c r="AA48" s="62">
        <f t="shared" si="4"/>
        <v>77.75</v>
      </c>
      <c r="AB48">
        <v>88</v>
      </c>
      <c r="AC48">
        <v>90</v>
      </c>
      <c r="AD48">
        <v>93</v>
      </c>
      <c r="AE48">
        <v>96</v>
      </c>
      <c r="AF48" s="62">
        <f t="shared" si="5"/>
        <v>91.75</v>
      </c>
      <c r="AG48">
        <v>97</v>
      </c>
      <c r="AH48">
        <v>99</v>
      </c>
      <c r="AI48">
        <v>94</v>
      </c>
      <c r="AJ48">
        <v>95</v>
      </c>
      <c r="AK48" s="62">
        <f t="shared" si="6"/>
        <v>96.25</v>
      </c>
      <c r="AP48" s="62" t="e">
        <f t="shared" si="7"/>
        <v>#DIV/0!</v>
      </c>
      <c r="AQ48" s="88">
        <v>45097</v>
      </c>
      <c r="AR48">
        <v>72</v>
      </c>
      <c r="AS48">
        <v>76</v>
      </c>
      <c r="AT48">
        <v>71</v>
      </c>
      <c r="AU48">
        <v>72</v>
      </c>
      <c r="AV48" s="62">
        <f t="shared" si="19"/>
        <v>72.75</v>
      </c>
      <c r="AW48">
        <v>10</v>
      </c>
      <c r="AX48">
        <v>0</v>
      </c>
      <c r="AY48">
        <v>0</v>
      </c>
      <c r="AZ48" s="15">
        <f t="shared" si="8"/>
        <v>6.666666666666667</v>
      </c>
      <c r="BD48" s="15">
        <f t="shared" si="9"/>
        <v>0</v>
      </c>
      <c r="BH48" s="15">
        <f t="shared" si="10"/>
        <v>0</v>
      </c>
      <c r="BI48">
        <v>20.9</v>
      </c>
      <c r="BJ48">
        <v>12.85</v>
      </c>
      <c r="BK48" s="12">
        <f t="shared" si="11"/>
        <v>38.516746411483247</v>
      </c>
      <c r="BL48" s="12">
        <f t="shared" si="12"/>
        <v>1.4066985645932988</v>
      </c>
      <c r="BM48" s="13">
        <f t="shared" si="13"/>
        <v>45135.406698564591</v>
      </c>
      <c r="BN48" s="90">
        <f t="shared" si="14"/>
        <v>87.406698564591352</v>
      </c>
      <c r="BO48">
        <v>6</v>
      </c>
      <c r="BP48" s="17">
        <f t="shared" si="15"/>
        <v>8.6867999999999999</v>
      </c>
      <c r="BQ48">
        <v>9540</v>
      </c>
      <c r="BR48" s="15">
        <v>12.3</v>
      </c>
      <c r="BS48" s="15">
        <f t="shared" si="16"/>
        <v>11134.533799338364</v>
      </c>
      <c r="BT48" s="15">
        <f t="shared" si="17"/>
        <v>206.98812832103368</v>
      </c>
      <c r="BU48" s="16">
        <v>70.978723404255319</v>
      </c>
      <c r="BV48" s="17">
        <v>4.82</v>
      </c>
      <c r="BW48" s="17">
        <v>5.32</v>
      </c>
      <c r="BX48" s="90">
        <f t="shared" si="18"/>
        <v>51.403352601156072</v>
      </c>
    </row>
    <row r="49" spans="2:76" x14ac:dyDescent="0.3">
      <c r="B49" s="58">
        <v>2023</v>
      </c>
      <c r="C49" t="s">
        <v>46</v>
      </c>
      <c r="D49">
        <v>218</v>
      </c>
      <c r="E49">
        <v>2</v>
      </c>
      <c r="F49">
        <v>7</v>
      </c>
      <c r="G49" t="s">
        <v>40</v>
      </c>
      <c r="H49">
        <v>7</v>
      </c>
      <c r="I49" s="18" t="s">
        <v>56</v>
      </c>
      <c r="J49">
        <v>39</v>
      </c>
      <c r="K49">
        <v>40</v>
      </c>
      <c r="L49" s="16">
        <f t="shared" si="1"/>
        <v>163.69664318276006</v>
      </c>
      <c r="M49">
        <v>56</v>
      </c>
      <c r="N49">
        <v>53</v>
      </c>
      <c r="O49">
        <v>49</v>
      </c>
      <c r="P49">
        <v>55</v>
      </c>
      <c r="Q49" s="62">
        <f t="shared" si="2"/>
        <v>53.25</v>
      </c>
      <c r="R49">
        <v>67</v>
      </c>
      <c r="S49">
        <v>66</v>
      </c>
      <c r="T49">
        <v>67</v>
      </c>
      <c r="U49">
        <v>64</v>
      </c>
      <c r="V49" s="62">
        <f t="shared" si="3"/>
        <v>66</v>
      </c>
      <c r="W49">
        <v>76</v>
      </c>
      <c r="X49">
        <v>71</v>
      </c>
      <c r="Y49">
        <v>66</v>
      </c>
      <c r="Z49">
        <v>77</v>
      </c>
      <c r="AA49" s="62">
        <f t="shared" si="4"/>
        <v>72.5</v>
      </c>
      <c r="AB49">
        <v>78</v>
      </c>
      <c r="AC49">
        <v>90</v>
      </c>
      <c r="AD49">
        <v>89</v>
      </c>
      <c r="AE49">
        <v>83</v>
      </c>
      <c r="AF49" s="62">
        <f t="shared" si="5"/>
        <v>85</v>
      </c>
      <c r="AG49">
        <v>88</v>
      </c>
      <c r="AH49">
        <v>86</v>
      </c>
      <c r="AI49">
        <v>82</v>
      </c>
      <c r="AJ49">
        <v>84</v>
      </c>
      <c r="AK49" s="62">
        <f t="shared" si="6"/>
        <v>85</v>
      </c>
      <c r="AP49" s="62" t="e">
        <f t="shared" si="7"/>
        <v>#DIV/0!</v>
      </c>
      <c r="AQ49" s="88">
        <v>45097</v>
      </c>
      <c r="AR49">
        <v>67</v>
      </c>
      <c r="AS49">
        <v>68</v>
      </c>
      <c r="AT49">
        <v>66</v>
      </c>
      <c r="AU49">
        <v>68</v>
      </c>
      <c r="AV49" s="62">
        <f t="shared" si="19"/>
        <v>67.25</v>
      </c>
      <c r="AW49">
        <v>0</v>
      </c>
      <c r="AX49">
        <v>0</v>
      </c>
      <c r="AY49">
        <v>0</v>
      </c>
      <c r="AZ49" s="15">
        <f t="shared" si="8"/>
        <v>0</v>
      </c>
      <c r="BD49" s="15">
        <f t="shared" si="9"/>
        <v>0</v>
      </c>
      <c r="BH49" s="15">
        <f t="shared" si="10"/>
        <v>0</v>
      </c>
      <c r="BI49">
        <v>22.1</v>
      </c>
      <c r="BJ49">
        <v>15.31</v>
      </c>
      <c r="BK49" s="12">
        <f t="shared" si="11"/>
        <v>30.72398190045249</v>
      </c>
      <c r="BL49" s="12">
        <f t="shared" si="12"/>
        <v>-1.7104072398190042</v>
      </c>
      <c r="BM49" s="13">
        <f t="shared" si="13"/>
        <v>45132.289592760178</v>
      </c>
      <c r="BN49" s="90">
        <f t="shared" si="14"/>
        <v>84.289592760178493</v>
      </c>
      <c r="BO49">
        <v>6</v>
      </c>
      <c r="BP49" s="17">
        <f t="shared" si="15"/>
        <v>8.6867999999999999</v>
      </c>
      <c r="BQ49">
        <v>9240</v>
      </c>
      <c r="BR49" s="15">
        <v>12.3</v>
      </c>
      <c r="BS49" s="15">
        <f t="shared" si="16"/>
        <v>10784.391227032125</v>
      </c>
      <c r="BT49" s="15">
        <f t="shared" si="17"/>
        <v>200.47906768200747</v>
      </c>
      <c r="BU49" s="16">
        <v>70.085106382978722</v>
      </c>
      <c r="BV49" s="17">
        <v>5.29</v>
      </c>
      <c r="BW49" s="17">
        <v>4.8</v>
      </c>
      <c r="BX49" s="90">
        <f t="shared" si="18"/>
        <v>51.149884393063587</v>
      </c>
    </row>
    <row r="50" spans="2:76" x14ac:dyDescent="0.3">
      <c r="B50" s="58">
        <v>2023</v>
      </c>
      <c r="C50" t="s">
        <v>46</v>
      </c>
      <c r="D50">
        <v>219</v>
      </c>
      <c r="E50">
        <v>2</v>
      </c>
      <c r="F50">
        <v>12</v>
      </c>
      <c r="G50" t="s">
        <v>151</v>
      </c>
      <c r="H50">
        <v>3</v>
      </c>
      <c r="I50" s="18" t="s">
        <v>51</v>
      </c>
      <c r="J50">
        <v>37</v>
      </c>
      <c r="K50">
        <v>30</v>
      </c>
      <c r="L50" s="16">
        <f t="shared" si="1"/>
        <v>138.83133029423954</v>
      </c>
      <c r="M50">
        <v>60</v>
      </c>
      <c r="N50">
        <v>59</v>
      </c>
      <c r="O50">
        <v>56</v>
      </c>
      <c r="P50">
        <v>60</v>
      </c>
      <c r="Q50" s="62">
        <f t="shared" si="2"/>
        <v>58.75</v>
      </c>
      <c r="R50">
        <v>80</v>
      </c>
      <c r="S50">
        <v>76</v>
      </c>
      <c r="T50">
        <v>81</v>
      </c>
      <c r="U50">
        <v>76</v>
      </c>
      <c r="V50" s="62">
        <f t="shared" si="3"/>
        <v>78.25</v>
      </c>
      <c r="W50">
        <v>90</v>
      </c>
      <c r="X50">
        <v>91</v>
      </c>
      <c r="Y50">
        <v>91</v>
      </c>
      <c r="Z50">
        <v>91</v>
      </c>
      <c r="AA50" s="62">
        <f t="shared" si="4"/>
        <v>90.75</v>
      </c>
      <c r="AB50">
        <v>93</v>
      </c>
      <c r="AC50">
        <v>95</v>
      </c>
      <c r="AD50">
        <v>96</v>
      </c>
      <c r="AE50">
        <v>97</v>
      </c>
      <c r="AF50" s="62">
        <f t="shared" si="5"/>
        <v>95.25</v>
      </c>
      <c r="AG50">
        <v>96</v>
      </c>
      <c r="AH50">
        <v>88</v>
      </c>
      <c r="AI50">
        <v>96</v>
      </c>
      <c r="AJ50">
        <v>101</v>
      </c>
      <c r="AK50" s="62">
        <f t="shared" si="6"/>
        <v>95.25</v>
      </c>
      <c r="AP50" s="62" t="e">
        <f t="shared" si="7"/>
        <v>#DIV/0!</v>
      </c>
      <c r="AQ50" s="88">
        <v>45097</v>
      </c>
      <c r="AR50">
        <v>79</v>
      </c>
      <c r="AS50">
        <v>77</v>
      </c>
      <c r="AT50">
        <v>77</v>
      </c>
      <c r="AU50">
        <v>79</v>
      </c>
      <c r="AV50" s="62">
        <f t="shared" si="19"/>
        <v>78</v>
      </c>
      <c r="AW50">
        <v>50</v>
      </c>
      <c r="AX50">
        <v>0</v>
      </c>
      <c r="AY50">
        <v>0</v>
      </c>
      <c r="AZ50" s="15">
        <f t="shared" si="8"/>
        <v>33.333333333333336</v>
      </c>
      <c r="BA50">
        <v>5</v>
      </c>
      <c r="BD50" s="15">
        <f t="shared" si="9"/>
        <v>3.3333333333333335</v>
      </c>
      <c r="BH50" s="15">
        <f t="shared" si="10"/>
        <v>0</v>
      </c>
      <c r="BI50">
        <v>17.96</v>
      </c>
      <c r="BJ50">
        <v>14.95</v>
      </c>
      <c r="BK50" s="12">
        <f t="shared" si="11"/>
        <v>16.759465478841879</v>
      </c>
      <c r="BL50" s="12">
        <f t="shared" si="12"/>
        <v>-7.2962138084632482</v>
      </c>
      <c r="BM50" s="13">
        <f t="shared" si="13"/>
        <v>45126.703786191538</v>
      </c>
      <c r="BN50" s="90">
        <f t="shared" si="14"/>
        <v>78.703786191537802</v>
      </c>
      <c r="BO50">
        <v>6</v>
      </c>
      <c r="BP50" s="17">
        <f t="shared" si="15"/>
        <v>8.6867999999999999</v>
      </c>
      <c r="BQ50">
        <v>9630</v>
      </c>
      <c r="BR50" s="15">
        <v>12.1</v>
      </c>
      <c r="BS50" s="15">
        <f t="shared" si="16"/>
        <v>11265.208444624372</v>
      </c>
      <c r="BT50" s="15">
        <f t="shared" si="17"/>
        <v>209.41733647058126</v>
      </c>
      <c r="BU50" s="16">
        <v>69.787234042553195</v>
      </c>
      <c r="BV50" s="17">
        <v>5.2799999999999994</v>
      </c>
      <c r="BW50" s="17">
        <v>5.42</v>
      </c>
      <c r="BX50" s="90">
        <f t="shared" si="18"/>
        <v>54.365895953757231</v>
      </c>
    </row>
    <row r="51" spans="2:76" x14ac:dyDescent="0.3">
      <c r="B51" s="58">
        <v>2023</v>
      </c>
      <c r="C51" t="s">
        <v>46</v>
      </c>
      <c r="D51">
        <v>220</v>
      </c>
      <c r="E51">
        <v>2</v>
      </c>
      <c r="F51">
        <v>11</v>
      </c>
      <c r="G51" t="s">
        <v>151</v>
      </c>
      <c r="H51">
        <v>2</v>
      </c>
      <c r="I51" s="18" t="s">
        <v>53</v>
      </c>
      <c r="J51">
        <v>36</v>
      </c>
      <c r="K51">
        <v>47</v>
      </c>
      <c r="L51" s="16">
        <f t="shared" si="1"/>
        <v>171.98508081226689</v>
      </c>
      <c r="M51">
        <v>64</v>
      </c>
      <c r="N51">
        <v>55</v>
      </c>
      <c r="O51">
        <v>64</v>
      </c>
      <c r="P51">
        <v>60</v>
      </c>
      <c r="Q51" s="62">
        <f t="shared" si="2"/>
        <v>60.75</v>
      </c>
      <c r="R51">
        <v>80</v>
      </c>
      <c r="S51">
        <v>76</v>
      </c>
      <c r="T51">
        <v>77</v>
      </c>
      <c r="U51">
        <v>80</v>
      </c>
      <c r="V51" s="62">
        <f t="shared" si="3"/>
        <v>78.25</v>
      </c>
      <c r="W51">
        <v>94</v>
      </c>
      <c r="X51">
        <v>94</v>
      </c>
      <c r="Y51">
        <v>94</v>
      </c>
      <c r="Z51">
        <v>97</v>
      </c>
      <c r="AA51" s="62">
        <f t="shared" si="4"/>
        <v>94.75</v>
      </c>
      <c r="AB51">
        <v>100</v>
      </c>
      <c r="AC51">
        <v>101</v>
      </c>
      <c r="AD51">
        <v>102</v>
      </c>
      <c r="AE51">
        <v>102</v>
      </c>
      <c r="AF51" s="62">
        <f t="shared" si="5"/>
        <v>101.25</v>
      </c>
      <c r="AG51">
        <v>98</v>
      </c>
      <c r="AH51">
        <v>102</v>
      </c>
      <c r="AI51">
        <v>88</v>
      </c>
      <c r="AJ51">
        <v>86</v>
      </c>
      <c r="AK51" s="62">
        <f t="shared" si="6"/>
        <v>93.5</v>
      </c>
      <c r="AP51" s="62" t="e">
        <f t="shared" si="7"/>
        <v>#DIV/0!</v>
      </c>
      <c r="AQ51" s="88">
        <v>45097</v>
      </c>
      <c r="AR51">
        <v>75</v>
      </c>
      <c r="AS51">
        <v>75</v>
      </c>
      <c r="AT51">
        <v>73</v>
      </c>
      <c r="AU51">
        <v>85</v>
      </c>
      <c r="AV51" s="62">
        <f t="shared" si="19"/>
        <v>77</v>
      </c>
      <c r="AW51">
        <v>60</v>
      </c>
      <c r="AX51">
        <v>0</v>
      </c>
      <c r="AY51">
        <v>0</v>
      </c>
      <c r="AZ51" s="15">
        <f t="shared" si="8"/>
        <v>40</v>
      </c>
      <c r="BA51">
        <v>10</v>
      </c>
      <c r="BD51" s="15">
        <f t="shared" si="9"/>
        <v>6.666666666666667</v>
      </c>
      <c r="BH51" s="15">
        <f t="shared" si="10"/>
        <v>0</v>
      </c>
      <c r="BI51" s="63">
        <v>11.09</v>
      </c>
      <c r="BJ51" s="63">
        <v>14.9</v>
      </c>
      <c r="BK51" s="65">
        <f t="shared" si="11"/>
        <v>-34.355275022542834</v>
      </c>
      <c r="BL51" s="65">
        <f t="shared" si="12"/>
        <v>-27.742110009017132</v>
      </c>
      <c r="BM51" s="13">
        <f t="shared" si="13"/>
        <v>45106.257889990986</v>
      </c>
      <c r="BN51" s="90">
        <f t="shared" si="14"/>
        <v>58.257889990985859</v>
      </c>
      <c r="BO51">
        <v>6</v>
      </c>
      <c r="BP51" s="17">
        <f t="shared" si="15"/>
        <v>8.6867999999999999</v>
      </c>
      <c r="BQ51">
        <v>9540</v>
      </c>
      <c r="BR51" s="15">
        <v>12.3</v>
      </c>
      <c r="BS51" s="15">
        <f t="shared" si="16"/>
        <v>11134.533799338364</v>
      </c>
      <c r="BT51" s="15">
        <f t="shared" si="17"/>
        <v>206.98812832103368</v>
      </c>
      <c r="BU51" s="16">
        <v>70.59574468085107</v>
      </c>
      <c r="BV51" s="17">
        <v>4.59</v>
      </c>
      <c r="BW51" s="17">
        <v>4.54</v>
      </c>
      <c r="BX51" s="90">
        <f t="shared" si="18"/>
        <v>46.283294797687851</v>
      </c>
    </row>
    <row r="52" spans="2:76" x14ac:dyDescent="0.3">
      <c r="B52" s="58">
        <v>2023</v>
      </c>
      <c r="C52" t="s">
        <v>46</v>
      </c>
      <c r="D52">
        <v>221</v>
      </c>
      <c r="E52">
        <v>2</v>
      </c>
      <c r="F52">
        <v>18</v>
      </c>
      <c r="G52" t="s">
        <v>151</v>
      </c>
      <c r="H52">
        <v>9</v>
      </c>
      <c r="I52" s="18" t="s">
        <v>58</v>
      </c>
      <c r="J52">
        <v>43</v>
      </c>
      <c r="K52">
        <v>40</v>
      </c>
      <c r="L52" s="16">
        <f t="shared" si="1"/>
        <v>171.98508081226689</v>
      </c>
      <c r="M52">
        <v>58</v>
      </c>
      <c r="N52">
        <v>64</v>
      </c>
      <c r="O52">
        <v>55</v>
      </c>
      <c r="P52">
        <v>62</v>
      </c>
      <c r="Q52" s="62">
        <f t="shared" si="2"/>
        <v>59.75</v>
      </c>
      <c r="R52">
        <v>72</v>
      </c>
      <c r="S52">
        <v>74</v>
      </c>
      <c r="T52">
        <v>74</v>
      </c>
      <c r="U52">
        <v>74</v>
      </c>
      <c r="V52" s="62">
        <f t="shared" si="3"/>
        <v>73.5</v>
      </c>
      <c r="W52">
        <v>87</v>
      </c>
      <c r="X52">
        <v>89</v>
      </c>
      <c r="Y52">
        <v>84</v>
      </c>
      <c r="Z52">
        <v>95</v>
      </c>
      <c r="AA52" s="62">
        <f t="shared" si="4"/>
        <v>88.75</v>
      </c>
      <c r="AB52">
        <v>92</v>
      </c>
      <c r="AC52">
        <v>97</v>
      </c>
      <c r="AD52">
        <v>97</v>
      </c>
      <c r="AE52">
        <v>96</v>
      </c>
      <c r="AF52" s="62">
        <f t="shared" si="5"/>
        <v>95.5</v>
      </c>
      <c r="AG52">
        <v>94</v>
      </c>
      <c r="AH52">
        <v>94</v>
      </c>
      <c r="AI52">
        <v>99</v>
      </c>
      <c r="AJ52">
        <v>90</v>
      </c>
      <c r="AK52" s="62">
        <f t="shared" si="6"/>
        <v>94.25</v>
      </c>
      <c r="AP52" s="62" t="e">
        <f t="shared" si="7"/>
        <v>#DIV/0!</v>
      </c>
      <c r="AQ52" s="88">
        <v>45097</v>
      </c>
      <c r="AR52">
        <v>76</v>
      </c>
      <c r="AS52">
        <v>73</v>
      </c>
      <c r="AT52">
        <v>73</v>
      </c>
      <c r="AU52">
        <v>74</v>
      </c>
      <c r="AV52" s="62">
        <f t="shared" si="19"/>
        <v>74</v>
      </c>
      <c r="AW52">
        <v>0</v>
      </c>
      <c r="AX52">
        <v>0</v>
      </c>
      <c r="AY52">
        <v>0</v>
      </c>
      <c r="AZ52" s="15">
        <f t="shared" si="8"/>
        <v>0</v>
      </c>
      <c r="BD52" s="15">
        <f t="shared" si="9"/>
        <v>0</v>
      </c>
      <c r="BH52" s="15">
        <f t="shared" si="10"/>
        <v>0</v>
      </c>
      <c r="BI52">
        <v>20.82</v>
      </c>
      <c r="BJ52">
        <v>14.38</v>
      </c>
      <c r="BK52" s="12">
        <f t="shared" si="11"/>
        <v>30.931796349663781</v>
      </c>
      <c r="BL52" s="12">
        <f t="shared" si="12"/>
        <v>-1.6272814601344876</v>
      </c>
      <c r="BM52" s="13">
        <f t="shared" si="13"/>
        <v>45132.372718539867</v>
      </c>
      <c r="BN52" s="90">
        <f t="shared" si="14"/>
        <v>84.372718539867492</v>
      </c>
      <c r="BO52">
        <v>6</v>
      </c>
      <c r="BP52" s="17">
        <f t="shared" si="15"/>
        <v>8.6867999999999999</v>
      </c>
      <c r="BQ52">
        <v>9880</v>
      </c>
      <c r="BR52" s="15">
        <v>10.7</v>
      </c>
      <c r="BS52" s="15">
        <f t="shared" si="16"/>
        <v>11741.740374938681</v>
      </c>
      <c r="BT52" s="15">
        <f t="shared" si="17"/>
        <v>218.27594286744986</v>
      </c>
      <c r="BU52" s="16">
        <v>70.127659574468083</v>
      </c>
      <c r="BV52" s="17">
        <v>4.82</v>
      </c>
      <c r="BW52" s="17">
        <v>4.55</v>
      </c>
      <c r="BX52" s="90">
        <f t="shared" si="18"/>
        <v>48.366531791907519</v>
      </c>
    </row>
    <row r="53" spans="2:76" x14ac:dyDescent="0.3">
      <c r="B53" s="58">
        <v>2023</v>
      </c>
      <c r="C53" t="s">
        <v>46</v>
      </c>
      <c r="D53">
        <v>222</v>
      </c>
      <c r="E53">
        <v>2</v>
      </c>
      <c r="F53">
        <v>13</v>
      </c>
      <c r="G53" t="s">
        <v>151</v>
      </c>
      <c r="H53">
        <v>4</v>
      </c>
      <c r="I53" s="18" t="s">
        <v>52</v>
      </c>
      <c r="J53">
        <v>38</v>
      </c>
      <c r="K53">
        <v>41</v>
      </c>
      <c r="L53" s="16">
        <f t="shared" si="1"/>
        <v>163.69664318276006</v>
      </c>
      <c r="M53">
        <v>57</v>
      </c>
      <c r="N53">
        <v>60</v>
      </c>
      <c r="O53">
        <v>60</v>
      </c>
      <c r="P53">
        <v>72</v>
      </c>
      <c r="Q53" s="62">
        <f t="shared" si="2"/>
        <v>62.25</v>
      </c>
      <c r="R53">
        <v>78</v>
      </c>
      <c r="S53">
        <v>83</v>
      </c>
      <c r="T53">
        <v>76</v>
      </c>
      <c r="U53">
        <v>82</v>
      </c>
      <c r="V53" s="62">
        <f t="shared" si="3"/>
        <v>79.75</v>
      </c>
      <c r="W53">
        <v>86</v>
      </c>
      <c r="X53">
        <v>91</v>
      </c>
      <c r="Y53">
        <v>88</v>
      </c>
      <c r="Z53">
        <v>87</v>
      </c>
      <c r="AA53" s="62">
        <f t="shared" si="4"/>
        <v>88</v>
      </c>
      <c r="AB53">
        <v>87</v>
      </c>
      <c r="AC53">
        <v>82</v>
      </c>
      <c r="AD53">
        <v>91</v>
      </c>
      <c r="AE53">
        <v>93</v>
      </c>
      <c r="AF53" s="62">
        <f t="shared" si="5"/>
        <v>88.25</v>
      </c>
      <c r="AG53">
        <v>99</v>
      </c>
      <c r="AH53">
        <v>97</v>
      </c>
      <c r="AI53">
        <v>94</v>
      </c>
      <c r="AJ53">
        <v>89</v>
      </c>
      <c r="AK53" s="62">
        <f t="shared" si="6"/>
        <v>94.75</v>
      </c>
      <c r="AP53" s="62" t="e">
        <f t="shared" si="7"/>
        <v>#DIV/0!</v>
      </c>
      <c r="AQ53" s="88">
        <v>45097</v>
      </c>
      <c r="AR53">
        <v>75</v>
      </c>
      <c r="AS53">
        <v>75</v>
      </c>
      <c r="AT53">
        <v>73</v>
      </c>
      <c r="AU53">
        <v>74</v>
      </c>
      <c r="AV53" s="62">
        <f t="shared" si="19"/>
        <v>74.25</v>
      </c>
      <c r="AW53">
        <v>5</v>
      </c>
      <c r="AX53">
        <v>0</v>
      </c>
      <c r="AY53">
        <v>0</v>
      </c>
      <c r="AZ53" s="15">
        <f t="shared" si="8"/>
        <v>3.3333333333333335</v>
      </c>
      <c r="BD53" s="15">
        <f t="shared" si="9"/>
        <v>0</v>
      </c>
      <c r="BH53" s="15">
        <f t="shared" si="10"/>
        <v>0</v>
      </c>
      <c r="BI53">
        <v>17.399999999999999</v>
      </c>
      <c r="BJ53">
        <v>14.38</v>
      </c>
      <c r="BK53" s="12">
        <f t="shared" si="11"/>
        <v>17.356321839080451</v>
      </c>
      <c r="BL53" s="12">
        <f t="shared" si="12"/>
        <v>-7.0574712643678197</v>
      </c>
      <c r="BM53" s="13">
        <f t="shared" si="13"/>
        <v>45126.942528735635</v>
      </c>
      <c r="BN53" s="90">
        <f t="shared" si="14"/>
        <v>78.942528735635278</v>
      </c>
      <c r="BO53">
        <v>6</v>
      </c>
      <c r="BP53" s="17">
        <f t="shared" si="15"/>
        <v>8.6867999999999999</v>
      </c>
      <c r="BQ53">
        <v>9590</v>
      </c>
      <c r="BR53" s="15">
        <v>12.1</v>
      </c>
      <c r="BS53" s="15">
        <f t="shared" si="16"/>
        <v>11218.416301552206</v>
      </c>
      <c r="BT53" s="15">
        <f t="shared" si="17"/>
        <v>208.54748252885511</v>
      </c>
      <c r="BU53" s="16">
        <v>69.319148936170208</v>
      </c>
      <c r="BV53" s="17">
        <v>4.4799999999999995</v>
      </c>
      <c r="BW53" s="17">
        <v>4.59</v>
      </c>
      <c r="BX53" s="90">
        <f t="shared" si="18"/>
        <v>46.083988439306367</v>
      </c>
    </row>
    <row r="54" spans="2:76" x14ac:dyDescent="0.3">
      <c r="B54" s="58">
        <v>2023</v>
      </c>
      <c r="C54" t="s">
        <v>46</v>
      </c>
      <c r="D54">
        <v>223</v>
      </c>
      <c r="E54">
        <v>2</v>
      </c>
      <c r="F54">
        <v>14</v>
      </c>
      <c r="G54" t="s">
        <v>151</v>
      </c>
      <c r="H54">
        <v>5</v>
      </c>
      <c r="I54" s="18" t="s">
        <v>54</v>
      </c>
      <c r="J54">
        <v>38</v>
      </c>
      <c r="K54">
        <v>36</v>
      </c>
      <c r="L54" s="16">
        <f t="shared" si="1"/>
        <v>153.33609614587652</v>
      </c>
      <c r="M54">
        <v>58</v>
      </c>
      <c r="N54">
        <v>59</v>
      </c>
      <c r="O54">
        <v>53</v>
      </c>
      <c r="P54">
        <v>54</v>
      </c>
      <c r="Q54" s="62">
        <f t="shared" si="2"/>
        <v>56</v>
      </c>
      <c r="R54">
        <v>74</v>
      </c>
      <c r="S54">
        <v>72</v>
      </c>
      <c r="T54">
        <v>66</v>
      </c>
      <c r="U54">
        <v>75</v>
      </c>
      <c r="V54" s="62">
        <f t="shared" si="3"/>
        <v>71.75</v>
      </c>
      <c r="W54">
        <v>87</v>
      </c>
      <c r="X54">
        <v>86</v>
      </c>
      <c r="Y54">
        <v>83</v>
      </c>
      <c r="Z54">
        <v>87</v>
      </c>
      <c r="AA54" s="62">
        <f t="shared" si="4"/>
        <v>85.75</v>
      </c>
      <c r="AB54">
        <v>95</v>
      </c>
      <c r="AC54">
        <v>88</v>
      </c>
      <c r="AD54">
        <v>95</v>
      </c>
      <c r="AE54">
        <v>100</v>
      </c>
      <c r="AF54" s="62">
        <f t="shared" si="5"/>
        <v>94.5</v>
      </c>
      <c r="AG54">
        <v>92</v>
      </c>
      <c r="AH54">
        <v>94</v>
      </c>
      <c r="AI54">
        <v>92</v>
      </c>
      <c r="AJ54">
        <v>82</v>
      </c>
      <c r="AK54" s="62">
        <f t="shared" si="6"/>
        <v>90</v>
      </c>
      <c r="AP54" s="62" t="e">
        <f t="shared" si="7"/>
        <v>#DIV/0!</v>
      </c>
      <c r="AQ54" s="88">
        <v>45097</v>
      </c>
      <c r="AR54">
        <v>76</v>
      </c>
      <c r="AS54">
        <v>74</v>
      </c>
      <c r="AT54">
        <v>71</v>
      </c>
      <c r="AU54">
        <v>70</v>
      </c>
      <c r="AV54" s="62">
        <f t="shared" si="19"/>
        <v>72.75</v>
      </c>
      <c r="AW54">
        <v>0</v>
      </c>
      <c r="AX54">
        <v>0</v>
      </c>
      <c r="AY54">
        <v>0</v>
      </c>
      <c r="AZ54" s="15">
        <f t="shared" si="8"/>
        <v>0</v>
      </c>
      <c r="BD54" s="15">
        <f t="shared" si="9"/>
        <v>0</v>
      </c>
      <c r="BH54" s="15">
        <f t="shared" si="10"/>
        <v>0</v>
      </c>
      <c r="BI54">
        <v>20.27</v>
      </c>
      <c r="BJ54">
        <v>14.25</v>
      </c>
      <c r="BK54" s="12">
        <f t="shared" si="11"/>
        <v>29.699062654168724</v>
      </c>
      <c r="BL54" s="12">
        <f t="shared" si="12"/>
        <v>-2.1203749383325103</v>
      </c>
      <c r="BM54" s="13">
        <f t="shared" si="13"/>
        <v>45131.879625061665</v>
      </c>
      <c r="BN54" s="90">
        <f t="shared" si="14"/>
        <v>83.879625061665138</v>
      </c>
      <c r="BO54">
        <v>6</v>
      </c>
      <c r="BP54" s="17">
        <f t="shared" si="15"/>
        <v>8.6867999999999999</v>
      </c>
      <c r="BQ54">
        <v>9570</v>
      </c>
      <c r="BR54" s="15">
        <v>11.2</v>
      </c>
      <c r="BS54" s="15">
        <f t="shared" si="16"/>
        <v>11309.645010528231</v>
      </c>
      <c r="BT54" s="15">
        <f t="shared" si="17"/>
        <v>210.24340083674275</v>
      </c>
      <c r="BU54" s="16">
        <v>69.617021276595736</v>
      </c>
      <c r="BV54" s="17">
        <v>4.6500000000000004</v>
      </c>
      <c r="BW54" s="17">
        <v>4.58</v>
      </c>
      <c r="BX54" s="90">
        <f t="shared" si="18"/>
        <v>47.377109826589596</v>
      </c>
    </row>
    <row r="55" spans="2:76" x14ac:dyDescent="0.3">
      <c r="B55" s="58">
        <v>2023</v>
      </c>
      <c r="C55" t="s">
        <v>46</v>
      </c>
      <c r="D55">
        <v>224</v>
      </c>
      <c r="E55">
        <v>2</v>
      </c>
      <c r="F55">
        <v>16</v>
      </c>
      <c r="G55" t="s">
        <v>151</v>
      </c>
      <c r="H55">
        <v>7</v>
      </c>
      <c r="I55" s="18" t="s">
        <v>56</v>
      </c>
      <c r="J55">
        <v>39</v>
      </c>
      <c r="K55">
        <v>49</v>
      </c>
      <c r="L55" s="16">
        <f t="shared" si="1"/>
        <v>182.34562784915045</v>
      </c>
      <c r="M55">
        <v>59</v>
      </c>
      <c r="N55">
        <v>47</v>
      </c>
      <c r="O55">
        <v>54</v>
      </c>
      <c r="P55">
        <v>45</v>
      </c>
      <c r="Q55" s="62">
        <f t="shared" si="2"/>
        <v>51.25</v>
      </c>
      <c r="R55">
        <v>73</v>
      </c>
      <c r="S55">
        <v>75</v>
      </c>
      <c r="T55">
        <v>69</v>
      </c>
      <c r="U55">
        <v>76</v>
      </c>
      <c r="V55" s="62">
        <f t="shared" si="3"/>
        <v>73.25</v>
      </c>
      <c r="W55">
        <v>87</v>
      </c>
      <c r="X55">
        <v>85</v>
      </c>
      <c r="Y55">
        <v>82</v>
      </c>
      <c r="Z55">
        <v>73</v>
      </c>
      <c r="AA55" s="62">
        <f t="shared" si="4"/>
        <v>81.75</v>
      </c>
      <c r="AB55">
        <v>84</v>
      </c>
      <c r="AC55">
        <v>86</v>
      </c>
      <c r="AD55">
        <v>87</v>
      </c>
      <c r="AE55">
        <v>89</v>
      </c>
      <c r="AF55" s="62">
        <f t="shared" si="5"/>
        <v>86.5</v>
      </c>
      <c r="AG55">
        <v>80</v>
      </c>
      <c r="AH55">
        <v>93</v>
      </c>
      <c r="AI55">
        <v>87</v>
      </c>
      <c r="AJ55">
        <v>92</v>
      </c>
      <c r="AK55" s="62">
        <f t="shared" si="6"/>
        <v>88</v>
      </c>
      <c r="AP55" s="62" t="e">
        <f t="shared" si="7"/>
        <v>#DIV/0!</v>
      </c>
      <c r="AQ55" s="88">
        <v>45097</v>
      </c>
      <c r="AR55">
        <v>82</v>
      </c>
      <c r="AS55">
        <v>76</v>
      </c>
      <c r="AT55">
        <v>68</v>
      </c>
      <c r="AU55">
        <v>72</v>
      </c>
      <c r="AV55" s="62">
        <f t="shared" si="19"/>
        <v>74.5</v>
      </c>
      <c r="AW55">
        <v>0</v>
      </c>
      <c r="AX55">
        <v>0</v>
      </c>
      <c r="AY55">
        <v>0</v>
      </c>
      <c r="AZ55" s="15">
        <f t="shared" si="8"/>
        <v>0</v>
      </c>
      <c r="BD55" s="15">
        <f t="shared" si="9"/>
        <v>0</v>
      </c>
      <c r="BH55" s="15">
        <f t="shared" si="10"/>
        <v>0</v>
      </c>
      <c r="BI55">
        <v>19.190000000000001</v>
      </c>
      <c r="BJ55">
        <v>15.6</v>
      </c>
      <c r="BK55" s="12">
        <f t="shared" si="11"/>
        <v>18.707660239708186</v>
      </c>
      <c r="BL55" s="12">
        <f t="shared" si="12"/>
        <v>-6.5169359041167256</v>
      </c>
      <c r="BM55" s="13">
        <f t="shared" si="13"/>
        <v>45127.483064095883</v>
      </c>
      <c r="BN55" s="90">
        <f t="shared" si="14"/>
        <v>79.483064095882582</v>
      </c>
      <c r="BO55">
        <v>6</v>
      </c>
      <c r="BP55" s="17">
        <f t="shared" si="15"/>
        <v>8.6867999999999999</v>
      </c>
      <c r="BQ55">
        <v>9330</v>
      </c>
      <c r="BR55" s="15">
        <v>11.9</v>
      </c>
      <c r="BS55" s="15">
        <f t="shared" si="16"/>
        <v>10939.100744442236</v>
      </c>
      <c r="BT55" s="15">
        <f t="shared" si="17"/>
        <v>203.35507794155438</v>
      </c>
      <c r="BU55" s="16">
        <v>69.40425531914893</v>
      </c>
      <c r="BV55" s="17">
        <v>5.09</v>
      </c>
      <c r="BW55" s="17">
        <v>4.9799999999999995</v>
      </c>
      <c r="BX55" s="90">
        <f t="shared" si="18"/>
        <v>51.281329479768786</v>
      </c>
    </row>
    <row r="56" spans="2:76" x14ac:dyDescent="0.3">
      <c r="B56" s="58">
        <v>2023</v>
      </c>
      <c r="C56" t="s">
        <v>46</v>
      </c>
      <c r="D56">
        <v>225</v>
      </c>
      <c r="E56">
        <v>2</v>
      </c>
      <c r="F56">
        <v>15</v>
      </c>
      <c r="G56" t="s">
        <v>151</v>
      </c>
      <c r="H56">
        <v>6</v>
      </c>
      <c r="I56" s="18" t="s">
        <v>55</v>
      </c>
      <c r="J56">
        <v>44</v>
      </c>
      <c r="K56">
        <v>46</v>
      </c>
      <c r="L56" s="16">
        <f t="shared" si="1"/>
        <v>186.48984666390388</v>
      </c>
      <c r="M56">
        <v>56</v>
      </c>
      <c r="N56">
        <v>56</v>
      </c>
      <c r="O56">
        <v>62</v>
      </c>
      <c r="P56">
        <v>65</v>
      </c>
      <c r="Q56" s="62">
        <f t="shared" si="2"/>
        <v>59.75</v>
      </c>
      <c r="R56">
        <v>77</v>
      </c>
      <c r="S56">
        <v>75</v>
      </c>
      <c r="T56">
        <v>76</v>
      </c>
      <c r="U56">
        <v>76</v>
      </c>
      <c r="V56" s="62">
        <f t="shared" si="3"/>
        <v>76</v>
      </c>
      <c r="W56">
        <v>82</v>
      </c>
      <c r="X56">
        <v>84</v>
      </c>
      <c r="Y56">
        <v>88</v>
      </c>
      <c r="Z56">
        <v>82</v>
      </c>
      <c r="AA56" s="62">
        <f t="shared" si="4"/>
        <v>84</v>
      </c>
      <c r="AB56">
        <v>82</v>
      </c>
      <c r="AC56">
        <v>85</v>
      </c>
      <c r="AD56">
        <v>87</v>
      </c>
      <c r="AE56">
        <v>89</v>
      </c>
      <c r="AF56" s="62">
        <f t="shared" si="5"/>
        <v>85.75</v>
      </c>
      <c r="AG56">
        <v>89</v>
      </c>
      <c r="AH56">
        <v>83</v>
      </c>
      <c r="AI56">
        <v>85</v>
      </c>
      <c r="AJ56">
        <v>88</v>
      </c>
      <c r="AK56" s="62">
        <f t="shared" si="6"/>
        <v>86.25</v>
      </c>
      <c r="AP56" s="62" t="e">
        <f t="shared" si="7"/>
        <v>#DIV/0!</v>
      </c>
      <c r="AQ56" s="88">
        <v>45097</v>
      </c>
      <c r="AR56">
        <v>68</v>
      </c>
      <c r="AS56">
        <v>66</v>
      </c>
      <c r="AT56">
        <v>68</v>
      </c>
      <c r="AU56">
        <v>72</v>
      </c>
      <c r="AV56" s="62">
        <f t="shared" si="19"/>
        <v>68.5</v>
      </c>
      <c r="AW56">
        <v>0</v>
      </c>
      <c r="AX56">
        <v>0</v>
      </c>
      <c r="AY56">
        <v>0</v>
      </c>
      <c r="AZ56" s="15">
        <f t="shared" si="8"/>
        <v>0</v>
      </c>
      <c r="BD56" s="15">
        <f t="shared" si="9"/>
        <v>0</v>
      </c>
      <c r="BH56" s="15">
        <f t="shared" si="10"/>
        <v>0</v>
      </c>
      <c r="BI56">
        <v>23</v>
      </c>
      <c r="BJ56">
        <v>15.75</v>
      </c>
      <c r="BK56" s="12">
        <f t="shared" si="11"/>
        <v>31.521739130434785</v>
      </c>
      <c r="BL56" s="12">
        <f t="shared" si="12"/>
        <v>-1.391304347826086</v>
      </c>
      <c r="BM56" s="13">
        <f t="shared" si="13"/>
        <v>45132.608695652176</v>
      </c>
      <c r="BN56" s="90">
        <f t="shared" si="14"/>
        <v>84.608695652175811</v>
      </c>
      <c r="BO56">
        <v>6</v>
      </c>
      <c r="BP56" s="17">
        <f t="shared" si="15"/>
        <v>8.6867999999999999</v>
      </c>
      <c r="BQ56">
        <v>9800</v>
      </c>
      <c r="BR56" s="15">
        <v>12.5</v>
      </c>
      <c r="BS56" s="15">
        <f t="shared" si="16"/>
        <v>11411.906337993118</v>
      </c>
      <c r="BT56" s="15">
        <f t="shared" si="17"/>
        <v>212.14441269346182</v>
      </c>
      <c r="BU56" s="16">
        <v>70.085106382978722</v>
      </c>
      <c r="BV56" s="17">
        <v>5.46</v>
      </c>
      <c r="BW56" s="17">
        <v>5.4799999999999995</v>
      </c>
      <c r="BX56" s="90">
        <f t="shared" si="18"/>
        <v>55.332369942196536</v>
      </c>
    </row>
    <row r="57" spans="2:76" x14ac:dyDescent="0.3">
      <c r="B57" s="58">
        <v>2023</v>
      </c>
      <c r="C57" t="s">
        <v>46</v>
      </c>
      <c r="D57">
        <v>226</v>
      </c>
      <c r="E57">
        <v>2</v>
      </c>
      <c r="F57">
        <v>10</v>
      </c>
      <c r="G57" t="s">
        <v>151</v>
      </c>
      <c r="H57">
        <v>1</v>
      </c>
      <c r="I57" s="18" t="s">
        <v>0</v>
      </c>
      <c r="J57">
        <v>40</v>
      </c>
      <c r="K57">
        <v>39</v>
      </c>
      <c r="L57" s="16">
        <f t="shared" si="1"/>
        <v>163.69664318276006</v>
      </c>
      <c r="M57">
        <v>50</v>
      </c>
      <c r="N57">
        <v>62</v>
      </c>
      <c r="O57">
        <v>48</v>
      </c>
      <c r="P57">
        <v>57</v>
      </c>
      <c r="Q57" s="62">
        <f t="shared" si="2"/>
        <v>54.25</v>
      </c>
      <c r="R57">
        <v>78</v>
      </c>
      <c r="S57">
        <v>82</v>
      </c>
      <c r="T57">
        <v>74</v>
      </c>
      <c r="U57">
        <v>76</v>
      </c>
      <c r="V57" s="62">
        <f t="shared" si="3"/>
        <v>77.5</v>
      </c>
      <c r="W57">
        <v>92</v>
      </c>
      <c r="X57">
        <v>94</v>
      </c>
      <c r="Y57">
        <v>87</v>
      </c>
      <c r="Z57">
        <v>90</v>
      </c>
      <c r="AA57" s="62">
        <f t="shared" si="4"/>
        <v>90.75</v>
      </c>
      <c r="AB57">
        <v>93</v>
      </c>
      <c r="AC57">
        <v>97</v>
      </c>
      <c r="AD57">
        <v>91</v>
      </c>
      <c r="AE57">
        <v>100</v>
      </c>
      <c r="AF57" s="62">
        <f t="shared" si="5"/>
        <v>95.25</v>
      </c>
      <c r="AG57">
        <v>92</v>
      </c>
      <c r="AH57">
        <v>100</v>
      </c>
      <c r="AI57">
        <v>94</v>
      </c>
      <c r="AJ57">
        <v>100</v>
      </c>
      <c r="AK57" s="62">
        <f t="shared" si="6"/>
        <v>96.5</v>
      </c>
      <c r="AP57" s="62" t="e">
        <f t="shared" si="7"/>
        <v>#DIV/0!</v>
      </c>
      <c r="AQ57" s="88">
        <v>45097</v>
      </c>
      <c r="AR57">
        <v>72</v>
      </c>
      <c r="AS57">
        <v>79</v>
      </c>
      <c r="AT57">
        <v>78</v>
      </c>
      <c r="AU57">
        <v>80</v>
      </c>
      <c r="AV57" s="62">
        <f t="shared" si="19"/>
        <v>77.25</v>
      </c>
      <c r="AW57">
        <v>10</v>
      </c>
      <c r="AX57">
        <v>0</v>
      </c>
      <c r="AY57">
        <v>0</v>
      </c>
      <c r="AZ57" s="15">
        <f t="shared" si="8"/>
        <v>6.666666666666667</v>
      </c>
      <c r="BD57" s="15">
        <f t="shared" si="9"/>
        <v>0</v>
      </c>
      <c r="BH57" s="15">
        <f t="shared" si="10"/>
        <v>0</v>
      </c>
      <c r="BI57">
        <v>21.9</v>
      </c>
      <c r="BJ57">
        <v>15.17</v>
      </c>
      <c r="BK57" s="12">
        <f t="shared" si="11"/>
        <v>30.730593607305934</v>
      </c>
      <c r="BL57" s="12">
        <f t="shared" si="12"/>
        <v>-1.7077625570776263</v>
      </c>
      <c r="BM57" s="13">
        <f t="shared" si="13"/>
        <v>45132.292237442925</v>
      </c>
      <c r="BN57" s="90">
        <f t="shared" si="14"/>
        <v>84.292237442925398</v>
      </c>
      <c r="BO57">
        <v>6</v>
      </c>
      <c r="BP57" s="17">
        <f t="shared" si="15"/>
        <v>8.6867999999999999</v>
      </c>
      <c r="BQ57">
        <v>9160</v>
      </c>
      <c r="BR57" s="15">
        <v>12.2</v>
      </c>
      <c r="BS57" s="15">
        <f t="shared" si="16"/>
        <v>10703.210318971764</v>
      </c>
      <c r="BT57" s="15">
        <f t="shared" si="17"/>
        <v>198.96993541678279</v>
      </c>
      <c r="BU57" s="16">
        <v>70.212765957446805</v>
      </c>
      <c r="BV57" s="17">
        <v>5.2799999999999994</v>
      </c>
      <c r="BW57" s="17">
        <v>4.82</v>
      </c>
      <c r="BX57" s="90">
        <f t="shared" si="18"/>
        <v>51.25895953757226</v>
      </c>
    </row>
    <row r="58" spans="2:76" x14ac:dyDescent="0.3">
      <c r="B58" s="58">
        <v>2023</v>
      </c>
      <c r="C58" t="s">
        <v>46</v>
      </c>
      <c r="D58">
        <v>227</v>
      </c>
      <c r="E58">
        <v>2</v>
      </c>
      <c r="F58">
        <v>17</v>
      </c>
      <c r="G58" t="s">
        <v>151</v>
      </c>
      <c r="H58">
        <v>8</v>
      </c>
      <c r="I58" s="18" t="s">
        <v>57</v>
      </c>
      <c r="J58">
        <v>37</v>
      </c>
      <c r="K58">
        <v>39</v>
      </c>
      <c r="L58" s="16">
        <f t="shared" si="1"/>
        <v>157.48031496062993</v>
      </c>
      <c r="M58">
        <v>41</v>
      </c>
      <c r="N58">
        <v>36</v>
      </c>
      <c r="O58">
        <v>44</v>
      </c>
      <c r="P58">
        <v>40</v>
      </c>
      <c r="Q58" s="62">
        <f t="shared" si="2"/>
        <v>40.25</v>
      </c>
      <c r="R58">
        <v>59</v>
      </c>
      <c r="S58">
        <v>57</v>
      </c>
      <c r="T58">
        <v>56</v>
      </c>
      <c r="U58">
        <v>61</v>
      </c>
      <c r="V58" s="62">
        <f t="shared" si="3"/>
        <v>58.25</v>
      </c>
      <c r="W58">
        <v>67</v>
      </c>
      <c r="X58">
        <v>72</v>
      </c>
      <c r="Y58">
        <v>77</v>
      </c>
      <c r="Z58">
        <v>67</v>
      </c>
      <c r="AA58" s="62">
        <f t="shared" si="4"/>
        <v>70.75</v>
      </c>
      <c r="AB58">
        <v>95</v>
      </c>
      <c r="AC58">
        <v>86</v>
      </c>
      <c r="AD58">
        <v>90</v>
      </c>
      <c r="AE58">
        <v>86</v>
      </c>
      <c r="AF58" s="62">
        <f t="shared" si="5"/>
        <v>89.25</v>
      </c>
      <c r="AG58">
        <v>90</v>
      </c>
      <c r="AH58">
        <v>83</v>
      </c>
      <c r="AI58">
        <v>83</v>
      </c>
      <c r="AJ58">
        <v>85</v>
      </c>
      <c r="AK58" s="62">
        <f t="shared" si="6"/>
        <v>85.25</v>
      </c>
      <c r="AP58" s="62" t="e">
        <f t="shared" si="7"/>
        <v>#DIV/0!</v>
      </c>
      <c r="AQ58" s="88">
        <v>45097</v>
      </c>
      <c r="AR58">
        <v>77</v>
      </c>
      <c r="AS58">
        <v>73</v>
      </c>
      <c r="AT58">
        <v>70</v>
      </c>
      <c r="AU58">
        <v>74</v>
      </c>
      <c r="AV58" s="62">
        <f t="shared" si="19"/>
        <v>73.5</v>
      </c>
      <c r="AW58">
        <v>5</v>
      </c>
      <c r="AX58">
        <v>0</v>
      </c>
      <c r="AY58">
        <v>0</v>
      </c>
      <c r="AZ58" s="15">
        <f t="shared" si="8"/>
        <v>3.3333333333333335</v>
      </c>
      <c r="BD58" s="15">
        <f t="shared" si="9"/>
        <v>0</v>
      </c>
      <c r="BH58" s="15">
        <f t="shared" si="10"/>
        <v>0</v>
      </c>
      <c r="BI58">
        <v>24.87</v>
      </c>
      <c r="BJ58">
        <v>16.32</v>
      </c>
      <c r="BK58" s="12">
        <f t="shared" si="11"/>
        <v>34.378769601930038</v>
      </c>
      <c r="BL58" s="12">
        <f t="shared" si="12"/>
        <v>-0.24849215922798465</v>
      </c>
      <c r="BM58" s="13">
        <f t="shared" si="13"/>
        <v>45133.751507840774</v>
      </c>
      <c r="BN58" s="90">
        <f t="shared" si="14"/>
        <v>85.751507840774138</v>
      </c>
      <c r="BO58">
        <v>6</v>
      </c>
      <c r="BP58" s="17">
        <f t="shared" si="15"/>
        <v>8.6867999999999999</v>
      </c>
      <c r="BQ58">
        <v>8920</v>
      </c>
      <c r="BR58" s="15">
        <v>12.2</v>
      </c>
      <c r="BS58" s="15">
        <f t="shared" si="16"/>
        <v>10422.776860832766</v>
      </c>
      <c r="BT58" s="15">
        <f t="shared" si="17"/>
        <v>193.75674933599373</v>
      </c>
      <c r="BU58" s="16">
        <v>71.191489361702125</v>
      </c>
      <c r="BV58" s="17">
        <v>5.18</v>
      </c>
      <c r="BW58" s="17">
        <v>4.99</v>
      </c>
      <c r="BX58" s="90">
        <f t="shared" si="18"/>
        <v>51.614219653179198</v>
      </c>
    </row>
    <row r="59" spans="2:76" x14ac:dyDescent="0.3">
      <c r="B59" s="58">
        <v>2023</v>
      </c>
      <c r="C59" t="s">
        <v>46</v>
      </c>
      <c r="D59">
        <v>301</v>
      </c>
      <c r="E59">
        <v>3</v>
      </c>
      <c r="F59">
        <v>11</v>
      </c>
      <c r="G59" t="s">
        <v>151</v>
      </c>
      <c r="H59">
        <v>2</v>
      </c>
      <c r="I59" s="18" t="s">
        <v>53</v>
      </c>
      <c r="J59">
        <v>44</v>
      </c>
      <c r="K59">
        <v>38</v>
      </c>
      <c r="L59" s="16">
        <f t="shared" si="1"/>
        <v>169.91297140489019</v>
      </c>
      <c r="M59">
        <v>49</v>
      </c>
      <c r="N59">
        <v>52</v>
      </c>
      <c r="O59">
        <v>54</v>
      </c>
      <c r="P59">
        <v>51</v>
      </c>
      <c r="Q59" s="62">
        <f t="shared" si="2"/>
        <v>51.5</v>
      </c>
      <c r="R59">
        <v>72</v>
      </c>
      <c r="S59">
        <v>76</v>
      </c>
      <c r="T59">
        <v>73</v>
      </c>
      <c r="U59">
        <v>70</v>
      </c>
      <c r="V59" s="62">
        <f t="shared" si="3"/>
        <v>72.75</v>
      </c>
      <c r="W59">
        <v>86</v>
      </c>
      <c r="X59">
        <v>85</v>
      </c>
      <c r="Y59">
        <v>91</v>
      </c>
      <c r="Z59">
        <v>95</v>
      </c>
      <c r="AA59" s="62">
        <f t="shared" si="4"/>
        <v>89.25</v>
      </c>
      <c r="AB59">
        <v>91</v>
      </c>
      <c r="AC59">
        <v>91</v>
      </c>
      <c r="AD59">
        <v>93</v>
      </c>
      <c r="AE59">
        <v>95</v>
      </c>
      <c r="AF59" s="62">
        <f t="shared" si="5"/>
        <v>92.5</v>
      </c>
      <c r="AG59">
        <v>91</v>
      </c>
      <c r="AH59">
        <v>96</v>
      </c>
      <c r="AI59">
        <v>100</v>
      </c>
      <c r="AJ59">
        <v>93</v>
      </c>
      <c r="AK59" s="62">
        <f t="shared" si="6"/>
        <v>95</v>
      </c>
      <c r="AP59" s="62" t="e">
        <f t="shared" si="7"/>
        <v>#DIV/0!</v>
      </c>
      <c r="AQ59" s="88">
        <v>45097</v>
      </c>
      <c r="AR59">
        <v>84</v>
      </c>
      <c r="AS59">
        <v>76</v>
      </c>
      <c r="AT59">
        <v>75</v>
      </c>
      <c r="AU59">
        <v>86</v>
      </c>
      <c r="AV59" s="62">
        <f t="shared" si="19"/>
        <v>80.25</v>
      </c>
      <c r="AW59">
        <v>10</v>
      </c>
      <c r="AX59">
        <v>0</v>
      </c>
      <c r="AY59">
        <v>0</v>
      </c>
      <c r="AZ59" s="15">
        <f t="shared" si="8"/>
        <v>6.666666666666667</v>
      </c>
      <c r="BD59" s="15">
        <f t="shared" si="9"/>
        <v>0</v>
      </c>
      <c r="BH59" s="15">
        <f t="shared" si="10"/>
        <v>0</v>
      </c>
      <c r="BI59">
        <v>17.53</v>
      </c>
      <c r="BJ59">
        <v>13.75</v>
      </c>
      <c r="BK59" s="12">
        <f t="shared" si="11"/>
        <v>21.563034797490022</v>
      </c>
      <c r="BL59" s="12">
        <f t="shared" si="12"/>
        <v>-5.3747860810039914</v>
      </c>
      <c r="BM59" s="13">
        <f t="shared" si="13"/>
        <v>45128.625213918996</v>
      </c>
      <c r="BN59" s="90">
        <f t="shared" si="14"/>
        <v>80.625213918996451</v>
      </c>
      <c r="BO59">
        <v>6</v>
      </c>
      <c r="BP59" s="17">
        <f t="shared" si="15"/>
        <v>8.6867999999999999</v>
      </c>
      <c r="BQ59">
        <v>9260</v>
      </c>
      <c r="BR59" s="15">
        <v>12.6</v>
      </c>
      <c r="BS59" s="15">
        <f t="shared" si="16"/>
        <v>10770.76348115445</v>
      </c>
      <c r="BT59" s="15">
        <f t="shared" si="17"/>
        <v>200.22573138043529</v>
      </c>
      <c r="BU59" s="16">
        <v>69.40425531914893</v>
      </c>
      <c r="BV59" s="17">
        <v>4.8600000000000003</v>
      </c>
      <c r="BW59" s="17">
        <v>4.63</v>
      </c>
      <c r="BX59" s="90">
        <f t="shared" si="18"/>
        <v>47.94369942196532</v>
      </c>
    </row>
    <row r="60" spans="2:76" x14ac:dyDescent="0.3">
      <c r="B60" s="58">
        <v>2023</v>
      </c>
      <c r="C60" t="s">
        <v>46</v>
      </c>
      <c r="D60">
        <v>302</v>
      </c>
      <c r="E60">
        <v>3</v>
      </c>
      <c r="F60">
        <v>15</v>
      </c>
      <c r="G60" t="s">
        <v>151</v>
      </c>
      <c r="H60">
        <v>6</v>
      </c>
      <c r="I60" s="18" t="s">
        <v>55</v>
      </c>
      <c r="J60">
        <v>32</v>
      </c>
      <c r="K60">
        <v>41</v>
      </c>
      <c r="L60" s="16">
        <f t="shared" si="1"/>
        <v>151.2639867384998</v>
      </c>
      <c r="M60">
        <v>51</v>
      </c>
      <c r="N60">
        <v>58</v>
      </c>
      <c r="O60">
        <v>55</v>
      </c>
      <c r="P60">
        <v>54</v>
      </c>
      <c r="Q60" s="62">
        <f t="shared" si="2"/>
        <v>54.5</v>
      </c>
      <c r="R60">
        <v>71</v>
      </c>
      <c r="S60">
        <v>76</v>
      </c>
      <c r="T60">
        <v>74</v>
      </c>
      <c r="U60">
        <v>75</v>
      </c>
      <c r="V60" s="62">
        <f t="shared" si="3"/>
        <v>74</v>
      </c>
      <c r="W60">
        <v>80</v>
      </c>
      <c r="X60">
        <v>83</v>
      </c>
      <c r="Y60">
        <v>79</v>
      </c>
      <c r="Z60">
        <v>77</v>
      </c>
      <c r="AA60" s="62">
        <f t="shared" si="4"/>
        <v>79.75</v>
      </c>
      <c r="AB60">
        <v>81</v>
      </c>
      <c r="AC60">
        <v>86</v>
      </c>
      <c r="AD60">
        <v>85</v>
      </c>
      <c r="AE60">
        <v>80</v>
      </c>
      <c r="AF60" s="62">
        <f t="shared" si="5"/>
        <v>83</v>
      </c>
      <c r="AG60">
        <v>77</v>
      </c>
      <c r="AH60">
        <v>87</v>
      </c>
      <c r="AI60">
        <v>80</v>
      </c>
      <c r="AJ60">
        <v>79</v>
      </c>
      <c r="AK60" s="62">
        <f t="shared" si="6"/>
        <v>80.75</v>
      </c>
      <c r="AP60" s="62" t="e">
        <f t="shared" si="7"/>
        <v>#DIV/0!</v>
      </c>
      <c r="AQ60" s="88">
        <v>45097</v>
      </c>
      <c r="AR60">
        <v>69</v>
      </c>
      <c r="AS60">
        <v>72</v>
      </c>
      <c r="AT60">
        <v>63</v>
      </c>
      <c r="AU60">
        <v>61</v>
      </c>
      <c r="AV60" s="62">
        <f t="shared" si="19"/>
        <v>66.25</v>
      </c>
      <c r="AW60">
        <v>5</v>
      </c>
      <c r="AX60">
        <v>0</v>
      </c>
      <c r="AY60">
        <v>0</v>
      </c>
      <c r="AZ60" s="15">
        <f t="shared" si="8"/>
        <v>3.3333333333333335</v>
      </c>
      <c r="BD60" s="15">
        <f t="shared" si="9"/>
        <v>0</v>
      </c>
      <c r="BH60" s="15">
        <f t="shared" si="10"/>
        <v>0</v>
      </c>
      <c r="BI60">
        <v>15.23</v>
      </c>
      <c r="BJ60">
        <v>15.17</v>
      </c>
      <c r="BK60" s="12">
        <f t="shared" si="11"/>
        <v>0.39395929087327969</v>
      </c>
      <c r="BL60" s="12">
        <f t="shared" si="12"/>
        <v>-13.842416283650689</v>
      </c>
      <c r="BM60" s="13">
        <f t="shared" si="13"/>
        <v>45120.157583716347</v>
      </c>
      <c r="BN60" s="90">
        <f t="shared" si="14"/>
        <v>72.15758371634729</v>
      </c>
      <c r="BO60">
        <v>6</v>
      </c>
      <c r="BP60" s="17">
        <f t="shared" si="15"/>
        <v>8.6867999999999999</v>
      </c>
      <c r="BQ60">
        <v>8620</v>
      </c>
      <c r="BR60" s="15">
        <v>12.8</v>
      </c>
      <c r="BS60" s="15">
        <f t="shared" si="16"/>
        <v>10003.404274800303</v>
      </c>
      <c r="BT60" s="15">
        <f t="shared" si="17"/>
        <v>185.96072049308256</v>
      </c>
      <c r="BU60" s="16">
        <v>68.170212765957444</v>
      </c>
      <c r="BV60" s="17">
        <v>4.54</v>
      </c>
      <c r="BW60" s="17">
        <v>4.09</v>
      </c>
      <c r="BX60" s="90">
        <f t="shared" si="18"/>
        <v>43.499190751445077</v>
      </c>
    </row>
    <row r="61" spans="2:76" x14ac:dyDescent="0.3">
      <c r="B61" s="58">
        <v>2023</v>
      </c>
      <c r="C61" t="s">
        <v>46</v>
      </c>
      <c r="D61">
        <v>303</v>
      </c>
      <c r="E61">
        <v>3</v>
      </c>
      <c r="F61">
        <v>18</v>
      </c>
      <c r="G61" t="s">
        <v>151</v>
      </c>
      <c r="H61">
        <v>9</v>
      </c>
      <c r="I61" s="18" t="s">
        <v>58</v>
      </c>
      <c r="J61">
        <v>32</v>
      </c>
      <c r="K61">
        <v>44</v>
      </c>
      <c r="L61" s="16">
        <f t="shared" si="1"/>
        <v>157.48031496062993</v>
      </c>
      <c r="M61">
        <v>55</v>
      </c>
      <c r="N61">
        <v>57</v>
      </c>
      <c r="O61">
        <v>56</v>
      </c>
      <c r="P61">
        <v>63</v>
      </c>
      <c r="Q61" s="62">
        <f t="shared" si="2"/>
        <v>57.75</v>
      </c>
      <c r="R61">
        <v>71</v>
      </c>
      <c r="S61">
        <v>76</v>
      </c>
      <c r="T61">
        <v>74</v>
      </c>
      <c r="U61">
        <v>72</v>
      </c>
      <c r="V61" s="62">
        <f t="shared" si="3"/>
        <v>73.25</v>
      </c>
      <c r="W61">
        <v>76</v>
      </c>
      <c r="X61">
        <v>80</v>
      </c>
      <c r="Y61">
        <v>78</v>
      </c>
      <c r="Z61">
        <v>82</v>
      </c>
      <c r="AA61" s="62">
        <f t="shared" si="4"/>
        <v>79</v>
      </c>
      <c r="AB61">
        <v>81</v>
      </c>
      <c r="AC61">
        <v>79</v>
      </c>
      <c r="AD61">
        <v>86</v>
      </c>
      <c r="AE61">
        <v>89</v>
      </c>
      <c r="AF61" s="62">
        <f t="shared" si="5"/>
        <v>83.75</v>
      </c>
      <c r="AG61">
        <v>87</v>
      </c>
      <c r="AH61">
        <v>87</v>
      </c>
      <c r="AI61">
        <v>85</v>
      </c>
      <c r="AJ61">
        <v>81</v>
      </c>
      <c r="AK61" s="62">
        <f t="shared" si="6"/>
        <v>85</v>
      </c>
      <c r="AP61" s="62" t="e">
        <f t="shared" si="7"/>
        <v>#DIV/0!</v>
      </c>
      <c r="AQ61" s="88">
        <v>45097</v>
      </c>
      <c r="AR61">
        <v>69</v>
      </c>
      <c r="AS61">
        <v>71</v>
      </c>
      <c r="AT61">
        <v>66</v>
      </c>
      <c r="AU61">
        <v>70</v>
      </c>
      <c r="AV61" s="62">
        <f t="shared" si="19"/>
        <v>69</v>
      </c>
      <c r="AW61">
        <v>5</v>
      </c>
      <c r="AX61">
        <v>0</v>
      </c>
      <c r="AY61">
        <v>0</v>
      </c>
      <c r="AZ61" s="15">
        <f t="shared" si="8"/>
        <v>3.3333333333333335</v>
      </c>
      <c r="BD61" s="15">
        <f t="shared" si="9"/>
        <v>0</v>
      </c>
      <c r="BH61" s="15">
        <f t="shared" si="10"/>
        <v>0</v>
      </c>
      <c r="BI61">
        <v>19.12</v>
      </c>
      <c r="BJ61">
        <v>14.53</v>
      </c>
      <c r="BK61" s="12">
        <f t="shared" si="11"/>
        <v>24.006276150627624</v>
      </c>
      <c r="BL61" s="12">
        <f t="shared" si="12"/>
        <v>-4.3974895397489506</v>
      </c>
      <c r="BM61" s="13">
        <f t="shared" si="13"/>
        <v>45129.602510460252</v>
      </c>
      <c r="BN61" s="90">
        <f t="shared" si="14"/>
        <v>81.602510460252233</v>
      </c>
      <c r="BO61">
        <v>6</v>
      </c>
      <c r="BP61" s="17">
        <f t="shared" si="15"/>
        <v>8.6867999999999999</v>
      </c>
      <c r="BQ61">
        <v>9700</v>
      </c>
      <c r="BR61" s="15">
        <v>12.9</v>
      </c>
      <c r="BS61" s="15">
        <f t="shared" si="16"/>
        <v>11243.821933271422</v>
      </c>
      <c r="BT61" s="15">
        <f t="shared" si="17"/>
        <v>209.01976670825076</v>
      </c>
      <c r="BU61" s="16">
        <v>68.510638297872333</v>
      </c>
      <c r="BV61" s="17">
        <v>0.46900000000000003</v>
      </c>
      <c r="BW61" s="17">
        <v>4.63</v>
      </c>
      <c r="BX61" s="90">
        <f t="shared" si="18"/>
        <v>25.671843930635838</v>
      </c>
    </row>
    <row r="62" spans="2:76" x14ac:dyDescent="0.3">
      <c r="B62" s="58">
        <v>2023</v>
      </c>
      <c r="C62" t="s">
        <v>46</v>
      </c>
      <c r="D62">
        <v>304</v>
      </c>
      <c r="E62">
        <v>3</v>
      </c>
      <c r="F62">
        <v>14</v>
      </c>
      <c r="G62" t="s">
        <v>151</v>
      </c>
      <c r="H62">
        <v>5</v>
      </c>
      <c r="I62" s="18" t="s">
        <v>54</v>
      </c>
      <c r="J62">
        <v>42</v>
      </c>
      <c r="K62">
        <v>39</v>
      </c>
      <c r="L62" s="16">
        <f t="shared" si="1"/>
        <v>167.84086199751349</v>
      </c>
      <c r="M62">
        <v>52</v>
      </c>
      <c r="N62">
        <v>61</v>
      </c>
      <c r="O62">
        <v>49</v>
      </c>
      <c r="P62">
        <v>54</v>
      </c>
      <c r="Q62" s="62">
        <f t="shared" si="2"/>
        <v>54</v>
      </c>
      <c r="R62">
        <v>69</v>
      </c>
      <c r="S62">
        <v>66</v>
      </c>
      <c r="T62">
        <v>70</v>
      </c>
      <c r="U62">
        <v>69</v>
      </c>
      <c r="V62" s="62">
        <f t="shared" si="3"/>
        <v>68.5</v>
      </c>
      <c r="W62">
        <v>82</v>
      </c>
      <c r="X62">
        <v>85</v>
      </c>
      <c r="Y62">
        <v>75</v>
      </c>
      <c r="Z62">
        <v>86</v>
      </c>
      <c r="AA62" s="62">
        <f t="shared" si="4"/>
        <v>82</v>
      </c>
      <c r="AB62">
        <v>80</v>
      </c>
      <c r="AC62">
        <v>85</v>
      </c>
      <c r="AD62">
        <v>94</v>
      </c>
      <c r="AE62">
        <v>97</v>
      </c>
      <c r="AF62" s="62">
        <f t="shared" si="5"/>
        <v>89</v>
      </c>
      <c r="AG62">
        <v>98</v>
      </c>
      <c r="AH62">
        <v>103</v>
      </c>
      <c r="AI62">
        <v>105</v>
      </c>
      <c r="AJ62">
        <v>99</v>
      </c>
      <c r="AK62" s="62">
        <f t="shared" si="6"/>
        <v>101.25</v>
      </c>
      <c r="AP62" s="62" t="e">
        <f t="shared" si="7"/>
        <v>#DIV/0!</v>
      </c>
      <c r="AQ62" s="88">
        <v>45097</v>
      </c>
      <c r="AR62">
        <v>74</v>
      </c>
      <c r="AS62">
        <v>76</v>
      </c>
      <c r="AT62">
        <v>68</v>
      </c>
      <c r="AU62">
        <v>72</v>
      </c>
      <c r="AV62" s="62">
        <f t="shared" si="19"/>
        <v>72.5</v>
      </c>
      <c r="AW62">
        <v>0</v>
      </c>
      <c r="AX62">
        <v>0</v>
      </c>
      <c r="AY62">
        <v>0</v>
      </c>
      <c r="AZ62" s="15">
        <f t="shared" si="8"/>
        <v>0</v>
      </c>
      <c r="BD62" s="15">
        <f t="shared" si="9"/>
        <v>0</v>
      </c>
      <c r="BH62" s="15">
        <f t="shared" si="10"/>
        <v>0</v>
      </c>
      <c r="BI62">
        <v>14.7</v>
      </c>
      <c r="BJ62">
        <v>13.26</v>
      </c>
      <c r="BK62" s="12">
        <f t="shared" si="11"/>
        <v>9.7959183673469354</v>
      </c>
      <c r="BL62" s="12">
        <f t="shared" si="12"/>
        <v>-10.081632653061225</v>
      </c>
      <c r="BM62" s="13">
        <f t="shared" si="13"/>
        <v>45123.918367346938</v>
      </c>
      <c r="BN62" s="90">
        <f t="shared" si="14"/>
        <v>75.918367346937885</v>
      </c>
      <c r="BO62">
        <v>6</v>
      </c>
      <c r="BP62" s="17">
        <f t="shared" si="15"/>
        <v>8.6867999999999999</v>
      </c>
      <c r="BQ62">
        <v>10100</v>
      </c>
      <c r="BR62" s="15">
        <v>12.8</v>
      </c>
      <c r="BS62" s="15">
        <f t="shared" si="16"/>
        <v>11720.926122445831</v>
      </c>
      <c r="BT62" s="15">
        <f t="shared" si="17"/>
        <v>217.88901125059559</v>
      </c>
      <c r="BU62" s="16">
        <v>69.531914893617028</v>
      </c>
      <c r="BV62" s="17">
        <v>4.42</v>
      </c>
      <c r="BW62" s="17">
        <v>4.84</v>
      </c>
      <c r="BX62" s="90">
        <f t="shared" si="18"/>
        <v>46.674682080924853</v>
      </c>
    </row>
    <row r="63" spans="2:76" x14ac:dyDescent="0.3">
      <c r="B63" s="58">
        <v>2023</v>
      </c>
      <c r="C63" t="s">
        <v>46</v>
      </c>
      <c r="D63">
        <v>305</v>
      </c>
      <c r="E63">
        <v>3</v>
      </c>
      <c r="F63">
        <v>10</v>
      </c>
      <c r="G63" t="s">
        <v>151</v>
      </c>
      <c r="H63">
        <v>1</v>
      </c>
      <c r="I63" s="18" t="s">
        <v>0</v>
      </c>
      <c r="J63">
        <v>30</v>
      </c>
      <c r="K63">
        <v>42</v>
      </c>
      <c r="L63" s="16">
        <f t="shared" si="1"/>
        <v>149.1918773311231</v>
      </c>
      <c r="M63">
        <v>54</v>
      </c>
      <c r="N63">
        <v>49</v>
      </c>
      <c r="O63">
        <v>67</v>
      </c>
      <c r="P63">
        <v>51</v>
      </c>
      <c r="Q63" s="62">
        <f t="shared" si="2"/>
        <v>55.25</v>
      </c>
      <c r="R63">
        <v>71</v>
      </c>
      <c r="S63">
        <v>69</v>
      </c>
      <c r="T63">
        <v>77</v>
      </c>
      <c r="U63">
        <v>77</v>
      </c>
      <c r="V63" s="62">
        <f t="shared" si="3"/>
        <v>73.5</v>
      </c>
      <c r="W63">
        <v>85</v>
      </c>
      <c r="X63">
        <v>90</v>
      </c>
      <c r="Y63">
        <v>100</v>
      </c>
      <c r="Z63">
        <v>79</v>
      </c>
      <c r="AA63" s="62">
        <f t="shared" si="4"/>
        <v>88.5</v>
      </c>
      <c r="AB63">
        <v>102</v>
      </c>
      <c r="AC63">
        <v>101</v>
      </c>
      <c r="AD63">
        <v>105</v>
      </c>
      <c r="AE63">
        <v>105</v>
      </c>
      <c r="AF63" s="62">
        <f t="shared" si="5"/>
        <v>103.25</v>
      </c>
      <c r="AG63">
        <v>90</v>
      </c>
      <c r="AH63">
        <v>91</v>
      </c>
      <c r="AI63">
        <v>93</v>
      </c>
      <c r="AJ63">
        <v>94</v>
      </c>
      <c r="AK63" s="62">
        <f t="shared" si="6"/>
        <v>92</v>
      </c>
      <c r="AP63" s="62" t="e">
        <f t="shared" si="7"/>
        <v>#DIV/0!</v>
      </c>
      <c r="AQ63" s="88">
        <v>45097</v>
      </c>
      <c r="AR63">
        <v>80</v>
      </c>
      <c r="AS63">
        <v>84</v>
      </c>
      <c r="AT63">
        <v>84</v>
      </c>
      <c r="AU63">
        <v>85</v>
      </c>
      <c r="AV63" s="62">
        <f t="shared" si="19"/>
        <v>83.25</v>
      </c>
      <c r="AW63">
        <v>40</v>
      </c>
      <c r="AX63">
        <v>0</v>
      </c>
      <c r="AY63">
        <v>0</v>
      </c>
      <c r="AZ63" s="15">
        <f t="shared" si="8"/>
        <v>26.666666666666668</v>
      </c>
      <c r="BA63">
        <v>30</v>
      </c>
      <c r="BD63" s="15">
        <f t="shared" si="9"/>
        <v>20</v>
      </c>
      <c r="BE63">
        <v>20</v>
      </c>
      <c r="BH63" s="15">
        <f t="shared" si="10"/>
        <v>13.333333333333334</v>
      </c>
      <c r="BI63">
        <v>20.100000000000001</v>
      </c>
      <c r="BJ63">
        <v>16.11</v>
      </c>
      <c r="BK63" s="12">
        <f t="shared" si="11"/>
        <v>19.850746268656724</v>
      </c>
      <c r="BL63" s="12">
        <f t="shared" si="12"/>
        <v>-6.0597014925373101</v>
      </c>
      <c r="BM63" s="13">
        <f t="shared" si="13"/>
        <v>45127.940298507463</v>
      </c>
      <c r="BN63" s="90">
        <f t="shared" si="14"/>
        <v>79.940298507463012</v>
      </c>
      <c r="BO63">
        <v>6</v>
      </c>
      <c r="BP63" s="17">
        <f t="shared" si="15"/>
        <v>8.6867999999999999</v>
      </c>
      <c r="BQ63">
        <v>9460</v>
      </c>
      <c r="BR63" s="15">
        <v>12.7</v>
      </c>
      <c r="BS63" s="15">
        <f t="shared" si="16"/>
        <v>10990.803667034776</v>
      </c>
      <c r="BT63" s="15">
        <f t="shared" si="17"/>
        <v>204.31622201539005</v>
      </c>
      <c r="BU63" s="16">
        <v>69.659574468085097</v>
      </c>
      <c r="BV63" s="17">
        <v>4.79</v>
      </c>
      <c r="BW63" s="17">
        <v>4.9799999999999995</v>
      </c>
      <c r="BX63" s="90">
        <f t="shared" si="18"/>
        <v>49.301791907514442</v>
      </c>
    </row>
    <row r="64" spans="2:76" x14ac:dyDescent="0.3">
      <c r="B64" s="58">
        <v>2023</v>
      </c>
      <c r="C64" t="s">
        <v>46</v>
      </c>
      <c r="D64">
        <v>306</v>
      </c>
      <c r="E64">
        <v>3</v>
      </c>
      <c r="F64">
        <v>13</v>
      </c>
      <c r="G64" t="s">
        <v>151</v>
      </c>
      <c r="H64">
        <v>4</v>
      </c>
      <c r="I64" s="18" t="s">
        <v>52</v>
      </c>
      <c r="J64">
        <v>42</v>
      </c>
      <c r="K64">
        <v>33</v>
      </c>
      <c r="L64" s="16">
        <f t="shared" si="1"/>
        <v>155.40820555325323</v>
      </c>
      <c r="M64">
        <v>51</v>
      </c>
      <c r="N64">
        <v>59</v>
      </c>
      <c r="O64">
        <v>69</v>
      </c>
      <c r="P64">
        <v>66</v>
      </c>
      <c r="Q64" s="62">
        <f t="shared" si="2"/>
        <v>61.25</v>
      </c>
      <c r="R64">
        <v>76</v>
      </c>
      <c r="S64">
        <v>83</v>
      </c>
      <c r="T64">
        <v>79</v>
      </c>
      <c r="U64">
        <v>77</v>
      </c>
      <c r="V64" s="62">
        <f t="shared" si="3"/>
        <v>78.75</v>
      </c>
      <c r="W64">
        <v>87</v>
      </c>
      <c r="X64">
        <v>88</v>
      </c>
      <c r="Y64">
        <v>91</v>
      </c>
      <c r="Z64">
        <v>92</v>
      </c>
      <c r="AA64" s="62">
        <f t="shared" si="4"/>
        <v>89.5</v>
      </c>
      <c r="AB64">
        <v>87</v>
      </c>
      <c r="AC64">
        <v>89</v>
      </c>
      <c r="AD64">
        <v>91</v>
      </c>
      <c r="AE64">
        <v>94</v>
      </c>
      <c r="AF64" s="62">
        <f t="shared" si="5"/>
        <v>90.25</v>
      </c>
      <c r="AG64">
        <v>94</v>
      </c>
      <c r="AH64">
        <v>98</v>
      </c>
      <c r="AI64">
        <v>95</v>
      </c>
      <c r="AJ64">
        <v>92</v>
      </c>
      <c r="AK64" s="62">
        <f t="shared" si="6"/>
        <v>94.75</v>
      </c>
      <c r="AP64" s="62" t="e">
        <f t="shared" si="7"/>
        <v>#DIV/0!</v>
      </c>
      <c r="AQ64" s="88">
        <v>45097</v>
      </c>
      <c r="AR64">
        <v>77</v>
      </c>
      <c r="AS64">
        <v>79</v>
      </c>
      <c r="AT64">
        <v>75</v>
      </c>
      <c r="AU64">
        <v>80</v>
      </c>
      <c r="AV64" s="62">
        <f t="shared" si="19"/>
        <v>77.75</v>
      </c>
      <c r="AW64">
        <v>20</v>
      </c>
      <c r="AX64">
        <v>0</v>
      </c>
      <c r="AY64">
        <v>0</v>
      </c>
      <c r="AZ64" s="15">
        <f t="shared" si="8"/>
        <v>13.333333333333334</v>
      </c>
      <c r="BA64">
        <v>30</v>
      </c>
      <c r="BD64" s="15">
        <f t="shared" si="9"/>
        <v>20</v>
      </c>
      <c r="BE64">
        <v>20</v>
      </c>
      <c r="BH64" s="15">
        <f t="shared" si="10"/>
        <v>13.333333333333334</v>
      </c>
      <c r="BI64">
        <v>16.47</v>
      </c>
      <c r="BJ64">
        <v>12.48</v>
      </c>
      <c r="BK64" s="12">
        <f t="shared" si="11"/>
        <v>24.22586520947176</v>
      </c>
      <c r="BL64" s="12">
        <f t="shared" si="12"/>
        <v>-4.3096539162112961</v>
      </c>
      <c r="BM64" s="13">
        <f t="shared" si="13"/>
        <v>45129.690346083786</v>
      </c>
      <c r="BN64" s="90">
        <f t="shared" si="14"/>
        <v>81.690346083785698</v>
      </c>
      <c r="BO64">
        <v>6</v>
      </c>
      <c r="BP64" s="17">
        <f t="shared" si="15"/>
        <v>8.6867999999999999</v>
      </c>
      <c r="BQ64">
        <v>10400</v>
      </c>
      <c r="BR64" s="15">
        <v>12.7</v>
      </c>
      <c r="BS64" s="15">
        <f t="shared" si="16"/>
        <v>12082.91312232153</v>
      </c>
      <c r="BT64" s="15">
        <f t="shared" si="17"/>
        <v>224.61825676110536</v>
      </c>
      <c r="BU64" s="16">
        <v>69.872340425531902</v>
      </c>
      <c r="BV64" s="17">
        <v>4.87</v>
      </c>
      <c r="BW64" s="17">
        <v>4.7299999999999995</v>
      </c>
      <c r="BX64" s="90">
        <f t="shared" si="18"/>
        <v>48.44393063583815</v>
      </c>
    </row>
    <row r="65" spans="2:76" x14ac:dyDescent="0.3">
      <c r="B65" s="58">
        <v>2023</v>
      </c>
      <c r="C65" t="s">
        <v>46</v>
      </c>
      <c r="D65">
        <v>307</v>
      </c>
      <c r="E65">
        <v>3</v>
      </c>
      <c r="F65">
        <v>16</v>
      </c>
      <c r="G65" t="s">
        <v>151</v>
      </c>
      <c r="H65">
        <v>7</v>
      </c>
      <c r="I65" s="18" t="s">
        <v>56</v>
      </c>
      <c r="J65">
        <v>36</v>
      </c>
      <c r="K65">
        <v>29</v>
      </c>
      <c r="L65" s="16">
        <f t="shared" si="1"/>
        <v>134.68711147948613</v>
      </c>
      <c r="M65">
        <v>63</v>
      </c>
      <c r="N65">
        <v>65</v>
      </c>
      <c r="O65">
        <v>64</v>
      </c>
      <c r="P65">
        <v>64</v>
      </c>
      <c r="Q65" s="62">
        <f t="shared" si="2"/>
        <v>64</v>
      </c>
      <c r="R65">
        <v>82</v>
      </c>
      <c r="S65">
        <v>76</v>
      </c>
      <c r="T65">
        <v>82</v>
      </c>
      <c r="U65">
        <v>74</v>
      </c>
      <c r="V65" s="62">
        <f t="shared" si="3"/>
        <v>78.5</v>
      </c>
      <c r="W65">
        <v>86</v>
      </c>
      <c r="X65">
        <v>96</v>
      </c>
      <c r="Y65">
        <v>89</v>
      </c>
      <c r="Z65">
        <v>83</v>
      </c>
      <c r="AA65" s="62">
        <f t="shared" si="4"/>
        <v>88.5</v>
      </c>
      <c r="AB65">
        <v>95</v>
      </c>
      <c r="AC65">
        <v>98</v>
      </c>
      <c r="AD65">
        <v>101</v>
      </c>
      <c r="AE65">
        <v>98</v>
      </c>
      <c r="AF65" s="62">
        <f t="shared" si="5"/>
        <v>98</v>
      </c>
      <c r="AG65">
        <v>100</v>
      </c>
      <c r="AH65">
        <v>101</v>
      </c>
      <c r="AI65">
        <v>95</v>
      </c>
      <c r="AJ65">
        <v>92</v>
      </c>
      <c r="AK65" s="62">
        <f t="shared" si="6"/>
        <v>97</v>
      </c>
      <c r="AP65" s="62" t="e">
        <f t="shared" si="7"/>
        <v>#DIV/0!</v>
      </c>
      <c r="AQ65" s="88">
        <v>45097</v>
      </c>
      <c r="AR65">
        <v>79</v>
      </c>
      <c r="AS65">
        <v>81</v>
      </c>
      <c r="AT65">
        <v>76</v>
      </c>
      <c r="AU65">
        <v>80</v>
      </c>
      <c r="AV65" s="62">
        <f t="shared" si="19"/>
        <v>79</v>
      </c>
      <c r="AW65">
        <v>10</v>
      </c>
      <c r="AX65">
        <v>0</v>
      </c>
      <c r="AY65">
        <v>0</v>
      </c>
      <c r="AZ65" s="15">
        <f t="shared" si="8"/>
        <v>6.666666666666667</v>
      </c>
      <c r="BA65">
        <v>30</v>
      </c>
      <c r="BD65" s="15">
        <f t="shared" si="9"/>
        <v>20</v>
      </c>
      <c r="BE65">
        <v>25</v>
      </c>
      <c r="BH65" s="15">
        <f t="shared" si="10"/>
        <v>16.666666666666668</v>
      </c>
      <c r="BI65">
        <v>16.48</v>
      </c>
      <c r="BJ65">
        <v>14.99</v>
      </c>
      <c r="BK65" s="12">
        <f t="shared" si="11"/>
        <v>9.0412621359223309</v>
      </c>
      <c r="BL65" s="12">
        <f t="shared" si="12"/>
        <v>-10.383495145631068</v>
      </c>
      <c r="BM65" s="13">
        <f t="shared" si="13"/>
        <v>45123.61650485437</v>
      </c>
      <c r="BN65" s="90">
        <f t="shared" si="14"/>
        <v>75.61650485436985</v>
      </c>
      <c r="BO65">
        <v>6</v>
      </c>
      <c r="BP65" s="17">
        <f t="shared" si="15"/>
        <v>8.6867999999999999</v>
      </c>
      <c r="BQ65">
        <v>10180</v>
      </c>
      <c r="BR65" s="15">
        <v>12.7</v>
      </c>
      <c r="BS65" s="15">
        <f t="shared" si="16"/>
        <v>11827.313037041651</v>
      </c>
      <c r="BT65" s="15">
        <f t="shared" si="17"/>
        <v>219.86671671423582</v>
      </c>
      <c r="BU65" s="16">
        <v>69.659574468085097</v>
      </c>
      <c r="BV65" s="17">
        <v>4.9799999999999995</v>
      </c>
      <c r="BW65" s="17">
        <v>4.63</v>
      </c>
      <c r="BX65" s="90">
        <f t="shared" si="18"/>
        <v>48.494393063583814</v>
      </c>
    </row>
    <row r="66" spans="2:76" x14ac:dyDescent="0.3">
      <c r="B66" s="58">
        <v>2023</v>
      </c>
      <c r="C66" t="s">
        <v>46</v>
      </c>
      <c r="D66">
        <v>308</v>
      </c>
      <c r="E66">
        <v>3</v>
      </c>
      <c r="F66">
        <v>17</v>
      </c>
      <c r="G66" t="s">
        <v>151</v>
      </c>
      <c r="H66">
        <v>8</v>
      </c>
      <c r="I66" s="18" t="s">
        <v>57</v>
      </c>
      <c r="J66">
        <v>33</v>
      </c>
      <c r="K66">
        <v>38</v>
      </c>
      <c r="L66" s="16">
        <f t="shared" si="1"/>
        <v>147.11976792374639</v>
      </c>
      <c r="M66">
        <v>51</v>
      </c>
      <c r="N66">
        <v>50</v>
      </c>
      <c r="O66">
        <v>47</v>
      </c>
      <c r="P66">
        <v>61</v>
      </c>
      <c r="Q66" s="62">
        <f t="shared" si="2"/>
        <v>52.25</v>
      </c>
      <c r="R66">
        <v>76</v>
      </c>
      <c r="S66">
        <v>66</v>
      </c>
      <c r="T66">
        <v>75</v>
      </c>
      <c r="U66">
        <v>72</v>
      </c>
      <c r="V66" s="62">
        <f t="shared" si="3"/>
        <v>72.25</v>
      </c>
      <c r="W66">
        <v>86</v>
      </c>
      <c r="X66">
        <v>86</v>
      </c>
      <c r="Y66">
        <v>86</v>
      </c>
      <c r="Z66">
        <v>86</v>
      </c>
      <c r="AA66" s="62">
        <f t="shared" si="4"/>
        <v>86</v>
      </c>
      <c r="AB66">
        <v>88</v>
      </c>
      <c r="AC66">
        <v>96</v>
      </c>
      <c r="AD66">
        <v>93</v>
      </c>
      <c r="AE66">
        <v>88</v>
      </c>
      <c r="AF66" s="62">
        <f t="shared" si="5"/>
        <v>91.25</v>
      </c>
      <c r="AG66">
        <v>96</v>
      </c>
      <c r="AH66">
        <v>100</v>
      </c>
      <c r="AI66">
        <v>100</v>
      </c>
      <c r="AJ66">
        <v>102</v>
      </c>
      <c r="AK66" s="62">
        <f t="shared" si="6"/>
        <v>99.5</v>
      </c>
      <c r="AP66" s="62" t="e">
        <f t="shared" si="7"/>
        <v>#DIV/0!</v>
      </c>
      <c r="AQ66" s="88">
        <v>45097</v>
      </c>
      <c r="AR66">
        <v>84</v>
      </c>
      <c r="AS66">
        <v>85</v>
      </c>
      <c r="AT66">
        <v>75</v>
      </c>
      <c r="AU66">
        <v>77</v>
      </c>
      <c r="AV66" s="62">
        <f t="shared" si="19"/>
        <v>80.25</v>
      </c>
      <c r="AW66">
        <v>5</v>
      </c>
      <c r="AX66">
        <v>0</v>
      </c>
      <c r="AY66">
        <v>0</v>
      </c>
      <c r="AZ66" s="15">
        <f t="shared" si="8"/>
        <v>3.3333333333333335</v>
      </c>
      <c r="BD66" s="15">
        <f t="shared" si="9"/>
        <v>0</v>
      </c>
      <c r="BH66" s="15">
        <f t="shared" si="10"/>
        <v>0</v>
      </c>
      <c r="BI66">
        <v>17.73</v>
      </c>
      <c r="BJ66">
        <v>13.57</v>
      </c>
      <c r="BK66" s="12">
        <f t="shared" si="11"/>
        <v>23.463056965595037</v>
      </c>
      <c r="BL66" s="12">
        <f t="shared" si="12"/>
        <v>-4.6147772137619851</v>
      </c>
      <c r="BM66" s="13">
        <f t="shared" si="13"/>
        <v>45129.385222786237</v>
      </c>
      <c r="BN66" s="90">
        <f t="shared" si="14"/>
        <v>81.385222786237136</v>
      </c>
      <c r="BO66">
        <v>6</v>
      </c>
      <c r="BP66" s="17">
        <f t="shared" si="15"/>
        <v>8.6867999999999999</v>
      </c>
      <c r="BQ66">
        <v>10090</v>
      </c>
      <c r="BR66" s="15">
        <v>12.4</v>
      </c>
      <c r="BS66" s="15">
        <f t="shared" si="16"/>
        <v>11763.033727872549</v>
      </c>
      <c r="BT66" s="15">
        <f t="shared" si="17"/>
        <v>218.67178083865639</v>
      </c>
      <c r="BU66" s="16">
        <v>70.212765957446805</v>
      </c>
      <c r="BV66" s="17">
        <v>5.18</v>
      </c>
      <c r="BW66" s="17">
        <v>4.5</v>
      </c>
      <c r="BX66" s="90">
        <f t="shared" si="18"/>
        <v>49.015491329479765</v>
      </c>
    </row>
    <row r="67" spans="2:76" x14ac:dyDescent="0.3">
      <c r="B67" s="58">
        <v>2023</v>
      </c>
      <c r="C67" t="s">
        <v>46</v>
      </c>
      <c r="D67">
        <v>309</v>
      </c>
      <c r="E67">
        <v>3</v>
      </c>
      <c r="F67">
        <v>12</v>
      </c>
      <c r="G67" t="s">
        <v>151</v>
      </c>
      <c r="H67">
        <v>3</v>
      </c>
      <c r="I67" s="18" t="s">
        <v>51</v>
      </c>
      <c r="J67">
        <v>41</v>
      </c>
      <c r="K67">
        <v>41</v>
      </c>
      <c r="L67" s="16">
        <f t="shared" si="1"/>
        <v>169.91297140489019</v>
      </c>
      <c r="M67">
        <v>61</v>
      </c>
      <c r="N67">
        <v>54</v>
      </c>
      <c r="O67">
        <v>67</v>
      </c>
      <c r="P67">
        <v>53</v>
      </c>
      <c r="Q67" s="62">
        <f t="shared" si="2"/>
        <v>58.75</v>
      </c>
      <c r="R67">
        <v>71</v>
      </c>
      <c r="S67">
        <v>75</v>
      </c>
      <c r="T67">
        <v>81</v>
      </c>
      <c r="U67">
        <v>68</v>
      </c>
      <c r="V67" s="62">
        <f t="shared" si="3"/>
        <v>73.75</v>
      </c>
      <c r="W67">
        <v>95</v>
      </c>
      <c r="X67">
        <v>97</v>
      </c>
      <c r="Y67">
        <v>91</v>
      </c>
      <c r="Z67">
        <v>95</v>
      </c>
      <c r="AA67" s="62">
        <f t="shared" si="4"/>
        <v>94.5</v>
      </c>
      <c r="AB67">
        <v>97</v>
      </c>
      <c r="AC67">
        <v>97</v>
      </c>
      <c r="AD67">
        <v>98</v>
      </c>
      <c r="AE67">
        <v>99</v>
      </c>
      <c r="AF67" s="62">
        <f t="shared" si="5"/>
        <v>97.75</v>
      </c>
      <c r="AG67">
        <v>98</v>
      </c>
      <c r="AH67">
        <v>100</v>
      </c>
      <c r="AI67">
        <v>103</v>
      </c>
      <c r="AJ67">
        <v>96</v>
      </c>
      <c r="AK67" s="62">
        <f t="shared" si="6"/>
        <v>99.25</v>
      </c>
      <c r="AP67" s="62" t="e">
        <f t="shared" si="7"/>
        <v>#DIV/0!</v>
      </c>
      <c r="AQ67" s="88">
        <v>45097</v>
      </c>
      <c r="AR67">
        <v>82</v>
      </c>
      <c r="AS67">
        <v>86</v>
      </c>
      <c r="AT67">
        <v>84</v>
      </c>
      <c r="AU67">
        <v>84</v>
      </c>
      <c r="AV67" s="62">
        <f t="shared" si="19"/>
        <v>84</v>
      </c>
      <c r="AW67">
        <v>25</v>
      </c>
      <c r="AX67">
        <v>0</v>
      </c>
      <c r="AY67">
        <v>0</v>
      </c>
      <c r="AZ67" s="15">
        <f t="shared" si="8"/>
        <v>16.666666666666668</v>
      </c>
      <c r="BA67">
        <v>25</v>
      </c>
      <c r="BD67" s="15">
        <f t="shared" si="9"/>
        <v>16.666666666666668</v>
      </c>
      <c r="BE67">
        <v>20</v>
      </c>
      <c r="BH67" s="15">
        <f t="shared" si="10"/>
        <v>13.333333333333334</v>
      </c>
      <c r="BI67">
        <v>14.53</v>
      </c>
      <c r="BJ67">
        <v>14.11</v>
      </c>
      <c r="BK67" s="12">
        <f t="shared" si="11"/>
        <v>2.8905712319339294</v>
      </c>
      <c r="BL67" s="12">
        <f t="shared" si="12"/>
        <v>-12.843771507226426</v>
      </c>
      <c r="BM67" s="13">
        <f t="shared" si="13"/>
        <v>45121.156228492771</v>
      </c>
      <c r="BN67" s="90">
        <f t="shared" si="14"/>
        <v>73.156228492771334</v>
      </c>
      <c r="BO67">
        <v>6</v>
      </c>
      <c r="BP67" s="17">
        <f t="shared" si="15"/>
        <v>8.6867999999999999</v>
      </c>
      <c r="BQ67">
        <v>9860</v>
      </c>
      <c r="BR67" s="15">
        <v>12.6</v>
      </c>
      <c r="BS67" s="15">
        <f t="shared" si="16"/>
        <v>11468.653123561866</v>
      </c>
      <c r="BT67" s="15">
        <f t="shared" si="17"/>
        <v>213.19932088672698</v>
      </c>
      <c r="BU67" s="16">
        <v>69.744680851063833</v>
      </c>
      <c r="BV67" s="17">
        <v>4.49</v>
      </c>
      <c r="BW67" s="17">
        <v>4.6899999999999995</v>
      </c>
      <c r="BX67" s="90">
        <f t="shared" si="18"/>
        <v>46.377572254335263</v>
      </c>
    </row>
    <row r="68" spans="2:76" x14ac:dyDescent="0.3">
      <c r="B68" s="58">
        <v>2023</v>
      </c>
      <c r="C68" t="s">
        <v>46</v>
      </c>
      <c r="D68">
        <v>310</v>
      </c>
      <c r="E68">
        <v>3</v>
      </c>
      <c r="F68">
        <v>26</v>
      </c>
      <c r="G68" t="s">
        <v>50</v>
      </c>
      <c r="H68">
        <v>8</v>
      </c>
      <c r="I68" s="18" t="s">
        <v>57</v>
      </c>
      <c r="J68">
        <v>43</v>
      </c>
      <c r="K68">
        <v>38</v>
      </c>
      <c r="L68" s="16">
        <f t="shared" si="1"/>
        <v>167.84086199751349</v>
      </c>
      <c r="M68">
        <v>43</v>
      </c>
      <c r="N68">
        <v>54</v>
      </c>
      <c r="O68">
        <v>50</v>
      </c>
      <c r="P68">
        <v>49</v>
      </c>
      <c r="Q68" s="62">
        <f t="shared" si="2"/>
        <v>49</v>
      </c>
      <c r="R68">
        <v>72</v>
      </c>
      <c r="S68">
        <v>77</v>
      </c>
      <c r="T68">
        <v>72</v>
      </c>
      <c r="U68">
        <v>71</v>
      </c>
      <c r="V68" s="62">
        <f t="shared" si="3"/>
        <v>73</v>
      </c>
      <c r="W68">
        <v>77</v>
      </c>
      <c r="X68">
        <v>74</v>
      </c>
      <c r="Y68">
        <v>81</v>
      </c>
      <c r="Z68">
        <v>78</v>
      </c>
      <c r="AA68" s="62">
        <f t="shared" si="4"/>
        <v>77.5</v>
      </c>
      <c r="AB68">
        <v>81</v>
      </c>
      <c r="AC68">
        <v>85</v>
      </c>
      <c r="AD68">
        <v>87</v>
      </c>
      <c r="AE68">
        <v>82</v>
      </c>
      <c r="AF68" s="62">
        <f t="shared" si="5"/>
        <v>83.75</v>
      </c>
      <c r="AG68">
        <v>79</v>
      </c>
      <c r="AH68">
        <v>89</v>
      </c>
      <c r="AI68">
        <v>79</v>
      </c>
      <c r="AJ68">
        <v>89</v>
      </c>
      <c r="AK68" s="62">
        <f t="shared" si="6"/>
        <v>84</v>
      </c>
      <c r="AP68" s="62" t="e">
        <f t="shared" si="7"/>
        <v>#DIV/0!</v>
      </c>
      <c r="AQ68" s="88">
        <v>45097</v>
      </c>
      <c r="AR68">
        <v>64</v>
      </c>
      <c r="AS68">
        <v>66</v>
      </c>
      <c r="AT68">
        <v>63</v>
      </c>
      <c r="AU68">
        <v>66</v>
      </c>
      <c r="AV68" s="62">
        <f t="shared" si="19"/>
        <v>64.75</v>
      </c>
      <c r="AW68">
        <v>0</v>
      </c>
      <c r="AX68">
        <v>0</v>
      </c>
      <c r="AY68">
        <v>0</v>
      </c>
      <c r="AZ68" s="15">
        <f t="shared" si="8"/>
        <v>0</v>
      </c>
      <c r="BA68">
        <v>20</v>
      </c>
      <c r="BD68" s="15">
        <f t="shared" si="9"/>
        <v>13.333333333333334</v>
      </c>
      <c r="BE68">
        <v>10</v>
      </c>
      <c r="BH68" s="15">
        <f t="shared" si="10"/>
        <v>6.666666666666667</v>
      </c>
      <c r="BI68">
        <v>14.53</v>
      </c>
      <c r="BJ68">
        <v>12.82</v>
      </c>
      <c r="BK68" s="12">
        <f t="shared" si="11"/>
        <v>11.768754301445279</v>
      </c>
      <c r="BL68" s="12">
        <f t="shared" si="12"/>
        <v>-9.2924982794218884</v>
      </c>
      <c r="BM68" s="13">
        <f t="shared" si="13"/>
        <v>45124.707501720579</v>
      </c>
      <c r="BN68" s="90">
        <f t="shared" si="14"/>
        <v>76.707501720578875</v>
      </c>
      <c r="BO68">
        <v>6</v>
      </c>
      <c r="BP68" s="17">
        <f t="shared" si="15"/>
        <v>8.6867999999999999</v>
      </c>
      <c r="BQ68">
        <v>11090</v>
      </c>
      <c r="BR68" s="15">
        <v>10.8</v>
      </c>
      <c r="BS68" s="15">
        <f t="shared" si="16"/>
        <v>13164.988085038198</v>
      </c>
      <c r="BT68" s="15">
        <f t="shared" si="17"/>
        <v>244.73375286288956</v>
      </c>
      <c r="BU68" s="16">
        <v>69.361702127659569</v>
      </c>
      <c r="BV68" s="17">
        <v>5.49</v>
      </c>
      <c r="BW68" s="17">
        <v>5.38</v>
      </c>
      <c r="BX68" s="90">
        <f t="shared" si="18"/>
        <v>56.04647398843931</v>
      </c>
    </row>
    <row r="69" spans="2:76" x14ac:dyDescent="0.3">
      <c r="B69" s="58">
        <v>2023</v>
      </c>
      <c r="C69" t="s">
        <v>46</v>
      </c>
      <c r="D69">
        <v>311</v>
      </c>
      <c r="E69">
        <v>3</v>
      </c>
      <c r="F69">
        <v>19</v>
      </c>
      <c r="G69" t="s">
        <v>50</v>
      </c>
      <c r="H69">
        <v>1</v>
      </c>
      <c r="I69" s="18" t="s">
        <v>0</v>
      </c>
      <c r="J69">
        <v>32</v>
      </c>
      <c r="K69">
        <v>34</v>
      </c>
      <c r="L69" s="16">
        <f t="shared" si="1"/>
        <v>136.75922088686283</v>
      </c>
      <c r="M69">
        <v>57</v>
      </c>
      <c r="N69">
        <v>57</v>
      </c>
      <c r="O69">
        <v>50</v>
      </c>
      <c r="P69">
        <v>51</v>
      </c>
      <c r="Q69" s="62">
        <f t="shared" si="2"/>
        <v>53.75</v>
      </c>
      <c r="R69">
        <v>74</v>
      </c>
      <c r="S69">
        <v>73</v>
      </c>
      <c r="T69">
        <v>75</v>
      </c>
      <c r="U69">
        <v>70</v>
      </c>
      <c r="V69" s="62">
        <f t="shared" si="3"/>
        <v>73</v>
      </c>
      <c r="W69">
        <v>85</v>
      </c>
      <c r="X69">
        <v>81</v>
      </c>
      <c r="Y69">
        <v>77</v>
      </c>
      <c r="Z69">
        <v>78</v>
      </c>
      <c r="AA69" s="62">
        <f t="shared" si="4"/>
        <v>80.25</v>
      </c>
      <c r="AB69">
        <v>82</v>
      </c>
      <c r="AC69">
        <v>85</v>
      </c>
      <c r="AD69">
        <v>85</v>
      </c>
      <c r="AE69">
        <v>84</v>
      </c>
      <c r="AF69" s="62">
        <f t="shared" si="5"/>
        <v>84</v>
      </c>
      <c r="AG69">
        <v>87</v>
      </c>
      <c r="AH69">
        <v>89</v>
      </c>
      <c r="AI69">
        <v>82</v>
      </c>
      <c r="AJ69">
        <v>85</v>
      </c>
      <c r="AK69" s="62">
        <f t="shared" si="6"/>
        <v>85.75</v>
      </c>
      <c r="AP69" s="62" t="e">
        <f t="shared" si="7"/>
        <v>#DIV/0!</v>
      </c>
      <c r="AQ69" s="88">
        <v>45097</v>
      </c>
      <c r="AR69">
        <v>61</v>
      </c>
      <c r="AS69">
        <v>67</v>
      </c>
      <c r="AT69">
        <v>69</v>
      </c>
      <c r="AU69">
        <v>64</v>
      </c>
      <c r="AV69" s="62">
        <f t="shared" ref="AV69:AV100" si="20">AVERAGE(AR69:AU69)</f>
        <v>65.25</v>
      </c>
      <c r="AW69">
        <v>5</v>
      </c>
      <c r="AX69">
        <v>0</v>
      </c>
      <c r="AY69">
        <v>0</v>
      </c>
      <c r="AZ69" s="15">
        <f t="shared" si="8"/>
        <v>3.3333333333333335</v>
      </c>
      <c r="BD69" s="15">
        <f t="shared" si="9"/>
        <v>0</v>
      </c>
      <c r="BH69" s="15">
        <f t="shared" si="10"/>
        <v>0</v>
      </c>
      <c r="BI69" s="63">
        <v>11.52</v>
      </c>
      <c r="BJ69" s="63">
        <v>13.6</v>
      </c>
      <c r="BK69" s="65">
        <f t="shared" si="11"/>
        <v>-18.055555555555557</v>
      </c>
      <c r="BL69" s="65">
        <f t="shared" si="12"/>
        <v>-21.222222222222221</v>
      </c>
      <c r="BM69" s="13">
        <f t="shared" si="13"/>
        <v>45112.777777777781</v>
      </c>
      <c r="BN69" s="90">
        <f t="shared" si="14"/>
        <v>64.777777777781012</v>
      </c>
      <c r="BO69">
        <v>6</v>
      </c>
      <c r="BP69" s="17">
        <f t="shared" si="15"/>
        <v>8.6867999999999999</v>
      </c>
      <c r="BQ69">
        <v>10630</v>
      </c>
      <c r="BR69">
        <v>11.1</v>
      </c>
      <c r="BS69" s="15">
        <f t="shared" si="16"/>
        <v>12576.479734982928</v>
      </c>
      <c r="BT69" s="15">
        <f t="shared" si="17"/>
        <v>233.79353353493906</v>
      </c>
      <c r="BU69" s="16">
        <v>69.617021276595736</v>
      </c>
      <c r="BV69" s="17">
        <v>5.4700000000000006</v>
      </c>
      <c r="BW69" s="17">
        <v>5.34</v>
      </c>
      <c r="BX69" s="90">
        <f t="shared" si="18"/>
        <v>55.549653179190756</v>
      </c>
    </row>
    <row r="70" spans="2:76" x14ac:dyDescent="0.3">
      <c r="B70" s="58">
        <v>2023</v>
      </c>
      <c r="C70" t="s">
        <v>46</v>
      </c>
      <c r="D70">
        <v>312</v>
      </c>
      <c r="E70">
        <v>3</v>
      </c>
      <c r="F70">
        <v>25</v>
      </c>
      <c r="G70" t="s">
        <v>50</v>
      </c>
      <c r="H70">
        <v>7</v>
      </c>
      <c r="I70" s="18" t="s">
        <v>56</v>
      </c>
      <c r="J70">
        <v>46</v>
      </c>
      <c r="K70">
        <v>42</v>
      </c>
      <c r="L70" s="16">
        <f t="shared" ref="L70:L111" si="21">(AVERAGE(J70:K70))/L$2</f>
        <v>182.34562784915045</v>
      </c>
      <c r="M70">
        <v>59</v>
      </c>
      <c r="N70">
        <v>63</v>
      </c>
      <c r="O70">
        <v>61</v>
      </c>
      <c r="P70">
        <v>57</v>
      </c>
      <c r="Q70" s="62">
        <f t="shared" ref="Q70:Q112" si="22">AVERAGE(M70:P70)</f>
        <v>60</v>
      </c>
      <c r="R70">
        <v>72</v>
      </c>
      <c r="S70">
        <v>71</v>
      </c>
      <c r="T70">
        <v>75</v>
      </c>
      <c r="U70">
        <v>70</v>
      </c>
      <c r="V70" s="62">
        <f t="shared" ref="V70:V112" si="23">AVERAGE(R70:U70)</f>
        <v>72</v>
      </c>
      <c r="W70">
        <v>75</v>
      </c>
      <c r="X70">
        <v>75</v>
      </c>
      <c r="Y70">
        <v>80</v>
      </c>
      <c r="Z70">
        <v>80</v>
      </c>
      <c r="AA70" s="62">
        <f t="shared" ref="AA70:AA112" si="24">AVERAGE(W70:Z70)</f>
        <v>77.5</v>
      </c>
      <c r="AB70">
        <v>74</v>
      </c>
      <c r="AC70">
        <v>72</v>
      </c>
      <c r="AD70">
        <v>71</v>
      </c>
      <c r="AE70">
        <v>83</v>
      </c>
      <c r="AF70" s="62">
        <f t="shared" ref="AF70:AF112" si="25">AVERAGE(AB70:AE70)</f>
        <v>75</v>
      </c>
      <c r="AG70">
        <v>78</v>
      </c>
      <c r="AH70">
        <v>78</v>
      </c>
      <c r="AI70">
        <v>78</v>
      </c>
      <c r="AJ70">
        <v>78</v>
      </c>
      <c r="AK70" s="62">
        <f t="shared" ref="AK70:AK112" si="26">AVERAGE(AG70:AJ70)</f>
        <v>78</v>
      </c>
      <c r="AP70" s="62" t="e">
        <f t="shared" ref="AP70:AP112" si="27">AVERAGE(AL70:AO70)</f>
        <v>#DIV/0!</v>
      </c>
      <c r="AQ70" s="88">
        <v>45097</v>
      </c>
      <c r="AR70">
        <v>64</v>
      </c>
      <c r="AS70">
        <v>61</v>
      </c>
      <c r="AT70">
        <v>59</v>
      </c>
      <c r="AU70">
        <v>63</v>
      </c>
      <c r="AV70" s="62">
        <f t="shared" si="20"/>
        <v>61.75</v>
      </c>
      <c r="AW70">
        <v>0</v>
      </c>
      <c r="AX70">
        <v>0</v>
      </c>
      <c r="AY70">
        <v>0</v>
      </c>
      <c r="AZ70" s="15">
        <f t="shared" ref="AZ70:AZ112" si="28">((2*AW70)/3)+(AX70/3)+AY70</f>
        <v>0</v>
      </c>
      <c r="BD70" s="15">
        <f t="shared" ref="BD70:BD112" si="29">((2*BA70)/3)+(BB70/3)+BC70</f>
        <v>0</v>
      </c>
      <c r="BH70" s="15">
        <f t="shared" ref="BH70:BH112" si="30">((2*BE70)/3)+(BF70/3)+BG70</f>
        <v>0</v>
      </c>
      <c r="BI70">
        <v>16.920000000000002</v>
      </c>
      <c r="BJ70">
        <v>12.94</v>
      </c>
      <c r="BK70" s="12">
        <f t="shared" ref="BK70:BK112" si="31">(BI70-BJ70)/BI70*100</f>
        <v>23.522458628841619</v>
      </c>
      <c r="BL70" s="12">
        <f t="shared" ref="BL70:BL112" si="32">(BK70-35)/2.5</f>
        <v>-4.5910165484633527</v>
      </c>
      <c r="BM70" s="13">
        <f t="shared" ref="BM70:BM112" si="33">BL$2+BL70</f>
        <v>45129.40898345154</v>
      </c>
      <c r="BN70" s="90">
        <f t="shared" ref="BN70:BN112" si="34">BM70-BL$1</f>
        <v>81.408983451539825</v>
      </c>
      <c r="BO70">
        <v>6</v>
      </c>
      <c r="BP70" s="17">
        <f t="shared" ref="BP70:BP112" si="35">BO70*BP$2</f>
        <v>8.6867999999999999</v>
      </c>
      <c r="BQ70">
        <v>10390</v>
      </c>
      <c r="BR70">
        <v>10.3</v>
      </c>
      <c r="BS70" s="15">
        <f t="shared" ref="BS70:BS112" si="36">(BQ70*(100-BR70)/(100-13.5))/BP70*10000/1000</f>
        <v>12403.151842101272</v>
      </c>
      <c r="BT70" s="15">
        <f t="shared" ref="BT70:BT112" si="37">BS70*(2.204/48)*(1/2.47)</f>
        <v>230.57141244931853</v>
      </c>
      <c r="BU70" s="16">
        <v>68.936170212765958</v>
      </c>
      <c r="BV70" s="17">
        <v>4.9799999999999995</v>
      </c>
      <c r="BW70" s="17">
        <v>5.2799999999999994</v>
      </c>
      <c r="BX70" s="90">
        <f t="shared" ref="BX70:BX112" si="38">(AVERAGE(BV70:BW70)*10)*((100-BR70)/(100-13.5))</f>
        <v>53.197803468208079</v>
      </c>
    </row>
    <row r="71" spans="2:76" x14ac:dyDescent="0.3">
      <c r="B71" s="58">
        <v>2023</v>
      </c>
      <c r="C71" t="s">
        <v>46</v>
      </c>
      <c r="D71">
        <v>313</v>
      </c>
      <c r="E71">
        <v>3</v>
      </c>
      <c r="F71">
        <v>27</v>
      </c>
      <c r="G71" t="s">
        <v>50</v>
      </c>
      <c r="H71">
        <v>9</v>
      </c>
      <c r="I71" s="18" t="s">
        <v>58</v>
      </c>
      <c r="J71">
        <v>43</v>
      </c>
      <c r="K71">
        <v>37</v>
      </c>
      <c r="L71" s="16">
        <f t="shared" si="21"/>
        <v>165.76875259013676</v>
      </c>
      <c r="M71">
        <v>52</v>
      </c>
      <c r="N71">
        <v>52</v>
      </c>
      <c r="O71">
        <v>52</v>
      </c>
      <c r="P71">
        <v>60</v>
      </c>
      <c r="Q71" s="62">
        <f t="shared" si="22"/>
        <v>54</v>
      </c>
      <c r="R71">
        <v>65</v>
      </c>
      <c r="S71">
        <v>72</v>
      </c>
      <c r="T71">
        <v>74</v>
      </c>
      <c r="U71">
        <v>71</v>
      </c>
      <c r="V71" s="62">
        <f t="shared" si="23"/>
        <v>70.5</v>
      </c>
      <c r="W71">
        <v>77</v>
      </c>
      <c r="X71">
        <v>78</v>
      </c>
      <c r="Y71">
        <v>75</v>
      </c>
      <c r="Z71">
        <v>75</v>
      </c>
      <c r="AA71" s="62">
        <f t="shared" si="24"/>
        <v>76.25</v>
      </c>
      <c r="AB71">
        <v>81</v>
      </c>
      <c r="AC71">
        <v>77</v>
      </c>
      <c r="AD71">
        <v>80</v>
      </c>
      <c r="AE71">
        <v>78</v>
      </c>
      <c r="AF71" s="62">
        <f t="shared" si="25"/>
        <v>79</v>
      </c>
      <c r="AG71">
        <v>85</v>
      </c>
      <c r="AH71">
        <v>75</v>
      </c>
      <c r="AI71">
        <v>77</v>
      </c>
      <c r="AJ71">
        <v>85</v>
      </c>
      <c r="AK71" s="62">
        <f t="shared" si="26"/>
        <v>80.5</v>
      </c>
      <c r="AP71" s="62" t="e">
        <f t="shared" si="27"/>
        <v>#DIV/0!</v>
      </c>
      <c r="AQ71" s="88">
        <v>45097</v>
      </c>
      <c r="AR71">
        <v>60</v>
      </c>
      <c r="AS71">
        <v>61</v>
      </c>
      <c r="AT71">
        <v>63</v>
      </c>
      <c r="AU71">
        <v>59</v>
      </c>
      <c r="AV71" s="62">
        <f t="shared" si="20"/>
        <v>60.75</v>
      </c>
      <c r="AW71">
        <v>0</v>
      </c>
      <c r="AX71">
        <v>0</v>
      </c>
      <c r="AY71">
        <v>0</v>
      </c>
      <c r="AZ71" s="15">
        <f t="shared" si="28"/>
        <v>0</v>
      </c>
      <c r="BD71" s="15">
        <f t="shared" si="29"/>
        <v>0</v>
      </c>
      <c r="BH71" s="15">
        <f t="shared" si="30"/>
        <v>0</v>
      </c>
      <c r="BI71">
        <v>13.5</v>
      </c>
      <c r="BJ71">
        <v>12.35</v>
      </c>
      <c r="BK71" s="12">
        <f t="shared" si="31"/>
        <v>8.5185185185185208</v>
      </c>
      <c r="BL71" s="12">
        <f t="shared" si="32"/>
        <v>-10.592592592592592</v>
      </c>
      <c r="BM71" s="13">
        <f t="shared" si="33"/>
        <v>45123.407407407409</v>
      </c>
      <c r="BN71" s="90">
        <f t="shared" si="34"/>
        <v>75.407407407408755</v>
      </c>
      <c r="BO71">
        <v>6</v>
      </c>
      <c r="BP71" s="17">
        <f t="shared" si="35"/>
        <v>8.6867999999999999</v>
      </c>
      <c r="BQ71">
        <v>9580</v>
      </c>
      <c r="BR71">
        <v>11.4</v>
      </c>
      <c r="BS71" s="15">
        <f t="shared" si="36"/>
        <v>11295.964031268224</v>
      </c>
      <c r="BT71" s="15">
        <f t="shared" si="37"/>
        <v>209.98907494024263</v>
      </c>
      <c r="BU71" s="16">
        <v>68.723404255319153</v>
      </c>
      <c r="BV71" s="17">
        <v>4.8100000000000005</v>
      </c>
      <c r="BW71" s="17">
        <v>5.3100000000000005</v>
      </c>
      <c r="BX71" s="90">
        <f t="shared" si="38"/>
        <v>51.828439306358391</v>
      </c>
    </row>
    <row r="72" spans="2:76" x14ac:dyDescent="0.3">
      <c r="B72" s="58">
        <v>2023</v>
      </c>
      <c r="C72" t="s">
        <v>46</v>
      </c>
      <c r="D72">
        <v>314</v>
      </c>
      <c r="E72">
        <v>3</v>
      </c>
      <c r="F72">
        <v>20</v>
      </c>
      <c r="G72" t="s">
        <v>50</v>
      </c>
      <c r="H72">
        <v>2</v>
      </c>
      <c r="I72" s="18" t="s">
        <v>53</v>
      </c>
      <c r="J72">
        <v>44</v>
      </c>
      <c r="K72">
        <v>38</v>
      </c>
      <c r="L72" s="16">
        <f t="shared" si="21"/>
        <v>169.91297140489019</v>
      </c>
      <c r="M72">
        <v>47</v>
      </c>
      <c r="N72">
        <v>45</v>
      </c>
      <c r="O72">
        <v>59</v>
      </c>
      <c r="P72">
        <v>56</v>
      </c>
      <c r="Q72" s="62">
        <f t="shared" si="22"/>
        <v>51.75</v>
      </c>
      <c r="R72">
        <v>66</v>
      </c>
      <c r="S72">
        <v>71</v>
      </c>
      <c r="T72">
        <v>71</v>
      </c>
      <c r="U72">
        <v>71</v>
      </c>
      <c r="V72" s="62">
        <f t="shared" si="23"/>
        <v>69.75</v>
      </c>
      <c r="W72">
        <v>78</v>
      </c>
      <c r="X72">
        <v>79</v>
      </c>
      <c r="Y72">
        <v>70</v>
      </c>
      <c r="Z72">
        <v>7</v>
      </c>
      <c r="AA72" s="62">
        <f t="shared" si="24"/>
        <v>58.5</v>
      </c>
      <c r="AB72">
        <v>72</v>
      </c>
      <c r="AC72">
        <v>77</v>
      </c>
      <c r="AD72">
        <v>79</v>
      </c>
      <c r="AE72">
        <v>81</v>
      </c>
      <c r="AF72" s="62">
        <f t="shared" si="25"/>
        <v>77.25</v>
      </c>
      <c r="AG72">
        <v>80</v>
      </c>
      <c r="AH72">
        <v>78</v>
      </c>
      <c r="AI72">
        <v>83</v>
      </c>
      <c r="AJ72">
        <v>80</v>
      </c>
      <c r="AK72" s="62">
        <f t="shared" si="26"/>
        <v>80.25</v>
      </c>
      <c r="AP72" s="62" t="e">
        <f t="shared" si="27"/>
        <v>#DIV/0!</v>
      </c>
      <c r="AQ72" s="88">
        <v>45097</v>
      </c>
      <c r="AR72">
        <v>64</v>
      </c>
      <c r="AS72">
        <v>63</v>
      </c>
      <c r="AT72">
        <v>62</v>
      </c>
      <c r="AU72">
        <v>63</v>
      </c>
      <c r="AV72" s="62">
        <f t="shared" si="20"/>
        <v>63</v>
      </c>
      <c r="AW72">
        <v>0</v>
      </c>
      <c r="AX72">
        <v>0</v>
      </c>
      <c r="AY72">
        <v>0</v>
      </c>
      <c r="AZ72" s="15">
        <f t="shared" si="28"/>
        <v>0</v>
      </c>
      <c r="BD72" s="15">
        <f t="shared" si="29"/>
        <v>0</v>
      </c>
      <c r="BH72" s="15">
        <f t="shared" si="30"/>
        <v>0</v>
      </c>
      <c r="BI72" s="63">
        <v>12.48</v>
      </c>
      <c r="BJ72" s="63">
        <v>12.39</v>
      </c>
      <c r="BK72" s="65">
        <f t="shared" si="31"/>
        <v>0.72115384615384492</v>
      </c>
      <c r="BL72" s="65">
        <f t="shared" si="32"/>
        <v>-13.711538461538462</v>
      </c>
      <c r="BM72" s="13">
        <f t="shared" si="33"/>
        <v>45120.288461538461</v>
      </c>
      <c r="BN72" s="90">
        <f t="shared" si="34"/>
        <v>72.288461538460979</v>
      </c>
      <c r="BO72">
        <v>6</v>
      </c>
      <c r="BP72" s="17">
        <f t="shared" si="35"/>
        <v>8.6867999999999999</v>
      </c>
      <c r="BQ72">
        <v>9610</v>
      </c>
      <c r="BR72">
        <v>9.4</v>
      </c>
      <c r="BS72" s="15">
        <f t="shared" si="36"/>
        <v>11587.124015947658</v>
      </c>
      <c r="BT72" s="15">
        <f t="shared" si="37"/>
        <v>215.401664399027</v>
      </c>
      <c r="BU72" s="16">
        <v>69.106382978723403</v>
      </c>
      <c r="BV72" s="17">
        <v>4.7799999999999994</v>
      </c>
      <c r="BW72" s="17">
        <v>5.32</v>
      </c>
      <c r="BX72" s="90">
        <f t="shared" si="38"/>
        <v>52.893641618497114</v>
      </c>
    </row>
    <row r="73" spans="2:76" x14ac:dyDescent="0.3">
      <c r="B73" s="58">
        <v>2023</v>
      </c>
      <c r="C73" t="s">
        <v>46</v>
      </c>
      <c r="D73">
        <v>315</v>
      </c>
      <c r="E73">
        <v>3</v>
      </c>
      <c r="F73">
        <v>24</v>
      </c>
      <c r="G73" t="s">
        <v>50</v>
      </c>
      <c r="H73">
        <v>6</v>
      </c>
      <c r="I73" s="18" t="s">
        <v>55</v>
      </c>
      <c r="J73">
        <v>42</v>
      </c>
      <c r="K73">
        <v>45</v>
      </c>
      <c r="L73" s="16">
        <f t="shared" si="21"/>
        <v>180.27351844177375</v>
      </c>
      <c r="M73">
        <v>53</v>
      </c>
      <c r="N73">
        <v>47</v>
      </c>
      <c r="O73">
        <v>56</v>
      </c>
      <c r="P73">
        <v>55</v>
      </c>
      <c r="Q73" s="62">
        <f t="shared" si="22"/>
        <v>52.75</v>
      </c>
      <c r="R73">
        <v>64</v>
      </c>
      <c r="S73">
        <v>71</v>
      </c>
      <c r="T73">
        <v>70</v>
      </c>
      <c r="U73">
        <v>72</v>
      </c>
      <c r="V73" s="62">
        <f t="shared" si="23"/>
        <v>69.25</v>
      </c>
      <c r="W73">
        <v>70</v>
      </c>
      <c r="X73">
        <v>70</v>
      </c>
      <c r="Y73">
        <v>78</v>
      </c>
      <c r="Z73">
        <v>75</v>
      </c>
      <c r="AA73" s="62">
        <f t="shared" si="24"/>
        <v>73.25</v>
      </c>
      <c r="AB73">
        <v>77</v>
      </c>
      <c r="AC73">
        <v>75</v>
      </c>
      <c r="AD73">
        <v>76</v>
      </c>
      <c r="AE73">
        <v>74</v>
      </c>
      <c r="AF73" s="62">
        <f t="shared" si="25"/>
        <v>75.5</v>
      </c>
      <c r="AG73">
        <v>68</v>
      </c>
      <c r="AH73">
        <v>77</v>
      </c>
      <c r="AI73">
        <v>77</v>
      </c>
      <c r="AJ73">
        <v>69</v>
      </c>
      <c r="AK73" s="62">
        <f t="shared" si="26"/>
        <v>72.75</v>
      </c>
      <c r="AP73" s="62" t="e">
        <f t="shared" si="27"/>
        <v>#DIV/0!</v>
      </c>
      <c r="AQ73" s="88">
        <v>45097</v>
      </c>
      <c r="AR73">
        <v>60</v>
      </c>
      <c r="AS73">
        <v>57</v>
      </c>
      <c r="AT73">
        <v>60</v>
      </c>
      <c r="AU73">
        <v>53</v>
      </c>
      <c r="AV73" s="62">
        <f t="shared" si="20"/>
        <v>57.5</v>
      </c>
      <c r="AW73">
        <v>0</v>
      </c>
      <c r="AX73">
        <v>0</v>
      </c>
      <c r="AY73">
        <v>0</v>
      </c>
      <c r="AZ73" s="15">
        <f t="shared" si="28"/>
        <v>0</v>
      </c>
      <c r="BD73" s="15">
        <f t="shared" si="29"/>
        <v>0</v>
      </c>
      <c r="BH73" s="15">
        <f t="shared" si="30"/>
        <v>0</v>
      </c>
      <c r="BI73">
        <v>15.5</v>
      </c>
      <c r="BJ73">
        <v>12.94</v>
      </c>
      <c r="BK73" s="12">
        <f t="shared" si="31"/>
        <v>16.516129032258068</v>
      </c>
      <c r="BL73" s="12">
        <f t="shared" si="32"/>
        <v>-7.3935483870967733</v>
      </c>
      <c r="BM73" s="13">
        <f t="shared" si="33"/>
        <v>45126.606451612904</v>
      </c>
      <c r="BN73" s="90">
        <f t="shared" si="34"/>
        <v>78.606451612904493</v>
      </c>
      <c r="BO73">
        <v>6</v>
      </c>
      <c r="BP73" s="17">
        <f t="shared" si="35"/>
        <v>8.6867999999999999</v>
      </c>
      <c r="BQ73">
        <v>9510</v>
      </c>
      <c r="BR73">
        <v>9</v>
      </c>
      <c r="BS73" s="15">
        <f t="shared" si="36"/>
        <v>11517.175351559912</v>
      </c>
      <c r="BT73" s="15">
        <f t="shared" si="37"/>
        <v>214.10133666361372</v>
      </c>
      <c r="BU73" s="16">
        <v>68.510638297872333</v>
      </c>
      <c r="BV73" s="17">
        <v>5.5299999999999994</v>
      </c>
      <c r="BW73" s="17">
        <v>4.58</v>
      </c>
      <c r="BX73" s="90">
        <f t="shared" si="38"/>
        <v>53.179768786127163</v>
      </c>
    </row>
    <row r="74" spans="2:76" x14ac:dyDescent="0.3">
      <c r="B74" s="58">
        <v>2023</v>
      </c>
      <c r="C74" t="s">
        <v>46</v>
      </c>
      <c r="D74">
        <v>316</v>
      </c>
      <c r="E74">
        <v>3</v>
      </c>
      <c r="F74">
        <v>21</v>
      </c>
      <c r="G74" t="s">
        <v>50</v>
      </c>
      <c r="H74">
        <v>3</v>
      </c>
      <c r="I74" s="18" t="s">
        <v>51</v>
      </c>
      <c r="J74">
        <v>45</v>
      </c>
      <c r="K74">
        <v>31</v>
      </c>
      <c r="L74" s="16">
        <f t="shared" si="21"/>
        <v>157.48031496062993</v>
      </c>
      <c r="M74">
        <v>52</v>
      </c>
      <c r="N74">
        <v>55</v>
      </c>
      <c r="O74">
        <v>53</v>
      </c>
      <c r="P74">
        <v>59</v>
      </c>
      <c r="Q74" s="62">
        <f t="shared" si="22"/>
        <v>54.75</v>
      </c>
      <c r="R74">
        <v>71</v>
      </c>
      <c r="S74">
        <v>71</v>
      </c>
      <c r="T74">
        <v>74</v>
      </c>
      <c r="U74">
        <v>69</v>
      </c>
      <c r="V74" s="62">
        <f t="shared" si="23"/>
        <v>71.25</v>
      </c>
      <c r="W74">
        <v>75</v>
      </c>
      <c r="X74">
        <v>76</v>
      </c>
      <c r="Y74">
        <v>76</v>
      </c>
      <c r="Z74">
        <v>69</v>
      </c>
      <c r="AA74" s="62">
        <f t="shared" si="24"/>
        <v>74</v>
      </c>
      <c r="AB74">
        <v>75</v>
      </c>
      <c r="AC74">
        <v>75</v>
      </c>
      <c r="AD74">
        <v>73</v>
      </c>
      <c r="AE74">
        <v>77</v>
      </c>
      <c r="AF74" s="62">
        <f t="shared" si="25"/>
        <v>75</v>
      </c>
      <c r="AG74">
        <v>76</v>
      </c>
      <c r="AH74">
        <v>78</v>
      </c>
      <c r="AI74">
        <v>81</v>
      </c>
      <c r="AJ74">
        <v>79</v>
      </c>
      <c r="AK74" s="62">
        <f t="shared" si="26"/>
        <v>78.5</v>
      </c>
      <c r="AP74" s="62" t="e">
        <f t="shared" si="27"/>
        <v>#DIV/0!</v>
      </c>
      <c r="AQ74" s="88">
        <v>45097</v>
      </c>
      <c r="AR74">
        <v>57</v>
      </c>
      <c r="AS74">
        <v>59</v>
      </c>
      <c r="AT74">
        <v>60</v>
      </c>
      <c r="AU74">
        <v>63</v>
      </c>
      <c r="AV74" s="62">
        <f t="shared" si="20"/>
        <v>59.75</v>
      </c>
      <c r="AW74">
        <v>0</v>
      </c>
      <c r="AX74">
        <v>0</v>
      </c>
      <c r="AY74">
        <v>0</v>
      </c>
      <c r="AZ74" s="15">
        <f t="shared" si="28"/>
        <v>0</v>
      </c>
      <c r="BD74" s="15">
        <f t="shared" si="29"/>
        <v>0</v>
      </c>
      <c r="BH74" s="15">
        <f t="shared" si="30"/>
        <v>0</v>
      </c>
      <c r="BI74" s="63">
        <v>13.62</v>
      </c>
      <c r="BJ74" s="63">
        <v>13.87</v>
      </c>
      <c r="BK74" s="65">
        <f t="shared" si="31"/>
        <v>-1.8355359765051396</v>
      </c>
      <c r="BL74" s="65">
        <f t="shared" si="32"/>
        <v>-14.734214390602057</v>
      </c>
      <c r="BM74" s="13">
        <f t="shared" si="33"/>
        <v>45119.265785609401</v>
      </c>
      <c r="BN74" s="90">
        <f t="shared" si="34"/>
        <v>71.265785609401064</v>
      </c>
      <c r="BO74">
        <v>6</v>
      </c>
      <c r="BP74" s="17">
        <f t="shared" si="35"/>
        <v>8.6867999999999999</v>
      </c>
      <c r="BQ74">
        <v>8660</v>
      </c>
      <c r="BR74">
        <v>8.8000000000000007</v>
      </c>
      <c r="BS74" s="15">
        <f t="shared" si="36"/>
        <v>10510.824875214297</v>
      </c>
      <c r="BT74" s="15">
        <f t="shared" si="37"/>
        <v>195.39353934693247</v>
      </c>
      <c r="BU74" s="16">
        <v>68.38297872340425</v>
      </c>
      <c r="BV74" s="17">
        <v>4.92</v>
      </c>
      <c r="BW74" s="17">
        <v>4.96</v>
      </c>
      <c r="BX74" s="90">
        <f t="shared" si="38"/>
        <v>52.084161849710981</v>
      </c>
    </row>
    <row r="75" spans="2:76" x14ac:dyDescent="0.3">
      <c r="B75" s="58">
        <v>2023</v>
      </c>
      <c r="C75" t="s">
        <v>46</v>
      </c>
      <c r="D75">
        <v>317</v>
      </c>
      <c r="E75">
        <v>3</v>
      </c>
      <c r="F75">
        <v>22</v>
      </c>
      <c r="G75" t="s">
        <v>50</v>
      </c>
      <c r="H75">
        <v>4</v>
      </c>
      <c r="I75" s="18" t="s">
        <v>52</v>
      </c>
      <c r="J75">
        <v>35</v>
      </c>
      <c r="K75">
        <v>45</v>
      </c>
      <c r="L75" s="16">
        <f t="shared" si="21"/>
        <v>165.76875259013676</v>
      </c>
      <c r="M75">
        <v>58</v>
      </c>
      <c r="N75">
        <v>54</v>
      </c>
      <c r="O75">
        <v>57</v>
      </c>
      <c r="P75">
        <v>51</v>
      </c>
      <c r="Q75" s="62">
        <f t="shared" si="22"/>
        <v>55</v>
      </c>
      <c r="R75">
        <v>70</v>
      </c>
      <c r="S75">
        <v>71</v>
      </c>
      <c r="T75">
        <v>74</v>
      </c>
      <c r="U75">
        <v>76</v>
      </c>
      <c r="V75" s="62">
        <f t="shared" si="23"/>
        <v>72.75</v>
      </c>
      <c r="W75">
        <v>74</v>
      </c>
      <c r="X75">
        <v>70</v>
      </c>
      <c r="Y75">
        <v>81</v>
      </c>
      <c r="Z75">
        <v>80</v>
      </c>
      <c r="AA75" s="62">
        <f t="shared" si="24"/>
        <v>76.25</v>
      </c>
      <c r="AB75">
        <v>75</v>
      </c>
      <c r="AC75">
        <v>76</v>
      </c>
      <c r="AD75">
        <v>81</v>
      </c>
      <c r="AE75">
        <v>73</v>
      </c>
      <c r="AF75" s="62">
        <f t="shared" si="25"/>
        <v>76.25</v>
      </c>
      <c r="AG75">
        <v>71</v>
      </c>
      <c r="AH75">
        <v>79</v>
      </c>
      <c r="AI75">
        <v>71</v>
      </c>
      <c r="AJ75">
        <v>77</v>
      </c>
      <c r="AK75" s="62">
        <f t="shared" si="26"/>
        <v>74.5</v>
      </c>
      <c r="AP75" s="62" t="e">
        <f t="shared" si="27"/>
        <v>#DIV/0!</v>
      </c>
      <c r="AQ75" s="88">
        <v>45097</v>
      </c>
      <c r="AR75">
        <v>58</v>
      </c>
      <c r="AS75">
        <v>62</v>
      </c>
      <c r="AT75">
        <v>55</v>
      </c>
      <c r="AU75">
        <v>55</v>
      </c>
      <c r="AV75" s="62">
        <f t="shared" si="20"/>
        <v>57.5</v>
      </c>
      <c r="AW75">
        <v>0</v>
      </c>
      <c r="AX75">
        <v>0</v>
      </c>
      <c r="AY75">
        <v>0</v>
      </c>
      <c r="AZ75" s="15">
        <f t="shared" si="28"/>
        <v>0</v>
      </c>
      <c r="BD75" s="15">
        <f t="shared" si="29"/>
        <v>0</v>
      </c>
      <c r="BH75" s="15">
        <f t="shared" si="30"/>
        <v>0</v>
      </c>
      <c r="BI75" s="63">
        <v>11.05</v>
      </c>
      <c r="BJ75" s="63">
        <v>11.92</v>
      </c>
      <c r="BK75" s="65">
        <f t="shared" si="31"/>
        <v>-7.8733031674208069</v>
      </c>
      <c r="BL75" s="65">
        <f t="shared" si="32"/>
        <v>-17.149321266968322</v>
      </c>
      <c r="BM75" s="13">
        <f t="shared" si="33"/>
        <v>45116.850678733033</v>
      </c>
      <c r="BN75" s="90">
        <f t="shared" si="34"/>
        <v>68.850678733033419</v>
      </c>
      <c r="BO75">
        <v>6</v>
      </c>
      <c r="BP75" s="17">
        <f t="shared" si="35"/>
        <v>8.6867999999999999</v>
      </c>
      <c r="BQ75">
        <v>8570</v>
      </c>
      <c r="BR75">
        <v>8.6999999999999993</v>
      </c>
      <c r="BS75" s="15">
        <f t="shared" si="36"/>
        <v>10412.995226828773</v>
      </c>
      <c r="BT75" s="15">
        <f t="shared" si="37"/>
        <v>193.57491126797078</v>
      </c>
      <c r="BU75" s="16">
        <v>68.042553191489361</v>
      </c>
      <c r="BV75" s="17">
        <v>5.01</v>
      </c>
      <c r="BW75" s="17">
        <v>5.12</v>
      </c>
      <c r="BX75" s="90">
        <f t="shared" si="38"/>
        <v>53.460635838150282</v>
      </c>
    </row>
    <row r="76" spans="2:76" x14ac:dyDescent="0.3">
      <c r="B76" s="58">
        <v>2023</v>
      </c>
      <c r="C76" t="s">
        <v>46</v>
      </c>
      <c r="D76">
        <v>318</v>
      </c>
      <c r="E76">
        <v>3</v>
      </c>
      <c r="F76">
        <v>23</v>
      </c>
      <c r="G76" t="s">
        <v>50</v>
      </c>
      <c r="H76">
        <v>5</v>
      </c>
      <c r="I76" s="18" t="s">
        <v>54</v>
      </c>
      <c r="J76">
        <v>42</v>
      </c>
      <c r="K76">
        <v>40</v>
      </c>
      <c r="L76" s="16">
        <f t="shared" si="21"/>
        <v>169.91297140489019</v>
      </c>
      <c r="M76">
        <v>55</v>
      </c>
      <c r="N76">
        <v>59</v>
      </c>
      <c r="O76">
        <v>57</v>
      </c>
      <c r="P76">
        <v>59</v>
      </c>
      <c r="Q76" s="62">
        <f t="shared" si="22"/>
        <v>57.5</v>
      </c>
      <c r="R76">
        <v>65</v>
      </c>
      <c r="S76">
        <v>76</v>
      </c>
      <c r="T76">
        <v>69</v>
      </c>
      <c r="U76">
        <v>72</v>
      </c>
      <c r="V76" s="62">
        <f t="shared" si="23"/>
        <v>70.5</v>
      </c>
      <c r="W76">
        <v>70</v>
      </c>
      <c r="X76">
        <v>76</v>
      </c>
      <c r="Y76">
        <v>77</v>
      </c>
      <c r="Z76">
        <v>73</v>
      </c>
      <c r="AA76" s="62">
        <f t="shared" si="24"/>
        <v>74</v>
      </c>
      <c r="AB76">
        <v>77</v>
      </c>
      <c r="AC76">
        <v>77</v>
      </c>
      <c r="AD76">
        <v>74</v>
      </c>
      <c r="AE76">
        <v>72</v>
      </c>
      <c r="AF76" s="62">
        <f t="shared" si="25"/>
        <v>75</v>
      </c>
      <c r="AG76">
        <v>72</v>
      </c>
      <c r="AH76">
        <v>82</v>
      </c>
      <c r="AI76">
        <v>81</v>
      </c>
      <c r="AJ76">
        <v>75</v>
      </c>
      <c r="AK76" s="62">
        <f t="shared" si="26"/>
        <v>77.5</v>
      </c>
      <c r="AP76" s="62" t="e">
        <f t="shared" si="27"/>
        <v>#DIV/0!</v>
      </c>
      <c r="AQ76" s="88">
        <v>45097</v>
      </c>
      <c r="AR76">
        <v>57</v>
      </c>
      <c r="AS76">
        <v>58</v>
      </c>
      <c r="AT76">
        <v>63</v>
      </c>
      <c r="AU76">
        <v>60</v>
      </c>
      <c r="AV76" s="62">
        <f t="shared" si="20"/>
        <v>59.5</v>
      </c>
      <c r="AW76">
        <v>0</v>
      </c>
      <c r="AX76">
        <v>0</v>
      </c>
      <c r="AY76">
        <v>0</v>
      </c>
      <c r="AZ76" s="15">
        <f t="shared" si="28"/>
        <v>0</v>
      </c>
      <c r="BD76" s="15">
        <f t="shared" si="29"/>
        <v>0</v>
      </c>
      <c r="BH76" s="15">
        <f t="shared" si="30"/>
        <v>0</v>
      </c>
      <c r="BI76">
        <v>12.48</v>
      </c>
      <c r="BJ76">
        <v>9.36</v>
      </c>
      <c r="BK76" s="12">
        <f t="shared" si="31"/>
        <v>25.000000000000007</v>
      </c>
      <c r="BL76" s="12">
        <f t="shared" si="32"/>
        <v>-3.9999999999999973</v>
      </c>
      <c r="BM76" s="13">
        <f t="shared" si="33"/>
        <v>45130</v>
      </c>
      <c r="BN76" s="90">
        <f t="shared" si="34"/>
        <v>82</v>
      </c>
      <c r="BO76">
        <v>6</v>
      </c>
      <c r="BP76" s="17">
        <f t="shared" si="35"/>
        <v>8.6867999999999999</v>
      </c>
      <c r="BQ76">
        <v>8710</v>
      </c>
      <c r="BR76">
        <v>8.5</v>
      </c>
      <c r="BS76" s="15">
        <f t="shared" si="36"/>
        <v>10606.285638085928</v>
      </c>
      <c r="BT76" s="15">
        <f t="shared" si="37"/>
        <v>197.16813045159739</v>
      </c>
      <c r="BU76" s="16">
        <v>67.744680851063819</v>
      </c>
      <c r="BV76" s="17">
        <v>5.07</v>
      </c>
      <c r="BW76" s="17">
        <v>5.09</v>
      </c>
      <c r="BX76" s="90">
        <f t="shared" si="38"/>
        <v>53.736416184971098</v>
      </c>
    </row>
    <row r="77" spans="2:76" x14ac:dyDescent="0.3">
      <c r="B77" s="58">
        <v>2023</v>
      </c>
      <c r="C77" t="s">
        <v>46</v>
      </c>
      <c r="D77">
        <v>319</v>
      </c>
      <c r="E77">
        <v>3</v>
      </c>
      <c r="F77">
        <v>6</v>
      </c>
      <c r="G77" t="s">
        <v>40</v>
      </c>
      <c r="H77">
        <v>6</v>
      </c>
      <c r="I77" s="18" t="s">
        <v>55</v>
      </c>
      <c r="J77">
        <v>40</v>
      </c>
      <c r="K77">
        <v>39</v>
      </c>
      <c r="L77" s="16">
        <f t="shared" si="21"/>
        <v>163.69664318276006</v>
      </c>
      <c r="M77">
        <v>55</v>
      </c>
      <c r="N77">
        <v>51</v>
      </c>
      <c r="O77">
        <v>53</v>
      </c>
      <c r="P77">
        <v>54</v>
      </c>
      <c r="Q77" s="62">
        <f t="shared" si="22"/>
        <v>53.25</v>
      </c>
      <c r="R77">
        <v>69</v>
      </c>
      <c r="S77">
        <v>64</v>
      </c>
      <c r="T77">
        <v>66</v>
      </c>
      <c r="U77">
        <v>61</v>
      </c>
      <c r="V77" s="62">
        <f t="shared" si="23"/>
        <v>65</v>
      </c>
      <c r="W77">
        <v>72</v>
      </c>
      <c r="X77">
        <v>72</v>
      </c>
      <c r="Y77">
        <v>72</v>
      </c>
      <c r="Z77">
        <v>69</v>
      </c>
      <c r="AA77" s="62">
        <f t="shared" si="24"/>
        <v>71.25</v>
      </c>
      <c r="AB77">
        <v>76</v>
      </c>
      <c r="AC77">
        <v>78</v>
      </c>
      <c r="AD77">
        <v>73</v>
      </c>
      <c r="AE77">
        <v>74</v>
      </c>
      <c r="AF77" s="62">
        <f t="shared" si="25"/>
        <v>75.25</v>
      </c>
      <c r="AG77">
        <v>73</v>
      </c>
      <c r="AH77">
        <v>82</v>
      </c>
      <c r="AI77">
        <v>77</v>
      </c>
      <c r="AJ77">
        <v>79</v>
      </c>
      <c r="AK77" s="62">
        <f t="shared" si="26"/>
        <v>77.75</v>
      </c>
      <c r="AP77" s="62" t="e">
        <f t="shared" si="27"/>
        <v>#DIV/0!</v>
      </c>
      <c r="AQ77" s="88">
        <v>45097</v>
      </c>
      <c r="AR77">
        <v>55</v>
      </c>
      <c r="AS77">
        <v>55</v>
      </c>
      <c r="AT77">
        <v>57</v>
      </c>
      <c r="AU77">
        <v>65</v>
      </c>
      <c r="AV77" s="62">
        <f t="shared" si="20"/>
        <v>58</v>
      </c>
      <c r="AW77">
        <v>0</v>
      </c>
      <c r="AX77">
        <v>0</v>
      </c>
      <c r="AY77">
        <v>0</v>
      </c>
      <c r="AZ77" s="15">
        <f t="shared" si="28"/>
        <v>0</v>
      </c>
      <c r="BD77" s="15">
        <f t="shared" si="29"/>
        <v>0</v>
      </c>
      <c r="BH77" s="15">
        <f t="shared" si="30"/>
        <v>0</v>
      </c>
      <c r="BI77" s="63">
        <v>14.5</v>
      </c>
      <c r="BJ77" s="63">
        <v>16.079999999999998</v>
      </c>
      <c r="BK77" s="65">
        <f t="shared" si="31"/>
        <v>-10.89655172413792</v>
      </c>
      <c r="BL77" s="65">
        <f t="shared" si="32"/>
        <v>-18.358620689655169</v>
      </c>
      <c r="BM77" s="13">
        <f t="shared" si="33"/>
        <v>45115.641379310342</v>
      </c>
      <c r="BN77" s="90">
        <f t="shared" si="34"/>
        <v>67.641379310342018</v>
      </c>
      <c r="BO77">
        <v>6</v>
      </c>
      <c r="BP77" s="17">
        <f t="shared" si="35"/>
        <v>8.6867999999999999</v>
      </c>
      <c r="BQ77">
        <v>9300</v>
      </c>
      <c r="BR77">
        <v>12.3</v>
      </c>
      <c r="BS77" s="15">
        <f t="shared" si="36"/>
        <v>10854.419741493371</v>
      </c>
      <c r="BT77" s="15">
        <f t="shared" si="37"/>
        <v>201.78087980981266</v>
      </c>
      <c r="BU77" s="16">
        <v>68.723404255319153</v>
      </c>
      <c r="BV77" s="17">
        <v>4.7799999999999994</v>
      </c>
      <c r="BW77" s="17">
        <v>4.57</v>
      </c>
      <c r="BX77" s="90">
        <f t="shared" si="38"/>
        <v>47.398554913294795</v>
      </c>
    </row>
    <row r="78" spans="2:76" x14ac:dyDescent="0.3">
      <c r="B78" s="58">
        <v>2023</v>
      </c>
      <c r="C78" t="s">
        <v>46</v>
      </c>
      <c r="D78">
        <v>320</v>
      </c>
      <c r="E78">
        <v>3</v>
      </c>
      <c r="F78">
        <v>4</v>
      </c>
      <c r="G78" t="s">
        <v>40</v>
      </c>
      <c r="H78">
        <v>4</v>
      </c>
      <c r="I78" s="18" t="s">
        <v>52</v>
      </c>
      <c r="J78">
        <v>49</v>
      </c>
      <c r="K78">
        <v>38</v>
      </c>
      <c r="L78" s="16">
        <f t="shared" si="21"/>
        <v>180.27351844177375</v>
      </c>
      <c r="M78">
        <v>50</v>
      </c>
      <c r="N78">
        <v>44</v>
      </c>
      <c r="O78">
        <v>46</v>
      </c>
      <c r="P78">
        <v>54</v>
      </c>
      <c r="Q78" s="62">
        <f t="shared" si="22"/>
        <v>48.5</v>
      </c>
      <c r="R78">
        <v>66</v>
      </c>
      <c r="S78">
        <v>60</v>
      </c>
      <c r="T78">
        <v>63</v>
      </c>
      <c r="U78">
        <v>69</v>
      </c>
      <c r="V78" s="62">
        <f t="shared" si="23"/>
        <v>64.5</v>
      </c>
      <c r="W78">
        <v>73</v>
      </c>
      <c r="X78">
        <v>72</v>
      </c>
      <c r="Y78">
        <v>75</v>
      </c>
      <c r="Z78">
        <v>77</v>
      </c>
      <c r="AA78" s="62">
        <f t="shared" si="24"/>
        <v>74.25</v>
      </c>
      <c r="AB78">
        <v>83</v>
      </c>
      <c r="AC78">
        <v>89</v>
      </c>
      <c r="AD78">
        <v>89</v>
      </c>
      <c r="AE78">
        <v>97</v>
      </c>
      <c r="AF78" s="62">
        <f t="shared" si="25"/>
        <v>89.5</v>
      </c>
      <c r="AG78">
        <v>84</v>
      </c>
      <c r="AH78">
        <v>91</v>
      </c>
      <c r="AI78">
        <v>89</v>
      </c>
      <c r="AJ78">
        <v>98</v>
      </c>
      <c r="AK78" s="62">
        <f t="shared" si="26"/>
        <v>90.5</v>
      </c>
      <c r="AP78" s="62" t="e">
        <f t="shared" si="27"/>
        <v>#DIV/0!</v>
      </c>
      <c r="AQ78" s="88">
        <v>45097</v>
      </c>
      <c r="AR78">
        <v>77</v>
      </c>
      <c r="AS78">
        <v>80</v>
      </c>
      <c r="AT78">
        <v>62</v>
      </c>
      <c r="AU78">
        <v>65</v>
      </c>
      <c r="AV78" s="62">
        <f t="shared" si="20"/>
        <v>71</v>
      </c>
      <c r="AW78">
        <v>5</v>
      </c>
      <c r="AX78">
        <v>0</v>
      </c>
      <c r="AY78">
        <v>0</v>
      </c>
      <c r="AZ78" s="15">
        <f t="shared" si="28"/>
        <v>3.3333333333333335</v>
      </c>
      <c r="BD78" s="15">
        <f t="shared" si="29"/>
        <v>0</v>
      </c>
      <c r="BH78" s="15">
        <f t="shared" si="30"/>
        <v>0</v>
      </c>
      <c r="BI78">
        <v>26.47</v>
      </c>
      <c r="BJ78">
        <v>17.010000000000002</v>
      </c>
      <c r="BK78" s="12">
        <f t="shared" si="31"/>
        <v>35.738571968265951</v>
      </c>
      <c r="BL78" s="12">
        <f t="shared" si="32"/>
        <v>0.2954287873063805</v>
      </c>
      <c r="BM78" s="13">
        <f t="shared" si="33"/>
        <v>45134.295428787307</v>
      </c>
      <c r="BN78" s="90">
        <f t="shared" si="34"/>
        <v>86.295428787307173</v>
      </c>
      <c r="BO78">
        <v>6</v>
      </c>
      <c r="BP78" s="17">
        <f t="shared" si="35"/>
        <v>8.6867999999999999</v>
      </c>
      <c r="BQ78">
        <v>9180</v>
      </c>
      <c r="BR78">
        <v>12.5</v>
      </c>
      <c r="BS78" s="15">
        <f t="shared" si="36"/>
        <v>10689.928590079269</v>
      </c>
      <c r="BT78" s="15">
        <f t="shared" si="37"/>
        <v>198.72303148224285</v>
      </c>
      <c r="BU78" s="16">
        <v>69.829787234042541</v>
      </c>
      <c r="BV78" s="17">
        <v>4.6899999999999995</v>
      </c>
      <c r="BW78" s="17">
        <v>4.75</v>
      </c>
      <c r="BX78" s="90">
        <f t="shared" si="38"/>
        <v>47.745664739884397</v>
      </c>
    </row>
    <row r="79" spans="2:76" x14ac:dyDescent="0.3">
      <c r="B79" s="58">
        <v>2023</v>
      </c>
      <c r="C79" t="s">
        <v>46</v>
      </c>
      <c r="D79">
        <v>321</v>
      </c>
      <c r="E79">
        <v>3</v>
      </c>
      <c r="F79">
        <v>9</v>
      </c>
      <c r="G79" t="s">
        <v>40</v>
      </c>
      <c r="H79">
        <v>9</v>
      </c>
      <c r="I79" s="18" t="s">
        <v>58</v>
      </c>
      <c r="J79">
        <v>47</v>
      </c>
      <c r="K79">
        <v>41</v>
      </c>
      <c r="L79" s="16">
        <f t="shared" si="21"/>
        <v>182.34562784915045</v>
      </c>
      <c r="M79">
        <v>51</v>
      </c>
      <c r="N79">
        <v>53</v>
      </c>
      <c r="O79">
        <v>48</v>
      </c>
      <c r="P79">
        <v>51</v>
      </c>
      <c r="Q79" s="62">
        <f t="shared" si="22"/>
        <v>50.75</v>
      </c>
      <c r="R79">
        <v>57</v>
      </c>
      <c r="S79">
        <v>56</v>
      </c>
      <c r="T79">
        <v>61</v>
      </c>
      <c r="U79">
        <v>67</v>
      </c>
      <c r="V79" s="62">
        <f t="shared" si="23"/>
        <v>60.25</v>
      </c>
      <c r="W79">
        <v>66</v>
      </c>
      <c r="X79">
        <v>69</v>
      </c>
      <c r="Y79">
        <v>70</v>
      </c>
      <c r="Z79">
        <v>70</v>
      </c>
      <c r="AA79" s="62">
        <f t="shared" si="24"/>
        <v>68.75</v>
      </c>
      <c r="AB79">
        <v>85</v>
      </c>
      <c r="AC79">
        <v>87</v>
      </c>
      <c r="AD79">
        <v>87</v>
      </c>
      <c r="AE79">
        <v>86</v>
      </c>
      <c r="AF79" s="62">
        <f t="shared" si="25"/>
        <v>86.25</v>
      </c>
      <c r="AG79">
        <v>86</v>
      </c>
      <c r="AH79">
        <v>82</v>
      </c>
      <c r="AI79">
        <v>83</v>
      </c>
      <c r="AJ79">
        <v>80</v>
      </c>
      <c r="AK79" s="62">
        <f t="shared" si="26"/>
        <v>82.75</v>
      </c>
      <c r="AP79" s="62" t="e">
        <f t="shared" si="27"/>
        <v>#DIV/0!</v>
      </c>
      <c r="AQ79" s="88">
        <v>45097</v>
      </c>
      <c r="AR79">
        <v>74</v>
      </c>
      <c r="AS79">
        <v>73</v>
      </c>
      <c r="AT79">
        <v>66</v>
      </c>
      <c r="AU79">
        <v>68</v>
      </c>
      <c r="AV79" s="62">
        <f t="shared" si="20"/>
        <v>70.25</v>
      </c>
      <c r="AW79">
        <v>0</v>
      </c>
      <c r="AX79">
        <v>0</v>
      </c>
      <c r="AY79">
        <v>0</v>
      </c>
      <c r="AZ79" s="15">
        <f t="shared" si="28"/>
        <v>0</v>
      </c>
      <c r="BD79" s="15">
        <f t="shared" si="29"/>
        <v>0</v>
      </c>
      <c r="BH79" s="15">
        <f t="shared" si="30"/>
        <v>0</v>
      </c>
      <c r="BI79">
        <v>22.4</v>
      </c>
      <c r="BJ79">
        <v>15.52</v>
      </c>
      <c r="BK79" s="12">
        <f t="shared" si="31"/>
        <v>30.714285714285712</v>
      </c>
      <c r="BL79" s="12">
        <f t="shared" si="32"/>
        <v>-1.7142857142857153</v>
      </c>
      <c r="BM79" s="13">
        <f t="shared" si="33"/>
        <v>45132.285714285717</v>
      </c>
      <c r="BN79" s="90">
        <f t="shared" si="34"/>
        <v>84.285714285717404</v>
      </c>
      <c r="BO79">
        <v>6</v>
      </c>
      <c r="BP79" s="17">
        <f t="shared" si="35"/>
        <v>8.6867999999999999</v>
      </c>
      <c r="BQ79">
        <v>10000</v>
      </c>
      <c r="BR79">
        <v>11.9</v>
      </c>
      <c r="BS79" s="15">
        <f t="shared" si="36"/>
        <v>11724.652459209256</v>
      </c>
      <c r="BT79" s="15">
        <f t="shared" si="37"/>
        <v>217.95828289555666</v>
      </c>
      <c r="BU79" s="16">
        <v>70.510638297872333</v>
      </c>
      <c r="BV79" s="17">
        <v>4.92</v>
      </c>
      <c r="BW79" s="17">
        <v>5.0999999999999996</v>
      </c>
      <c r="BX79" s="90">
        <f t="shared" si="38"/>
        <v>51.026705202312129</v>
      </c>
    </row>
    <row r="80" spans="2:76" x14ac:dyDescent="0.3">
      <c r="B80" s="58">
        <v>2023</v>
      </c>
      <c r="C80" t="s">
        <v>46</v>
      </c>
      <c r="D80">
        <v>322</v>
      </c>
      <c r="E80">
        <v>3</v>
      </c>
      <c r="F80">
        <v>3</v>
      </c>
      <c r="G80" t="s">
        <v>40</v>
      </c>
      <c r="H80">
        <v>3</v>
      </c>
      <c r="I80" s="18" t="s">
        <v>51</v>
      </c>
      <c r="J80">
        <v>37</v>
      </c>
      <c r="K80">
        <v>51</v>
      </c>
      <c r="L80" s="16">
        <f t="shared" si="21"/>
        <v>182.34562784915045</v>
      </c>
      <c r="M80">
        <v>48</v>
      </c>
      <c r="N80">
        <v>50</v>
      </c>
      <c r="O80">
        <v>39</v>
      </c>
      <c r="P80">
        <v>50</v>
      </c>
      <c r="Q80" s="62">
        <f t="shared" si="22"/>
        <v>46.75</v>
      </c>
      <c r="R80">
        <v>66</v>
      </c>
      <c r="S80">
        <v>64</v>
      </c>
      <c r="T80">
        <v>61</v>
      </c>
      <c r="U80">
        <v>65</v>
      </c>
      <c r="V80" s="62">
        <f t="shared" si="23"/>
        <v>64</v>
      </c>
      <c r="W80">
        <v>76</v>
      </c>
      <c r="X80">
        <v>81</v>
      </c>
      <c r="Y80">
        <v>86</v>
      </c>
      <c r="Z80">
        <v>85</v>
      </c>
      <c r="AA80" s="62">
        <f t="shared" si="24"/>
        <v>82</v>
      </c>
      <c r="AB80">
        <v>91</v>
      </c>
      <c r="AC80">
        <v>89</v>
      </c>
      <c r="AD80">
        <v>95</v>
      </c>
      <c r="AE80">
        <v>94</v>
      </c>
      <c r="AF80" s="62">
        <f t="shared" si="25"/>
        <v>92.25</v>
      </c>
      <c r="AG80">
        <v>99</v>
      </c>
      <c r="AH80">
        <v>92</v>
      </c>
      <c r="AI80">
        <v>94</v>
      </c>
      <c r="AJ80">
        <v>92</v>
      </c>
      <c r="AK80" s="62">
        <f t="shared" si="26"/>
        <v>94.25</v>
      </c>
      <c r="AP80" s="62" t="e">
        <f t="shared" si="27"/>
        <v>#DIV/0!</v>
      </c>
      <c r="AQ80" s="88">
        <v>45097</v>
      </c>
      <c r="AR80">
        <v>77</v>
      </c>
      <c r="AS80">
        <v>71</v>
      </c>
      <c r="AT80">
        <v>72</v>
      </c>
      <c r="AU80">
        <v>74</v>
      </c>
      <c r="AV80" s="62">
        <f t="shared" si="20"/>
        <v>73.5</v>
      </c>
      <c r="AW80">
        <v>5</v>
      </c>
      <c r="AX80">
        <v>0</v>
      </c>
      <c r="AY80">
        <v>0</v>
      </c>
      <c r="AZ80" s="15">
        <f t="shared" si="28"/>
        <v>3.3333333333333335</v>
      </c>
      <c r="BD80" s="15">
        <f t="shared" si="29"/>
        <v>0</v>
      </c>
      <c r="BH80" s="15">
        <f t="shared" si="30"/>
        <v>0</v>
      </c>
      <c r="BI80">
        <v>19.329999999999998</v>
      </c>
      <c r="BJ80">
        <v>17.260000000000002</v>
      </c>
      <c r="BK80" s="12">
        <f t="shared" si="31"/>
        <v>10.708742886704588</v>
      </c>
      <c r="BL80" s="12">
        <f t="shared" si="32"/>
        <v>-9.7165028453181641</v>
      </c>
      <c r="BM80" s="13">
        <f t="shared" si="33"/>
        <v>45124.283497154684</v>
      </c>
      <c r="BN80" s="90">
        <f t="shared" si="34"/>
        <v>76.283497154683573</v>
      </c>
      <c r="BO80">
        <v>6</v>
      </c>
      <c r="BP80" s="17">
        <f t="shared" si="35"/>
        <v>8.6867999999999999</v>
      </c>
      <c r="BQ80">
        <v>8880</v>
      </c>
      <c r="BR80">
        <v>10.4</v>
      </c>
      <c r="BS80" s="15">
        <f t="shared" si="36"/>
        <v>10588.758546952242</v>
      </c>
      <c r="BT80" s="15">
        <f t="shared" si="37"/>
        <v>196.84230632154808</v>
      </c>
      <c r="BU80" s="16">
        <v>70.212765957446805</v>
      </c>
      <c r="BV80" s="17">
        <v>4.92</v>
      </c>
      <c r="BW80" s="17">
        <v>4.46</v>
      </c>
      <c r="BX80" s="90">
        <f t="shared" si="38"/>
        <v>48.5808092485549</v>
      </c>
    </row>
    <row r="81" spans="2:76" x14ac:dyDescent="0.3">
      <c r="B81" s="58">
        <v>2023</v>
      </c>
      <c r="C81" t="s">
        <v>46</v>
      </c>
      <c r="D81">
        <v>323</v>
      </c>
      <c r="E81">
        <v>3</v>
      </c>
      <c r="F81">
        <v>5</v>
      </c>
      <c r="G81" t="s">
        <v>40</v>
      </c>
      <c r="H81">
        <v>5</v>
      </c>
      <c r="I81" s="18" t="s">
        <v>54</v>
      </c>
      <c r="J81">
        <v>44</v>
      </c>
      <c r="K81">
        <v>35</v>
      </c>
      <c r="L81" s="16">
        <f t="shared" si="21"/>
        <v>163.69664318276006</v>
      </c>
      <c r="M81">
        <v>46</v>
      </c>
      <c r="N81">
        <v>50</v>
      </c>
      <c r="O81">
        <v>43</v>
      </c>
      <c r="P81">
        <v>46</v>
      </c>
      <c r="Q81" s="62">
        <f t="shared" si="22"/>
        <v>46.25</v>
      </c>
      <c r="R81">
        <v>62</v>
      </c>
      <c r="S81">
        <v>64</v>
      </c>
      <c r="T81">
        <v>65</v>
      </c>
      <c r="U81">
        <v>66</v>
      </c>
      <c r="V81" s="62">
        <f t="shared" si="23"/>
        <v>64.25</v>
      </c>
      <c r="W81">
        <v>75</v>
      </c>
      <c r="X81">
        <v>71</v>
      </c>
      <c r="Y81">
        <v>71</v>
      </c>
      <c r="Z81">
        <v>71</v>
      </c>
      <c r="AA81" s="62">
        <f t="shared" si="24"/>
        <v>72</v>
      </c>
      <c r="AB81">
        <v>77</v>
      </c>
      <c r="AC81">
        <v>82</v>
      </c>
      <c r="AD81">
        <v>85</v>
      </c>
      <c r="AE81">
        <v>87</v>
      </c>
      <c r="AF81" s="62">
        <f t="shared" si="25"/>
        <v>82.75</v>
      </c>
      <c r="AG81">
        <v>85</v>
      </c>
      <c r="AH81">
        <v>81</v>
      </c>
      <c r="AI81">
        <v>89</v>
      </c>
      <c r="AJ81">
        <v>88</v>
      </c>
      <c r="AK81" s="62">
        <f t="shared" si="26"/>
        <v>85.75</v>
      </c>
      <c r="AP81" s="62" t="e">
        <f t="shared" si="27"/>
        <v>#DIV/0!</v>
      </c>
      <c r="AQ81" s="88">
        <v>45097</v>
      </c>
      <c r="AR81">
        <v>70</v>
      </c>
      <c r="AS81">
        <v>71</v>
      </c>
      <c r="AT81">
        <v>65</v>
      </c>
      <c r="AU81">
        <v>67</v>
      </c>
      <c r="AV81" s="62">
        <f t="shared" si="20"/>
        <v>68.25</v>
      </c>
      <c r="AW81">
        <v>5</v>
      </c>
      <c r="AX81">
        <v>0</v>
      </c>
      <c r="AY81">
        <v>0</v>
      </c>
      <c r="AZ81" s="15">
        <f t="shared" si="28"/>
        <v>3.3333333333333335</v>
      </c>
      <c r="BD81" s="15">
        <f t="shared" si="29"/>
        <v>0</v>
      </c>
      <c r="BH81" s="15">
        <f t="shared" si="30"/>
        <v>0</v>
      </c>
      <c r="BI81">
        <v>21.21</v>
      </c>
      <c r="BJ81">
        <v>16.100000000000001</v>
      </c>
      <c r="BK81" s="12">
        <f t="shared" si="31"/>
        <v>24.092409240924091</v>
      </c>
      <c r="BL81" s="12">
        <f t="shared" si="32"/>
        <v>-4.3630363036303637</v>
      </c>
      <c r="BM81" s="13">
        <f t="shared" si="33"/>
        <v>45129.636963696372</v>
      </c>
      <c r="BN81" s="90">
        <f t="shared" si="34"/>
        <v>81.636963696371822</v>
      </c>
      <c r="BO81">
        <v>6</v>
      </c>
      <c r="BP81" s="17">
        <f t="shared" si="35"/>
        <v>8.6867999999999999</v>
      </c>
      <c r="BQ81">
        <v>9010</v>
      </c>
      <c r="BR81">
        <v>11.2</v>
      </c>
      <c r="BS81" s="15">
        <f t="shared" si="36"/>
        <v>10647.847601343718</v>
      </c>
      <c r="BT81" s="15">
        <f t="shared" si="37"/>
        <v>197.94075669164602</v>
      </c>
      <c r="BU81" s="16">
        <v>70.468085106382972</v>
      </c>
      <c r="BV81" s="17">
        <v>4.7799999999999994</v>
      </c>
      <c r="BW81" s="17">
        <v>4.9399999999999995</v>
      </c>
      <c r="BX81" s="90">
        <f t="shared" si="38"/>
        <v>49.892254335260105</v>
      </c>
    </row>
    <row r="82" spans="2:76" x14ac:dyDescent="0.3">
      <c r="B82" s="58">
        <v>2023</v>
      </c>
      <c r="C82" t="s">
        <v>46</v>
      </c>
      <c r="D82">
        <v>324</v>
      </c>
      <c r="E82">
        <v>3</v>
      </c>
      <c r="F82">
        <v>1</v>
      </c>
      <c r="G82" t="s">
        <v>40</v>
      </c>
      <c r="H82">
        <v>1</v>
      </c>
      <c r="I82" s="18" t="s">
        <v>0</v>
      </c>
      <c r="J82">
        <v>55</v>
      </c>
      <c r="K82">
        <v>35</v>
      </c>
      <c r="L82" s="16">
        <f t="shared" si="21"/>
        <v>186.48984666390388</v>
      </c>
      <c r="M82">
        <v>54</v>
      </c>
      <c r="N82">
        <v>45</v>
      </c>
      <c r="O82">
        <v>49</v>
      </c>
      <c r="P82">
        <v>52</v>
      </c>
      <c r="Q82" s="62">
        <f t="shared" si="22"/>
        <v>50</v>
      </c>
      <c r="R82">
        <v>71</v>
      </c>
      <c r="S82">
        <v>67</v>
      </c>
      <c r="T82">
        <v>62</v>
      </c>
      <c r="U82">
        <v>69</v>
      </c>
      <c r="V82" s="62">
        <f t="shared" si="23"/>
        <v>67.25</v>
      </c>
      <c r="W82">
        <v>90</v>
      </c>
      <c r="X82">
        <v>79</v>
      </c>
      <c r="Y82">
        <v>85</v>
      </c>
      <c r="Z82">
        <v>85</v>
      </c>
      <c r="AA82" s="62">
        <f t="shared" si="24"/>
        <v>84.75</v>
      </c>
      <c r="AB82">
        <v>86</v>
      </c>
      <c r="AC82">
        <v>91</v>
      </c>
      <c r="AD82">
        <v>91</v>
      </c>
      <c r="AE82">
        <v>92</v>
      </c>
      <c r="AF82" s="62">
        <f t="shared" si="25"/>
        <v>90</v>
      </c>
      <c r="AG82">
        <v>92</v>
      </c>
      <c r="AH82">
        <v>90</v>
      </c>
      <c r="AI82">
        <v>84</v>
      </c>
      <c r="AJ82">
        <v>88</v>
      </c>
      <c r="AK82" s="62">
        <f t="shared" si="26"/>
        <v>88.5</v>
      </c>
      <c r="AP82" s="62" t="e">
        <f t="shared" si="27"/>
        <v>#DIV/0!</v>
      </c>
      <c r="AQ82" s="88">
        <v>45097</v>
      </c>
      <c r="AR82">
        <v>72</v>
      </c>
      <c r="AS82">
        <v>77</v>
      </c>
      <c r="AT82">
        <v>66</v>
      </c>
      <c r="AU82">
        <v>71</v>
      </c>
      <c r="AV82" s="62">
        <f t="shared" si="20"/>
        <v>71.5</v>
      </c>
      <c r="AW82">
        <v>5</v>
      </c>
      <c r="AX82">
        <v>0</v>
      </c>
      <c r="AY82">
        <v>0</v>
      </c>
      <c r="AZ82" s="15">
        <f t="shared" si="28"/>
        <v>3.3333333333333335</v>
      </c>
      <c r="BD82" s="15">
        <f t="shared" si="29"/>
        <v>0</v>
      </c>
      <c r="BH82" s="15">
        <f t="shared" si="30"/>
        <v>0</v>
      </c>
      <c r="BI82">
        <v>18.670000000000002</v>
      </c>
      <c r="BJ82">
        <v>16.38</v>
      </c>
      <c r="BK82" s="12">
        <f t="shared" si="31"/>
        <v>12.265666845206226</v>
      </c>
      <c r="BL82" s="12">
        <f t="shared" si="32"/>
        <v>-9.0937332619175102</v>
      </c>
      <c r="BM82" s="13">
        <f t="shared" si="33"/>
        <v>45124.906266738086</v>
      </c>
      <c r="BN82" s="90">
        <f t="shared" si="34"/>
        <v>76.906266738085833</v>
      </c>
      <c r="BO82">
        <v>6</v>
      </c>
      <c r="BP82" s="17">
        <f t="shared" si="35"/>
        <v>8.6867999999999999</v>
      </c>
      <c r="BQ82">
        <v>8100</v>
      </c>
      <c r="BR82">
        <v>10.4</v>
      </c>
      <c r="BS82" s="15">
        <f t="shared" si="36"/>
        <v>9658.664890801032</v>
      </c>
      <c r="BT82" s="15">
        <f t="shared" si="37"/>
        <v>179.55210373924996</v>
      </c>
      <c r="BU82" s="16">
        <v>70.170212765957444</v>
      </c>
      <c r="BV82" s="17">
        <v>4.93</v>
      </c>
      <c r="BW82" s="17">
        <v>4.87</v>
      </c>
      <c r="BX82" s="90">
        <f t="shared" si="38"/>
        <v>50.756069364161846</v>
      </c>
    </row>
    <row r="83" spans="2:76" x14ac:dyDescent="0.3">
      <c r="B83" s="58">
        <v>2023</v>
      </c>
      <c r="C83" t="s">
        <v>46</v>
      </c>
      <c r="D83">
        <v>325</v>
      </c>
      <c r="E83">
        <v>3</v>
      </c>
      <c r="F83">
        <v>7</v>
      </c>
      <c r="G83" t="s">
        <v>40</v>
      </c>
      <c r="H83">
        <v>7</v>
      </c>
      <c r="I83" s="18" t="s">
        <v>56</v>
      </c>
      <c r="J83">
        <v>33</v>
      </c>
      <c r="K83">
        <v>46</v>
      </c>
      <c r="L83" s="16">
        <f t="shared" si="21"/>
        <v>163.69664318276006</v>
      </c>
      <c r="M83">
        <v>52</v>
      </c>
      <c r="N83">
        <v>53</v>
      </c>
      <c r="O83">
        <v>56</v>
      </c>
      <c r="P83">
        <v>55</v>
      </c>
      <c r="Q83" s="62">
        <f t="shared" si="22"/>
        <v>54</v>
      </c>
      <c r="R83">
        <v>67</v>
      </c>
      <c r="S83">
        <v>69</v>
      </c>
      <c r="T83">
        <v>71</v>
      </c>
      <c r="U83">
        <v>67</v>
      </c>
      <c r="V83" s="62">
        <f t="shared" si="23"/>
        <v>68.5</v>
      </c>
      <c r="W83">
        <v>76</v>
      </c>
      <c r="X83">
        <v>72</v>
      </c>
      <c r="Y83">
        <v>76</v>
      </c>
      <c r="Z83">
        <v>71</v>
      </c>
      <c r="AA83" s="62">
        <f t="shared" si="24"/>
        <v>73.75</v>
      </c>
      <c r="AB83">
        <v>83</v>
      </c>
      <c r="AC83">
        <v>84</v>
      </c>
      <c r="AD83">
        <v>79</v>
      </c>
      <c r="AE83">
        <v>77</v>
      </c>
      <c r="AF83" s="62">
        <f t="shared" si="25"/>
        <v>80.75</v>
      </c>
      <c r="AG83">
        <v>88</v>
      </c>
      <c r="AH83">
        <v>83</v>
      </c>
      <c r="AI83">
        <v>82</v>
      </c>
      <c r="AJ83">
        <v>84</v>
      </c>
      <c r="AK83" s="62">
        <f t="shared" si="26"/>
        <v>84.25</v>
      </c>
      <c r="AP83" s="62" t="e">
        <f t="shared" si="27"/>
        <v>#DIV/0!</v>
      </c>
      <c r="AQ83" s="88">
        <v>45097</v>
      </c>
      <c r="AR83">
        <v>72</v>
      </c>
      <c r="AS83">
        <v>67</v>
      </c>
      <c r="AT83">
        <v>69</v>
      </c>
      <c r="AU83">
        <v>62</v>
      </c>
      <c r="AV83" s="62">
        <f t="shared" si="20"/>
        <v>67.5</v>
      </c>
      <c r="AW83">
        <v>0</v>
      </c>
      <c r="AX83">
        <v>0</v>
      </c>
      <c r="AY83">
        <v>0</v>
      </c>
      <c r="AZ83" s="15">
        <f t="shared" si="28"/>
        <v>0</v>
      </c>
      <c r="BD83" s="15">
        <f t="shared" si="29"/>
        <v>0</v>
      </c>
      <c r="BH83" s="15">
        <f t="shared" si="30"/>
        <v>0</v>
      </c>
      <c r="BI83">
        <v>20.21</v>
      </c>
      <c r="BJ83">
        <v>16.05</v>
      </c>
      <c r="BK83" s="12">
        <f t="shared" si="31"/>
        <v>20.583869371598219</v>
      </c>
      <c r="BL83" s="12">
        <f t="shared" si="32"/>
        <v>-5.7664522513607128</v>
      </c>
      <c r="BM83" s="13">
        <f t="shared" si="33"/>
        <v>45128.233547748641</v>
      </c>
      <c r="BN83" s="90">
        <f t="shared" si="34"/>
        <v>80.233547748641286</v>
      </c>
      <c r="BO83">
        <v>6</v>
      </c>
      <c r="BP83" s="17">
        <f t="shared" si="35"/>
        <v>8.6867999999999999</v>
      </c>
      <c r="BQ83">
        <v>9150</v>
      </c>
      <c r="BR83">
        <v>12.2</v>
      </c>
      <c r="BS83" s="15">
        <f t="shared" si="36"/>
        <v>10691.525591549307</v>
      </c>
      <c r="BT83" s="15">
        <f t="shared" si="37"/>
        <v>198.75271933008327</v>
      </c>
      <c r="BU83" s="16">
        <v>71.319148936170208</v>
      </c>
      <c r="BV83" s="17">
        <v>4.93</v>
      </c>
      <c r="BW83" s="17">
        <v>5.29</v>
      </c>
      <c r="BX83" s="90">
        <f t="shared" si="38"/>
        <v>51.867976878612716</v>
      </c>
    </row>
    <row r="84" spans="2:76" x14ac:dyDescent="0.3">
      <c r="B84" s="58">
        <v>2023</v>
      </c>
      <c r="C84" t="s">
        <v>46</v>
      </c>
      <c r="D84">
        <v>326</v>
      </c>
      <c r="E84">
        <v>3</v>
      </c>
      <c r="F84">
        <v>2</v>
      </c>
      <c r="G84" t="s">
        <v>40</v>
      </c>
      <c r="H84">
        <v>2</v>
      </c>
      <c r="I84" s="18" t="s">
        <v>53</v>
      </c>
      <c r="J84">
        <v>32</v>
      </c>
      <c r="K84">
        <v>40</v>
      </c>
      <c r="L84" s="16">
        <f t="shared" si="21"/>
        <v>149.1918773311231</v>
      </c>
      <c r="M84">
        <v>45</v>
      </c>
      <c r="N84">
        <v>48</v>
      </c>
      <c r="O84">
        <v>53</v>
      </c>
      <c r="P84">
        <v>48</v>
      </c>
      <c r="Q84" s="62">
        <f t="shared" si="22"/>
        <v>48.5</v>
      </c>
      <c r="R84">
        <v>59</v>
      </c>
      <c r="S84">
        <v>62</v>
      </c>
      <c r="T84">
        <v>66</v>
      </c>
      <c r="U84">
        <v>61</v>
      </c>
      <c r="V84" s="62">
        <f t="shared" si="23"/>
        <v>62</v>
      </c>
      <c r="W84">
        <v>74</v>
      </c>
      <c r="X84">
        <v>80</v>
      </c>
      <c r="Y84">
        <v>80</v>
      </c>
      <c r="Z84">
        <v>80</v>
      </c>
      <c r="AA84" s="62">
        <f t="shared" si="24"/>
        <v>78.5</v>
      </c>
      <c r="AB84">
        <v>97</v>
      </c>
      <c r="AC84">
        <v>91</v>
      </c>
      <c r="AD84">
        <v>92</v>
      </c>
      <c r="AE84">
        <v>93</v>
      </c>
      <c r="AF84" s="62">
        <f t="shared" si="25"/>
        <v>93.25</v>
      </c>
      <c r="AG84">
        <v>90</v>
      </c>
      <c r="AH84">
        <v>97</v>
      </c>
      <c r="AI84">
        <v>92</v>
      </c>
      <c r="AJ84">
        <v>85</v>
      </c>
      <c r="AK84" s="62">
        <f t="shared" si="26"/>
        <v>91</v>
      </c>
      <c r="AP84" s="62" t="e">
        <f t="shared" si="27"/>
        <v>#DIV/0!</v>
      </c>
      <c r="AQ84" s="88">
        <v>45097</v>
      </c>
      <c r="AR84">
        <v>71</v>
      </c>
      <c r="AS84">
        <v>77</v>
      </c>
      <c r="AT84">
        <v>77</v>
      </c>
      <c r="AU84">
        <v>75</v>
      </c>
      <c r="AV84" s="62">
        <f t="shared" si="20"/>
        <v>75</v>
      </c>
      <c r="AW84">
        <v>5</v>
      </c>
      <c r="AX84">
        <v>0</v>
      </c>
      <c r="AY84">
        <v>0</v>
      </c>
      <c r="AZ84" s="15">
        <f t="shared" si="28"/>
        <v>3.3333333333333335</v>
      </c>
      <c r="BD84" s="15">
        <f t="shared" si="29"/>
        <v>0</v>
      </c>
      <c r="BH84" s="15">
        <f t="shared" si="30"/>
        <v>0</v>
      </c>
      <c r="BI84">
        <v>25.94</v>
      </c>
      <c r="BJ84">
        <v>16.5</v>
      </c>
      <c r="BK84" s="12">
        <f t="shared" si="31"/>
        <v>36.391673091750199</v>
      </c>
      <c r="BL84" s="12">
        <f t="shared" si="32"/>
        <v>0.55666923670007973</v>
      </c>
      <c r="BM84" s="13">
        <f t="shared" si="33"/>
        <v>45134.556669236699</v>
      </c>
      <c r="BN84" s="90">
        <f t="shared" si="34"/>
        <v>86.556669236699236</v>
      </c>
      <c r="BO84">
        <v>6</v>
      </c>
      <c r="BP84" s="17">
        <f t="shared" si="35"/>
        <v>8.6867999999999999</v>
      </c>
      <c r="BQ84">
        <v>8510</v>
      </c>
      <c r="BR84">
        <v>12.2</v>
      </c>
      <c r="BS84" s="15">
        <f t="shared" si="36"/>
        <v>9943.703036511979</v>
      </c>
      <c r="BT84" s="15">
        <f t="shared" si="37"/>
        <v>184.85088978131245</v>
      </c>
      <c r="BU84" s="16">
        <v>71.446808510638292</v>
      </c>
      <c r="BV84" s="17">
        <v>5.38</v>
      </c>
      <c r="BW84" s="17">
        <v>5.0200000000000005</v>
      </c>
      <c r="BX84" s="90">
        <f t="shared" si="38"/>
        <v>52.781502890173414</v>
      </c>
    </row>
    <row r="85" spans="2:76" x14ac:dyDescent="0.3">
      <c r="B85" s="58">
        <v>2023</v>
      </c>
      <c r="C85" t="s">
        <v>46</v>
      </c>
      <c r="D85">
        <v>327</v>
      </c>
      <c r="E85">
        <v>3</v>
      </c>
      <c r="F85">
        <v>8</v>
      </c>
      <c r="G85" t="s">
        <v>40</v>
      </c>
      <c r="H85">
        <v>8</v>
      </c>
      <c r="I85" s="18" t="s">
        <v>57</v>
      </c>
      <c r="J85">
        <v>41</v>
      </c>
      <c r="K85">
        <v>33</v>
      </c>
      <c r="L85" s="16">
        <f t="shared" si="21"/>
        <v>153.33609614587652</v>
      </c>
      <c r="M85">
        <v>49</v>
      </c>
      <c r="N85">
        <v>52</v>
      </c>
      <c r="O85">
        <v>52</v>
      </c>
      <c r="P85">
        <v>49</v>
      </c>
      <c r="Q85" s="62">
        <f t="shared" si="22"/>
        <v>50.5</v>
      </c>
      <c r="R85">
        <v>65</v>
      </c>
      <c r="S85">
        <v>66</v>
      </c>
      <c r="T85">
        <v>73</v>
      </c>
      <c r="U85">
        <v>72</v>
      </c>
      <c r="V85" s="62">
        <f t="shared" si="23"/>
        <v>69</v>
      </c>
      <c r="W85">
        <v>77</v>
      </c>
      <c r="X85">
        <v>90</v>
      </c>
      <c r="Y85">
        <v>92</v>
      </c>
      <c r="Z85">
        <v>79</v>
      </c>
      <c r="AA85" s="62">
        <f t="shared" si="24"/>
        <v>84.5</v>
      </c>
      <c r="AB85">
        <v>85</v>
      </c>
      <c r="AC85">
        <v>86</v>
      </c>
      <c r="AD85">
        <v>87</v>
      </c>
      <c r="AE85">
        <v>89</v>
      </c>
      <c r="AF85" s="62">
        <f t="shared" si="25"/>
        <v>86.75</v>
      </c>
      <c r="AG85">
        <v>85</v>
      </c>
      <c r="AH85">
        <v>93</v>
      </c>
      <c r="AI85">
        <v>85</v>
      </c>
      <c r="AJ85">
        <v>83</v>
      </c>
      <c r="AK85" s="62">
        <f t="shared" si="26"/>
        <v>86.5</v>
      </c>
      <c r="AP85" s="62" t="e">
        <f t="shared" si="27"/>
        <v>#DIV/0!</v>
      </c>
      <c r="AQ85" s="88">
        <v>45097</v>
      </c>
      <c r="AR85">
        <v>73</v>
      </c>
      <c r="AS85">
        <v>70</v>
      </c>
      <c r="AT85">
        <v>74</v>
      </c>
      <c r="AU85">
        <v>75</v>
      </c>
      <c r="AV85" s="62">
        <f t="shared" si="20"/>
        <v>73</v>
      </c>
      <c r="AW85">
        <v>0</v>
      </c>
      <c r="AX85">
        <v>0</v>
      </c>
      <c r="AY85">
        <v>0</v>
      </c>
      <c r="AZ85" s="15">
        <f t="shared" si="28"/>
        <v>0</v>
      </c>
      <c r="BD85" s="15">
        <f t="shared" si="29"/>
        <v>0</v>
      </c>
      <c r="BH85" s="15">
        <f t="shared" si="30"/>
        <v>0</v>
      </c>
      <c r="BI85">
        <v>18.88</v>
      </c>
      <c r="BJ85">
        <v>13.11</v>
      </c>
      <c r="BK85" s="12">
        <f t="shared" si="31"/>
        <v>30.5614406779661</v>
      </c>
      <c r="BL85" s="12">
        <f t="shared" si="32"/>
        <v>-1.7754237288135599</v>
      </c>
      <c r="BM85" s="13">
        <f t="shared" si="33"/>
        <v>45132.22457627119</v>
      </c>
      <c r="BN85" s="90">
        <f t="shared" si="34"/>
        <v>84.224576271190017</v>
      </c>
      <c r="BO85">
        <v>6</v>
      </c>
      <c r="BP85" s="17">
        <f t="shared" si="35"/>
        <v>8.6867999999999999</v>
      </c>
      <c r="BQ85">
        <v>8070</v>
      </c>
      <c r="BR85">
        <v>10.5</v>
      </c>
      <c r="BS85" s="15">
        <f t="shared" si="36"/>
        <v>9612.1522229861203</v>
      </c>
      <c r="BT85" s="15">
        <f t="shared" si="37"/>
        <v>178.68744517089584</v>
      </c>
      <c r="BU85" s="16">
        <v>70.042553191489361</v>
      </c>
      <c r="BV85" s="17">
        <v>4.43</v>
      </c>
      <c r="BW85" s="17">
        <v>4.4700000000000006</v>
      </c>
      <c r="BX85" s="90">
        <f t="shared" si="38"/>
        <v>46.043352601156073</v>
      </c>
    </row>
    <row r="86" spans="2:76" x14ac:dyDescent="0.3">
      <c r="B86" s="58">
        <v>2023</v>
      </c>
      <c r="C86" t="s">
        <v>46</v>
      </c>
      <c r="D86">
        <v>401</v>
      </c>
      <c r="E86">
        <v>4</v>
      </c>
      <c r="F86">
        <v>23</v>
      </c>
      <c r="G86" t="s">
        <v>50</v>
      </c>
      <c r="H86">
        <v>5</v>
      </c>
      <c r="I86" s="59" t="s">
        <v>54</v>
      </c>
      <c r="J86">
        <v>36</v>
      </c>
      <c r="K86">
        <v>39</v>
      </c>
      <c r="L86" s="16">
        <f t="shared" si="21"/>
        <v>155.40820555325323</v>
      </c>
      <c r="M86">
        <v>56</v>
      </c>
      <c r="N86">
        <v>51</v>
      </c>
      <c r="O86">
        <v>55</v>
      </c>
      <c r="P86">
        <v>54</v>
      </c>
      <c r="Q86" s="62">
        <f t="shared" si="22"/>
        <v>54</v>
      </c>
      <c r="R86">
        <v>66</v>
      </c>
      <c r="S86">
        <v>70</v>
      </c>
      <c r="T86">
        <v>67</v>
      </c>
      <c r="U86">
        <v>67</v>
      </c>
      <c r="V86" s="62">
        <f t="shared" si="23"/>
        <v>67.5</v>
      </c>
      <c r="W86">
        <v>72</v>
      </c>
      <c r="X86">
        <v>78</v>
      </c>
      <c r="Y86">
        <v>72</v>
      </c>
      <c r="Z86">
        <v>73</v>
      </c>
      <c r="AA86" s="62">
        <f t="shared" si="24"/>
        <v>73.75</v>
      </c>
      <c r="AB86">
        <v>74</v>
      </c>
      <c r="AC86">
        <v>81</v>
      </c>
      <c r="AD86">
        <v>89</v>
      </c>
      <c r="AE86">
        <v>76</v>
      </c>
      <c r="AF86" s="62">
        <f t="shared" si="25"/>
        <v>80</v>
      </c>
      <c r="AG86">
        <v>79</v>
      </c>
      <c r="AH86">
        <v>76</v>
      </c>
      <c r="AI86">
        <v>78</v>
      </c>
      <c r="AJ86">
        <v>77</v>
      </c>
      <c r="AK86" s="62">
        <f t="shared" si="26"/>
        <v>77.5</v>
      </c>
      <c r="AP86" s="62" t="e">
        <f t="shared" si="27"/>
        <v>#DIV/0!</v>
      </c>
      <c r="AQ86" s="88">
        <v>45097</v>
      </c>
      <c r="AR86">
        <v>61</v>
      </c>
      <c r="AS86">
        <v>64</v>
      </c>
      <c r="AT86">
        <v>63</v>
      </c>
      <c r="AU86">
        <v>65</v>
      </c>
      <c r="AV86" s="62">
        <f t="shared" si="20"/>
        <v>63.25</v>
      </c>
      <c r="AW86">
        <v>0</v>
      </c>
      <c r="AX86">
        <v>0</v>
      </c>
      <c r="AY86">
        <v>0</v>
      </c>
      <c r="AZ86" s="15">
        <f t="shared" si="28"/>
        <v>0</v>
      </c>
      <c r="BD86" s="15">
        <f t="shared" si="29"/>
        <v>0</v>
      </c>
      <c r="BH86" s="15">
        <f t="shared" si="30"/>
        <v>0</v>
      </c>
      <c r="BI86">
        <v>16.8</v>
      </c>
      <c r="BJ86">
        <v>11.58</v>
      </c>
      <c r="BK86" s="12">
        <f t="shared" si="31"/>
        <v>31.071428571428573</v>
      </c>
      <c r="BL86" s="12">
        <f t="shared" si="32"/>
        <v>-1.5714285714285707</v>
      </c>
      <c r="BM86" s="13">
        <f t="shared" si="33"/>
        <v>45132.428571428572</v>
      </c>
      <c r="BN86" s="90">
        <f t="shared" si="34"/>
        <v>84.428571428572468</v>
      </c>
      <c r="BO86">
        <v>6</v>
      </c>
      <c r="BP86" s="17">
        <f t="shared" si="35"/>
        <v>8.6867999999999999</v>
      </c>
      <c r="BQ86">
        <v>9520</v>
      </c>
      <c r="BR86">
        <v>10.3</v>
      </c>
      <c r="BS86" s="15">
        <f t="shared" si="36"/>
        <v>11364.581861097604</v>
      </c>
      <c r="BT86" s="15">
        <f t="shared" si="37"/>
        <v>211.26466280245546</v>
      </c>
      <c r="BU86" s="16">
        <v>68.851063829787236</v>
      </c>
      <c r="BV86" s="17">
        <v>5.4399999999999995</v>
      </c>
      <c r="BW86" s="17">
        <v>5.42</v>
      </c>
      <c r="BX86" s="90">
        <f t="shared" si="38"/>
        <v>56.308786127167629</v>
      </c>
    </row>
    <row r="87" spans="2:76" x14ac:dyDescent="0.3">
      <c r="B87" s="58">
        <v>2023</v>
      </c>
      <c r="C87" t="s">
        <v>46</v>
      </c>
      <c r="D87">
        <v>402</v>
      </c>
      <c r="E87">
        <v>4</v>
      </c>
      <c r="F87">
        <v>20</v>
      </c>
      <c r="G87" t="s">
        <v>50</v>
      </c>
      <c r="H87">
        <v>2</v>
      </c>
      <c r="I87" s="59" t="s">
        <v>53</v>
      </c>
      <c r="J87">
        <v>36</v>
      </c>
      <c r="K87">
        <v>42</v>
      </c>
      <c r="L87" s="16">
        <f t="shared" si="21"/>
        <v>161.62453377538336</v>
      </c>
      <c r="M87">
        <v>53</v>
      </c>
      <c r="N87">
        <v>50</v>
      </c>
      <c r="O87">
        <v>55</v>
      </c>
      <c r="P87">
        <v>54</v>
      </c>
      <c r="Q87" s="62">
        <f t="shared" si="22"/>
        <v>53</v>
      </c>
      <c r="R87">
        <v>65</v>
      </c>
      <c r="S87">
        <v>65</v>
      </c>
      <c r="T87">
        <v>69</v>
      </c>
      <c r="U87">
        <v>62</v>
      </c>
      <c r="V87" s="62">
        <f t="shared" si="23"/>
        <v>65.25</v>
      </c>
      <c r="W87">
        <v>69</v>
      </c>
      <c r="X87">
        <v>73</v>
      </c>
      <c r="Y87">
        <v>75</v>
      </c>
      <c r="Z87">
        <v>75</v>
      </c>
      <c r="AA87" s="62">
        <f t="shared" si="24"/>
        <v>73</v>
      </c>
      <c r="AB87">
        <v>69</v>
      </c>
      <c r="AC87">
        <v>74</v>
      </c>
      <c r="AD87">
        <v>74</v>
      </c>
      <c r="AE87">
        <v>76</v>
      </c>
      <c r="AF87" s="62">
        <f t="shared" si="25"/>
        <v>73.25</v>
      </c>
      <c r="AG87">
        <v>71</v>
      </c>
      <c r="AH87">
        <v>72</v>
      </c>
      <c r="AI87">
        <v>76</v>
      </c>
      <c r="AJ87">
        <v>71</v>
      </c>
      <c r="AK87" s="62">
        <f t="shared" si="26"/>
        <v>72.5</v>
      </c>
      <c r="AP87" s="62" t="e">
        <f t="shared" si="27"/>
        <v>#DIV/0!</v>
      </c>
      <c r="AQ87" s="88">
        <v>45097</v>
      </c>
      <c r="AR87">
        <v>59</v>
      </c>
      <c r="AS87">
        <v>55</v>
      </c>
      <c r="AT87">
        <v>63</v>
      </c>
      <c r="AU87">
        <v>60</v>
      </c>
      <c r="AV87" s="62">
        <f t="shared" si="20"/>
        <v>59.25</v>
      </c>
      <c r="AW87">
        <v>0</v>
      </c>
      <c r="AX87">
        <v>0</v>
      </c>
      <c r="AY87">
        <v>0</v>
      </c>
      <c r="AZ87" s="15">
        <f t="shared" si="28"/>
        <v>0</v>
      </c>
      <c r="BD87" s="15">
        <f t="shared" si="29"/>
        <v>0</v>
      </c>
      <c r="BH87" s="15">
        <f t="shared" si="30"/>
        <v>0</v>
      </c>
      <c r="BI87">
        <v>19.309999999999999</v>
      </c>
      <c r="BJ87">
        <v>15.33</v>
      </c>
      <c r="BK87" s="12">
        <f t="shared" si="31"/>
        <v>20.611082340756077</v>
      </c>
      <c r="BL87" s="12">
        <f t="shared" si="32"/>
        <v>-5.7555670636975691</v>
      </c>
      <c r="BM87" s="13">
        <f t="shared" si="33"/>
        <v>45128.244432936299</v>
      </c>
      <c r="BN87" s="90">
        <f t="shared" si="34"/>
        <v>80.244432936298836</v>
      </c>
      <c r="BO87">
        <v>6</v>
      </c>
      <c r="BP87" s="17">
        <f t="shared" si="35"/>
        <v>8.6867999999999999</v>
      </c>
      <c r="BQ87">
        <v>8640</v>
      </c>
      <c r="BR87">
        <v>9.8000000000000007</v>
      </c>
      <c r="BS87" s="15">
        <f t="shared" si="36"/>
        <v>10371.566347026823</v>
      </c>
      <c r="BT87" s="15">
        <f t="shared" si="37"/>
        <v>192.80475901524224</v>
      </c>
      <c r="BU87" s="16">
        <v>67.574468085106389</v>
      </c>
      <c r="BV87" s="17">
        <v>4.83</v>
      </c>
      <c r="BW87" s="17">
        <v>7.92</v>
      </c>
      <c r="BX87" s="90">
        <f t="shared" si="38"/>
        <v>66.47687861271676</v>
      </c>
    </row>
    <row r="88" spans="2:76" x14ac:dyDescent="0.3">
      <c r="B88" s="58">
        <v>2023</v>
      </c>
      <c r="C88" t="s">
        <v>46</v>
      </c>
      <c r="D88">
        <v>403</v>
      </c>
      <c r="E88">
        <v>4</v>
      </c>
      <c r="F88">
        <v>27</v>
      </c>
      <c r="G88" t="s">
        <v>50</v>
      </c>
      <c r="H88">
        <v>9</v>
      </c>
      <c r="I88" s="59" t="s">
        <v>58</v>
      </c>
      <c r="J88">
        <v>43</v>
      </c>
      <c r="K88">
        <v>45</v>
      </c>
      <c r="L88" s="16">
        <f t="shared" si="21"/>
        <v>182.34562784915045</v>
      </c>
      <c r="M88">
        <v>58</v>
      </c>
      <c r="N88">
        <v>60</v>
      </c>
      <c r="O88">
        <v>51</v>
      </c>
      <c r="P88">
        <v>58</v>
      </c>
      <c r="Q88" s="62">
        <f t="shared" si="22"/>
        <v>56.75</v>
      </c>
      <c r="R88">
        <v>69</v>
      </c>
      <c r="S88">
        <v>63</v>
      </c>
      <c r="T88">
        <v>69</v>
      </c>
      <c r="U88">
        <v>71</v>
      </c>
      <c r="V88" s="62">
        <f t="shared" si="23"/>
        <v>68</v>
      </c>
      <c r="W88">
        <v>74</v>
      </c>
      <c r="X88">
        <v>71</v>
      </c>
      <c r="Y88">
        <v>75</v>
      </c>
      <c r="Z88">
        <v>70</v>
      </c>
      <c r="AA88" s="62">
        <f t="shared" si="24"/>
        <v>72.5</v>
      </c>
      <c r="AB88">
        <v>72</v>
      </c>
      <c r="AC88">
        <v>76</v>
      </c>
      <c r="AD88">
        <v>78</v>
      </c>
      <c r="AE88">
        <v>73</v>
      </c>
      <c r="AF88" s="62">
        <f t="shared" si="25"/>
        <v>74.75</v>
      </c>
      <c r="AG88">
        <v>72</v>
      </c>
      <c r="AH88">
        <v>76</v>
      </c>
      <c r="AI88">
        <v>75</v>
      </c>
      <c r="AJ88">
        <v>73</v>
      </c>
      <c r="AK88" s="62">
        <f t="shared" si="26"/>
        <v>74</v>
      </c>
      <c r="AP88" s="62" t="e">
        <f t="shared" si="27"/>
        <v>#DIV/0!</v>
      </c>
      <c r="AQ88" s="88">
        <v>45097</v>
      </c>
      <c r="AR88">
        <v>59</v>
      </c>
      <c r="AS88">
        <v>60</v>
      </c>
      <c r="AT88">
        <v>58</v>
      </c>
      <c r="AU88">
        <v>58</v>
      </c>
      <c r="AV88" s="62">
        <f t="shared" si="20"/>
        <v>58.75</v>
      </c>
      <c r="AW88">
        <v>0</v>
      </c>
      <c r="AX88">
        <v>0</v>
      </c>
      <c r="AY88">
        <v>0</v>
      </c>
      <c r="AZ88" s="15">
        <f t="shared" si="28"/>
        <v>0</v>
      </c>
      <c r="BD88" s="15">
        <f t="shared" si="29"/>
        <v>0</v>
      </c>
      <c r="BH88" s="15">
        <f t="shared" si="30"/>
        <v>0</v>
      </c>
      <c r="BI88">
        <v>13.45</v>
      </c>
      <c r="BJ88">
        <v>11.82</v>
      </c>
      <c r="BK88" s="12">
        <f t="shared" si="31"/>
        <v>12.118959107806685</v>
      </c>
      <c r="BL88" s="12">
        <f t="shared" si="32"/>
        <v>-9.1524163568773265</v>
      </c>
      <c r="BM88" s="13">
        <f t="shared" si="33"/>
        <v>45124.847583643124</v>
      </c>
      <c r="BN88" s="90">
        <f t="shared" si="34"/>
        <v>76.847583643124381</v>
      </c>
      <c r="BO88">
        <v>6</v>
      </c>
      <c r="BP88" s="17">
        <f t="shared" si="35"/>
        <v>8.6867999999999999</v>
      </c>
      <c r="BQ88">
        <v>9860</v>
      </c>
      <c r="BR88">
        <v>11.1</v>
      </c>
      <c r="BS88" s="15">
        <f t="shared" si="36"/>
        <v>11665.483554744282</v>
      </c>
      <c r="BT88" s="15">
        <f t="shared" si="37"/>
        <v>216.85834813306676</v>
      </c>
      <c r="BU88" s="16">
        <v>68.7659574468085</v>
      </c>
      <c r="BV88" s="17">
        <v>5.1899999999999995</v>
      </c>
      <c r="BW88" s="17">
        <v>5.18</v>
      </c>
      <c r="BX88" s="90">
        <f t="shared" si="38"/>
        <v>53.288612716762998</v>
      </c>
    </row>
    <row r="89" spans="2:76" x14ac:dyDescent="0.3">
      <c r="B89" s="58">
        <v>2023</v>
      </c>
      <c r="C89" t="s">
        <v>46</v>
      </c>
      <c r="D89">
        <v>404</v>
      </c>
      <c r="E89">
        <v>4</v>
      </c>
      <c r="F89">
        <v>25</v>
      </c>
      <c r="G89" t="s">
        <v>50</v>
      </c>
      <c r="H89">
        <v>7</v>
      </c>
      <c r="I89" s="59" t="s">
        <v>56</v>
      </c>
      <c r="J89">
        <v>42</v>
      </c>
      <c r="K89">
        <v>37</v>
      </c>
      <c r="L89" s="16">
        <f t="shared" si="21"/>
        <v>163.69664318276006</v>
      </c>
      <c r="M89">
        <v>58</v>
      </c>
      <c r="N89">
        <v>60</v>
      </c>
      <c r="O89">
        <v>62</v>
      </c>
      <c r="P89">
        <v>59</v>
      </c>
      <c r="Q89" s="62">
        <f t="shared" si="22"/>
        <v>59.75</v>
      </c>
      <c r="R89">
        <v>70</v>
      </c>
      <c r="S89">
        <v>77</v>
      </c>
      <c r="T89">
        <v>72</v>
      </c>
      <c r="U89">
        <v>73</v>
      </c>
      <c r="V89" s="62">
        <f t="shared" si="23"/>
        <v>73</v>
      </c>
      <c r="W89">
        <v>70</v>
      </c>
      <c r="X89">
        <v>79</v>
      </c>
      <c r="Y89">
        <v>89</v>
      </c>
      <c r="Z89">
        <v>77</v>
      </c>
      <c r="AA89" s="62">
        <f t="shared" si="24"/>
        <v>78.75</v>
      </c>
      <c r="AB89">
        <v>74</v>
      </c>
      <c r="AC89">
        <v>80</v>
      </c>
      <c r="AD89">
        <v>86</v>
      </c>
      <c r="AE89">
        <v>77</v>
      </c>
      <c r="AF89" s="62">
        <f t="shared" si="25"/>
        <v>79.25</v>
      </c>
      <c r="AG89">
        <v>73</v>
      </c>
      <c r="AH89">
        <v>77</v>
      </c>
      <c r="AI89">
        <v>76</v>
      </c>
      <c r="AJ89">
        <v>78</v>
      </c>
      <c r="AK89" s="62">
        <f t="shared" si="26"/>
        <v>76</v>
      </c>
      <c r="AP89" s="62" t="e">
        <f t="shared" si="27"/>
        <v>#DIV/0!</v>
      </c>
      <c r="AQ89" s="88">
        <v>45097</v>
      </c>
      <c r="AR89">
        <v>65</v>
      </c>
      <c r="AS89">
        <v>67</v>
      </c>
      <c r="AT89">
        <v>56</v>
      </c>
      <c r="AU89">
        <v>60</v>
      </c>
      <c r="AV89" s="62">
        <f t="shared" si="20"/>
        <v>62</v>
      </c>
      <c r="AW89">
        <v>0</v>
      </c>
      <c r="AX89">
        <v>0</v>
      </c>
      <c r="AY89">
        <v>0</v>
      </c>
      <c r="AZ89" s="15">
        <f t="shared" si="28"/>
        <v>0</v>
      </c>
      <c r="BD89" s="15">
        <f t="shared" si="29"/>
        <v>0</v>
      </c>
      <c r="BH89" s="15">
        <f t="shared" si="30"/>
        <v>0</v>
      </c>
      <c r="BI89">
        <v>17.690000000000001</v>
      </c>
      <c r="BJ89">
        <v>13.6</v>
      </c>
      <c r="BK89" s="12">
        <f t="shared" si="31"/>
        <v>23.120407009609956</v>
      </c>
      <c r="BL89" s="12">
        <f t="shared" si="32"/>
        <v>-4.7518371961560177</v>
      </c>
      <c r="BM89" s="13">
        <f t="shared" si="33"/>
        <v>45129.248162803844</v>
      </c>
      <c r="BN89" s="90">
        <f t="shared" si="34"/>
        <v>81.248162803844025</v>
      </c>
      <c r="BO89">
        <v>6</v>
      </c>
      <c r="BP89" s="17">
        <f t="shared" si="35"/>
        <v>8.6867999999999999</v>
      </c>
      <c r="BQ89">
        <v>10050</v>
      </c>
      <c r="BR89">
        <v>10.4</v>
      </c>
      <c r="BS89" s="15">
        <f t="shared" si="36"/>
        <v>11983.899031179057</v>
      </c>
      <c r="BT89" s="15">
        <f t="shared" si="37"/>
        <v>222.7776101949953</v>
      </c>
      <c r="BU89" s="16">
        <v>69.021276595744666</v>
      </c>
      <c r="BV89" s="17">
        <v>5.32</v>
      </c>
      <c r="BW89" s="17">
        <v>5.47</v>
      </c>
      <c r="BX89" s="90">
        <f t="shared" si="38"/>
        <v>55.883468208092481</v>
      </c>
    </row>
    <row r="90" spans="2:76" x14ac:dyDescent="0.3">
      <c r="B90" s="58">
        <v>2023</v>
      </c>
      <c r="C90" t="s">
        <v>46</v>
      </c>
      <c r="D90">
        <v>405</v>
      </c>
      <c r="E90">
        <v>4</v>
      </c>
      <c r="F90">
        <v>24</v>
      </c>
      <c r="G90" t="s">
        <v>50</v>
      </c>
      <c r="H90">
        <v>6</v>
      </c>
      <c r="I90" s="59" t="s">
        <v>55</v>
      </c>
      <c r="J90">
        <v>39</v>
      </c>
      <c r="K90">
        <v>37</v>
      </c>
      <c r="L90" s="16">
        <f t="shared" si="21"/>
        <v>157.48031496062993</v>
      </c>
      <c r="M90">
        <v>62</v>
      </c>
      <c r="N90">
        <v>60</v>
      </c>
      <c r="O90">
        <v>66</v>
      </c>
      <c r="P90">
        <v>58</v>
      </c>
      <c r="Q90" s="62">
        <f t="shared" si="22"/>
        <v>61.5</v>
      </c>
      <c r="R90">
        <v>71</v>
      </c>
      <c r="S90">
        <v>70</v>
      </c>
      <c r="T90">
        <v>72</v>
      </c>
      <c r="U90">
        <v>73</v>
      </c>
      <c r="V90" s="62">
        <f t="shared" si="23"/>
        <v>71.5</v>
      </c>
      <c r="W90">
        <v>70</v>
      </c>
      <c r="X90">
        <v>71</v>
      </c>
      <c r="Y90">
        <v>76</v>
      </c>
      <c r="Z90">
        <v>75</v>
      </c>
      <c r="AA90" s="62">
        <f t="shared" si="24"/>
        <v>73</v>
      </c>
      <c r="AB90">
        <v>73</v>
      </c>
      <c r="AC90">
        <v>74</v>
      </c>
      <c r="AD90">
        <v>77</v>
      </c>
      <c r="AE90">
        <v>79</v>
      </c>
      <c r="AF90" s="62">
        <f t="shared" si="25"/>
        <v>75.75</v>
      </c>
      <c r="AG90">
        <v>80</v>
      </c>
      <c r="AH90">
        <v>78</v>
      </c>
      <c r="AI90">
        <v>82</v>
      </c>
      <c r="AJ90">
        <v>81</v>
      </c>
      <c r="AK90" s="62">
        <f t="shared" si="26"/>
        <v>80.25</v>
      </c>
      <c r="AP90" s="62" t="e">
        <f t="shared" si="27"/>
        <v>#DIV/0!</v>
      </c>
      <c r="AQ90" s="88">
        <v>45097</v>
      </c>
      <c r="AR90">
        <v>64</v>
      </c>
      <c r="AS90">
        <v>59</v>
      </c>
      <c r="AT90">
        <v>62</v>
      </c>
      <c r="AU90">
        <v>62</v>
      </c>
      <c r="AV90" s="62">
        <f t="shared" si="20"/>
        <v>61.75</v>
      </c>
      <c r="AW90">
        <v>0</v>
      </c>
      <c r="AX90">
        <v>0</v>
      </c>
      <c r="AY90">
        <v>0</v>
      </c>
      <c r="AZ90" s="15">
        <f t="shared" si="28"/>
        <v>0</v>
      </c>
      <c r="BD90" s="15">
        <f t="shared" si="29"/>
        <v>0</v>
      </c>
      <c r="BH90" s="15">
        <f t="shared" si="30"/>
        <v>0</v>
      </c>
      <c r="BI90">
        <v>17.7</v>
      </c>
      <c r="BJ90">
        <v>11.07</v>
      </c>
      <c r="BK90" s="12">
        <f t="shared" si="31"/>
        <v>37.457627118644069</v>
      </c>
      <c r="BL90" s="12">
        <f t="shared" si="32"/>
        <v>0.98305084745762772</v>
      </c>
      <c r="BM90" s="13">
        <f t="shared" si="33"/>
        <v>45134.983050847455</v>
      </c>
      <c r="BN90" s="90">
        <f t="shared" si="34"/>
        <v>86.983050847455161</v>
      </c>
      <c r="BO90">
        <v>6</v>
      </c>
      <c r="BP90" s="17">
        <f t="shared" si="35"/>
        <v>8.6867999999999999</v>
      </c>
      <c r="BQ90">
        <v>10710</v>
      </c>
      <c r="BR90">
        <v>12.5</v>
      </c>
      <c r="BS90" s="15">
        <f t="shared" si="36"/>
        <v>12471.583355092476</v>
      </c>
      <c r="BT90" s="15">
        <f t="shared" si="37"/>
        <v>231.84353672928324</v>
      </c>
      <c r="BU90" s="16">
        <v>69.021276595744666</v>
      </c>
      <c r="BV90" s="17">
        <v>5.42</v>
      </c>
      <c r="BW90" s="17">
        <v>5.3</v>
      </c>
      <c r="BX90" s="90">
        <f t="shared" si="38"/>
        <v>54.21965317919075</v>
      </c>
    </row>
    <row r="91" spans="2:76" x14ac:dyDescent="0.3">
      <c r="B91" s="58">
        <v>2023</v>
      </c>
      <c r="C91" t="s">
        <v>46</v>
      </c>
      <c r="D91">
        <v>406</v>
      </c>
      <c r="E91">
        <v>4</v>
      </c>
      <c r="F91">
        <v>22</v>
      </c>
      <c r="G91" t="s">
        <v>50</v>
      </c>
      <c r="H91">
        <v>4</v>
      </c>
      <c r="I91" s="59" t="s">
        <v>52</v>
      </c>
      <c r="J91">
        <v>44</v>
      </c>
      <c r="K91">
        <v>38</v>
      </c>
      <c r="L91" s="16">
        <f t="shared" si="21"/>
        <v>169.91297140489019</v>
      </c>
      <c r="M91">
        <v>61</v>
      </c>
      <c r="N91">
        <v>65</v>
      </c>
      <c r="O91">
        <v>61</v>
      </c>
      <c r="P91">
        <v>56</v>
      </c>
      <c r="Q91" s="62">
        <f t="shared" si="22"/>
        <v>60.75</v>
      </c>
      <c r="R91">
        <v>70</v>
      </c>
      <c r="S91">
        <v>72</v>
      </c>
      <c r="T91">
        <v>76</v>
      </c>
      <c r="U91">
        <v>72</v>
      </c>
      <c r="V91" s="62">
        <f t="shared" si="23"/>
        <v>72.5</v>
      </c>
      <c r="W91">
        <v>78</v>
      </c>
      <c r="X91">
        <v>74</v>
      </c>
      <c r="Y91">
        <v>77</v>
      </c>
      <c r="Z91">
        <v>73</v>
      </c>
      <c r="AA91" s="62">
        <f t="shared" si="24"/>
        <v>75.5</v>
      </c>
      <c r="AB91">
        <v>73</v>
      </c>
      <c r="AC91">
        <v>76</v>
      </c>
      <c r="AD91">
        <v>80</v>
      </c>
      <c r="AE91">
        <v>81</v>
      </c>
      <c r="AF91" s="62">
        <f t="shared" si="25"/>
        <v>77.5</v>
      </c>
      <c r="AG91">
        <v>76</v>
      </c>
      <c r="AH91">
        <v>79</v>
      </c>
      <c r="AI91">
        <v>81</v>
      </c>
      <c r="AJ91">
        <v>80</v>
      </c>
      <c r="AK91" s="62">
        <f t="shared" si="26"/>
        <v>79</v>
      </c>
      <c r="AP91" s="62" t="e">
        <f t="shared" si="27"/>
        <v>#DIV/0!</v>
      </c>
      <c r="AQ91" s="88">
        <v>45097</v>
      </c>
      <c r="AR91">
        <v>67</v>
      </c>
      <c r="AS91">
        <v>68</v>
      </c>
      <c r="AT91">
        <v>69</v>
      </c>
      <c r="AU91">
        <v>57</v>
      </c>
      <c r="AV91" s="62">
        <f t="shared" si="20"/>
        <v>65.25</v>
      </c>
      <c r="AW91">
        <v>0</v>
      </c>
      <c r="AX91">
        <v>0</v>
      </c>
      <c r="AY91">
        <v>0</v>
      </c>
      <c r="AZ91" s="15">
        <f t="shared" si="28"/>
        <v>0</v>
      </c>
      <c r="BD91" s="15">
        <f t="shared" si="29"/>
        <v>0</v>
      </c>
      <c r="BH91" s="15">
        <f t="shared" si="30"/>
        <v>0</v>
      </c>
      <c r="BI91">
        <v>22.84</v>
      </c>
      <c r="BJ91">
        <v>16.62</v>
      </c>
      <c r="BK91" s="12">
        <f t="shared" si="31"/>
        <v>27.232924693520133</v>
      </c>
      <c r="BL91" s="12">
        <f t="shared" si="32"/>
        <v>-3.1068301225919468</v>
      </c>
      <c r="BM91" s="13">
        <f t="shared" si="33"/>
        <v>45130.89316987741</v>
      </c>
      <c r="BN91" s="90">
        <f t="shared" si="34"/>
        <v>82.893169877410401</v>
      </c>
      <c r="BO91">
        <v>6</v>
      </c>
      <c r="BP91" s="17">
        <f t="shared" si="35"/>
        <v>8.6867999999999999</v>
      </c>
      <c r="BQ91">
        <v>11420</v>
      </c>
      <c r="BR91">
        <v>12.1</v>
      </c>
      <c r="BS91" s="15">
        <f t="shared" si="36"/>
        <v>13359.156847103879</v>
      </c>
      <c r="BT91" s="15">
        <f t="shared" si="37"/>
        <v>248.3433003628285</v>
      </c>
      <c r="BU91" s="16">
        <v>69.702127659574472</v>
      </c>
      <c r="BV91" s="17">
        <v>5.66</v>
      </c>
      <c r="BW91" s="17">
        <v>5.54</v>
      </c>
      <c r="BX91" s="90">
        <f t="shared" si="38"/>
        <v>56.906358381502898</v>
      </c>
    </row>
    <row r="92" spans="2:76" x14ac:dyDescent="0.3">
      <c r="B92" s="58">
        <v>2023</v>
      </c>
      <c r="C92" t="s">
        <v>46</v>
      </c>
      <c r="D92">
        <v>407</v>
      </c>
      <c r="E92">
        <v>4</v>
      </c>
      <c r="F92">
        <v>19</v>
      </c>
      <c r="G92" t="s">
        <v>50</v>
      </c>
      <c r="H92">
        <v>1</v>
      </c>
      <c r="I92" s="59" t="s">
        <v>0</v>
      </c>
      <c r="J92">
        <v>41</v>
      </c>
      <c r="K92">
        <v>51</v>
      </c>
      <c r="L92" s="16">
        <f t="shared" si="21"/>
        <v>190.63406547865728</v>
      </c>
      <c r="M92">
        <v>60</v>
      </c>
      <c r="N92">
        <v>65</v>
      </c>
      <c r="O92">
        <v>55</v>
      </c>
      <c r="P92">
        <v>65</v>
      </c>
      <c r="Q92" s="62">
        <f t="shared" si="22"/>
        <v>61.25</v>
      </c>
      <c r="R92">
        <v>73</v>
      </c>
      <c r="S92">
        <v>69</v>
      </c>
      <c r="T92">
        <v>77</v>
      </c>
      <c r="U92">
        <v>78</v>
      </c>
      <c r="V92" s="62">
        <f t="shared" si="23"/>
        <v>74.25</v>
      </c>
      <c r="W92">
        <v>80</v>
      </c>
      <c r="X92">
        <v>83</v>
      </c>
      <c r="Y92">
        <v>82</v>
      </c>
      <c r="Z92">
        <v>77</v>
      </c>
      <c r="AA92" s="62">
        <f t="shared" si="24"/>
        <v>80.5</v>
      </c>
      <c r="AB92">
        <v>81</v>
      </c>
      <c r="AC92">
        <v>82</v>
      </c>
      <c r="AD92">
        <v>88</v>
      </c>
      <c r="AE92">
        <v>83</v>
      </c>
      <c r="AF92" s="62">
        <f t="shared" si="25"/>
        <v>83.5</v>
      </c>
      <c r="AG92">
        <v>82</v>
      </c>
      <c r="AH92">
        <v>82</v>
      </c>
      <c r="AI92">
        <v>80</v>
      </c>
      <c r="AJ92">
        <v>87</v>
      </c>
      <c r="AK92" s="62">
        <f t="shared" si="26"/>
        <v>82.75</v>
      </c>
      <c r="AP92" s="62" t="e">
        <f t="shared" si="27"/>
        <v>#DIV/0!</v>
      </c>
      <c r="AQ92" s="88">
        <v>45097</v>
      </c>
      <c r="AR92">
        <v>65</v>
      </c>
      <c r="AS92">
        <v>66</v>
      </c>
      <c r="AT92">
        <v>63</v>
      </c>
      <c r="AU92">
        <v>60</v>
      </c>
      <c r="AV92" s="62">
        <f t="shared" si="20"/>
        <v>63.5</v>
      </c>
      <c r="AW92">
        <v>0</v>
      </c>
      <c r="AX92">
        <v>0</v>
      </c>
      <c r="AY92">
        <v>0</v>
      </c>
      <c r="AZ92" s="15">
        <f t="shared" si="28"/>
        <v>0</v>
      </c>
      <c r="BD92" s="15">
        <f t="shared" si="29"/>
        <v>0</v>
      </c>
      <c r="BH92" s="15">
        <f t="shared" si="30"/>
        <v>0</v>
      </c>
      <c r="BI92">
        <v>14.56</v>
      </c>
      <c r="BJ92">
        <v>11.1</v>
      </c>
      <c r="BK92" s="12">
        <f t="shared" si="31"/>
        <v>23.76373626373627</v>
      </c>
      <c r="BL92" s="12">
        <f t="shared" si="32"/>
        <v>-4.4945054945054919</v>
      </c>
      <c r="BM92" s="13">
        <f t="shared" si="33"/>
        <v>45129.505494505494</v>
      </c>
      <c r="BN92" s="90">
        <f t="shared" si="34"/>
        <v>81.505494505494426</v>
      </c>
      <c r="BO92">
        <v>6</v>
      </c>
      <c r="BP92" s="17">
        <f t="shared" si="35"/>
        <v>8.6867999999999999</v>
      </c>
      <c r="BQ92">
        <v>10820</v>
      </c>
      <c r="BR92">
        <v>12.2</v>
      </c>
      <c r="BS92" s="15">
        <f t="shared" si="36"/>
        <v>12642.875071099836</v>
      </c>
      <c r="BT92" s="15">
        <f t="shared" si="37"/>
        <v>235.0278058089072</v>
      </c>
      <c r="BU92" s="16">
        <v>70.042553191489361</v>
      </c>
      <c r="BV92" s="17">
        <v>5.4</v>
      </c>
      <c r="BW92" s="17">
        <v>5.34</v>
      </c>
      <c r="BX92" s="90">
        <f t="shared" si="38"/>
        <v>54.507052023121396</v>
      </c>
    </row>
    <row r="93" spans="2:76" x14ac:dyDescent="0.3">
      <c r="B93" s="58">
        <v>2023</v>
      </c>
      <c r="C93" t="s">
        <v>46</v>
      </c>
      <c r="D93">
        <v>408</v>
      </c>
      <c r="E93">
        <v>4</v>
      </c>
      <c r="F93">
        <v>26</v>
      </c>
      <c r="G93" t="s">
        <v>50</v>
      </c>
      <c r="H93">
        <v>8</v>
      </c>
      <c r="I93" s="59" t="s">
        <v>57</v>
      </c>
      <c r="J93">
        <v>27</v>
      </c>
      <c r="K93">
        <v>45</v>
      </c>
      <c r="L93" s="16">
        <f t="shared" si="21"/>
        <v>149.1918773311231</v>
      </c>
      <c r="M93">
        <v>54</v>
      </c>
      <c r="N93">
        <v>60</v>
      </c>
      <c r="O93">
        <v>52</v>
      </c>
      <c r="P93">
        <v>56</v>
      </c>
      <c r="Q93" s="62">
        <f t="shared" si="22"/>
        <v>55.5</v>
      </c>
      <c r="R93">
        <v>67</v>
      </c>
      <c r="S93">
        <v>73</v>
      </c>
      <c r="T93">
        <v>73</v>
      </c>
      <c r="U93">
        <v>77</v>
      </c>
      <c r="V93" s="62">
        <f t="shared" si="23"/>
        <v>72.5</v>
      </c>
      <c r="W93">
        <v>76</v>
      </c>
      <c r="X93">
        <v>81</v>
      </c>
      <c r="Y93">
        <v>72</v>
      </c>
      <c r="Z93">
        <v>78</v>
      </c>
      <c r="AA93" s="62">
        <f t="shared" si="24"/>
        <v>76.75</v>
      </c>
      <c r="AB93">
        <v>79</v>
      </c>
      <c r="AC93">
        <v>81</v>
      </c>
      <c r="AD93">
        <v>80</v>
      </c>
      <c r="AE93">
        <v>82</v>
      </c>
      <c r="AF93" s="62">
        <f t="shared" si="25"/>
        <v>80.5</v>
      </c>
      <c r="AG93">
        <v>80</v>
      </c>
      <c r="AH93">
        <v>84</v>
      </c>
      <c r="AI93">
        <v>86</v>
      </c>
      <c r="AJ93">
        <v>82</v>
      </c>
      <c r="AK93" s="62">
        <f t="shared" si="26"/>
        <v>83</v>
      </c>
      <c r="AP93" s="62" t="e">
        <f t="shared" si="27"/>
        <v>#DIV/0!</v>
      </c>
      <c r="AQ93" s="88">
        <v>45097</v>
      </c>
      <c r="AR93">
        <v>63</v>
      </c>
      <c r="AS93">
        <v>65</v>
      </c>
      <c r="AT93">
        <v>71</v>
      </c>
      <c r="AU93">
        <v>68</v>
      </c>
      <c r="AV93" s="62">
        <f t="shared" si="20"/>
        <v>66.75</v>
      </c>
      <c r="AW93">
        <v>0</v>
      </c>
      <c r="AX93">
        <v>0</v>
      </c>
      <c r="AY93">
        <v>0</v>
      </c>
      <c r="AZ93" s="15">
        <f t="shared" si="28"/>
        <v>0</v>
      </c>
      <c r="BD93" s="15">
        <f t="shared" si="29"/>
        <v>0</v>
      </c>
      <c r="BH93" s="15">
        <f t="shared" si="30"/>
        <v>0</v>
      </c>
      <c r="BI93">
        <v>18.329999999999998</v>
      </c>
      <c r="BJ93">
        <v>13.3</v>
      </c>
      <c r="BK93" s="12">
        <f t="shared" si="31"/>
        <v>27.441352973267858</v>
      </c>
      <c r="BL93" s="12">
        <f t="shared" si="32"/>
        <v>-3.023458810692857</v>
      </c>
      <c r="BM93" s="13">
        <f t="shared" si="33"/>
        <v>45130.97654118931</v>
      </c>
      <c r="BN93" s="90">
        <f t="shared" si="34"/>
        <v>82.976541189309501</v>
      </c>
      <c r="BO93">
        <v>6</v>
      </c>
      <c r="BP93" s="17">
        <f t="shared" si="35"/>
        <v>8.6867999999999999</v>
      </c>
      <c r="BQ93">
        <v>10810</v>
      </c>
      <c r="BR93">
        <v>10.5</v>
      </c>
      <c r="BS93" s="15">
        <f t="shared" si="36"/>
        <v>12875.757810468398</v>
      </c>
      <c r="BT93" s="15">
        <f t="shared" si="37"/>
        <v>239.35703622024587</v>
      </c>
      <c r="BU93" s="16">
        <v>69.574468085106375</v>
      </c>
      <c r="BV93" s="17">
        <v>5.46</v>
      </c>
      <c r="BW93" s="17">
        <v>5.57</v>
      </c>
      <c r="BX93" s="90">
        <f t="shared" si="38"/>
        <v>57.062716763005788</v>
      </c>
    </row>
    <row r="94" spans="2:76" x14ac:dyDescent="0.3">
      <c r="B94" s="58">
        <v>2023</v>
      </c>
      <c r="C94" t="s">
        <v>46</v>
      </c>
      <c r="D94">
        <v>409</v>
      </c>
      <c r="E94">
        <v>4</v>
      </c>
      <c r="F94">
        <v>21</v>
      </c>
      <c r="G94" t="s">
        <v>50</v>
      </c>
      <c r="H94">
        <v>3</v>
      </c>
      <c r="I94" s="59" t="s">
        <v>51</v>
      </c>
      <c r="J94">
        <v>33</v>
      </c>
      <c r="K94">
        <v>41</v>
      </c>
      <c r="L94" s="16">
        <f t="shared" si="21"/>
        <v>153.33609614587652</v>
      </c>
      <c r="M94">
        <v>55</v>
      </c>
      <c r="N94">
        <v>56</v>
      </c>
      <c r="O94">
        <v>60</v>
      </c>
      <c r="P94">
        <v>60</v>
      </c>
      <c r="Q94" s="62">
        <f t="shared" si="22"/>
        <v>57.75</v>
      </c>
      <c r="R94">
        <v>74</v>
      </c>
      <c r="S94">
        <v>72</v>
      </c>
      <c r="T94">
        <v>72</v>
      </c>
      <c r="U94">
        <v>76</v>
      </c>
      <c r="V94" s="62">
        <f t="shared" si="23"/>
        <v>73.5</v>
      </c>
      <c r="W94">
        <v>84</v>
      </c>
      <c r="X94">
        <v>85</v>
      </c>
      <c r="Y94">
        <v>83</v>
      </c>
      <c r="Z94">
        <v>79</v>
      </c>
      <c r="AA94" s="62">
        <f t="shared" si="24"/>
        <v>82.75</v>
      </c>
      <c r="AB94">
        <v>82</v>
      </c>
      <c r="AC94">
        <v>84</v>
      </c>
      <c r="AD94">
        <v>87</v>
      </c>
      <c r="AE94">
        <v>82</v>
      </c>
      <c r="AF94" s="62">
        <f t="shared" si="25"/>
        <v>83.75</v>
      </c>
      <c r="AG94">
        <v>89</v>
      </c>
      <c r="AH94">
        <v>79</v>
      </c>
      <c r="AI94">
        <v>84</v>
      </c>
      <c r="AJ94">
        <v>85</v>
      </c>
      <c r="AK94" s="62">
        <f t="shared" si="26"/>
        <v>84.25</v>
      </c>
      <c r="AP94" s="62" t="e">
        <f t="shared" si="27"/>
        <v>#DIV/0!</v>
      </c>
      <c r="AQ94" s="88">
        <v>45097</v>
      </c>
      <c r="AR94">
        <v>61</v>
      </c>
      <c r="AS94">
        <v>64</v>
      </c>
      <c r="AT94">
        <v>68</v>
      </c>
      <c r="AU94">
        <v>66</v>
      </c>
      <c r="AV94" s="62">
        <f t="shared" si="20"/>
        <v>64.75</v>
      </c>
      <c r="AW94">
        <v>0</v>
      </c>
      <c r="AX94">
        <v>0</v>
      </c>
      <c r="AY94">
        <v>0</v>
      </c>
      <c r="AZ94" s="15">
        <f t="shared" si="28"/>
        <v>0</v>
      </c>
      <c r="BD94" s="15">
        <f t="shared" si="29"/>
        <v>0</v>
      </c>
      <c r="BH94" s="15">
        <f t="shared" si="30"/>
        <v>0</v>
      </c>
      <c r="BI94">
        <v>15.3</v>
      </c>
      <c r="BJ94">
        <v>11.92</v>
      </c>
      <c r="BK94" s="12">
        <f t="shared" si="31"/>
        <v>22.091503267973859</v>
      </c>
      <c r="BL94" s="12">
        <f t="shared" si="32"/>
        <v>-5.163398692810456</v>
      </c>
      <c r="BM94" s="13">
        <f t="shared" si="33"/>
        <v>45128.836601307186</v>
      </c>
      <c r="BN94" s="90">
        <f t="shared" si="34"/>
        <v>80.836601307186356</v>
      </c>
      <c r="BO94">
        <v>6</v>
      </c>
      <c r="BP94" s="17">
        <f t="shared" si="35"/>
        <v>8.6867999999999999</v>
      </c>
      <c r="BQ94">
        <v>10800</v>
      </c>
      <c r="BR94">
        <v>11.3</v>
      </c>
      <c r="BS94" s="15">
        <f t="shared" si="36"/>
        <v>12748.86273532815</v>
      </c>
      <c r="BT94" s="15">
        <f t="shared" si="37"/>
        <v>236.9980893105874</v>
      </c>
      <c r="BU94" s="16">
        <v>69.574468085106375</v>
      </c>
      <c r="BV94" s="17">
        <v>5.39</v>
      </c>
      <c r="BW94" s="17">
        <v>5.65</v>
      </c>
      <c r="BX94" s="90">
        <f t="shared" si="38"/>
        <v>56.603930635838154</v>
      </c>
    </row>
    <row r="95" spans="2:76" x14ac:dyDescent="0.3">
      <c r="B95" s="58">
        <v>2023</v>
      </c>
      <c r="C95" t="s">
        <v>46</v>
      </c>
      <c r="D95">
        <v>410</v>
      </c>
      <c r="E95">
        <v>4</v>
      </c>
      <c r="F95">
        <v>7</v>
      </c>
      <c r="G95" t="s">
        <v>40</v>
      </c>
      <c r="H95">
        <v>7</v>
      </c>
      <c r="I95" s="59" t="s">
        <v>56</v>
      </c>
      <c r="J95">
        <v>33</v>
      </c>
      <c r="K95">
        <v>36</v>
      </c>
      <c r="L95" s="16">
        <f t="shared" si="21"/>
        <v>142.97554910899296</v>
      </c>
      <c r="M95">
        <v>55</v>
      </c>
      <c r="N95">
        <v>56</v>
      </c>
      <c r="O95">
        <v>59</v>
      </c>
      <c r="P95">
        <v>55</v>
      </c>
      <c r="Q95" s="62">
        <f t="shared" si="22"/>
        <v>56.25</v>
      </c>
      <c r="R95">
        <v>68</v>
      </c>
      <c r="S95">
        <v>65</v>
      </c>
      <c r="T95">
        <v>68</v>
      </c>
      <c r="U95">
        <v>69</v>
      </c>
      <c r="V95" s="62">
        <f t="shared" si="23"/>
        <v>67.5</v>
      </c>
      <c r="W95">
        <v>82</v>
      </c>
      <c r="X95">
        <v>78</v>
      </c>
      <c r="Y95">
        <v>81</v>
      </c>
      <c r="Z95">
        <v>79</v>
      </c>
      <c r="AA95" s="62">
        <f t="shared" si="24"/>
        <v>80</v>
      </c>
      <c r="AB95">
        <v>84</v>
      </c>
      <c r="AC95">
        <v>87</v>
      </c>
      <c r="AD95">
        <v>88</v>
      </c>
      <c r="AE95">
        <v>79</v>
      </c>
      <c r="AF95" s="62">
        <f t="shared" si="25"/>
        <v>84.5</v>
      </c>
      <c r="AG95">
        <v>94</v>
      </c>
      <c r="AH95">
        <v>94</v>
      </c>
      <c r="AI95">
        <v>92</v>
      </c>
      <c r="AJ95">
        <v>93</v>
      </c>
      <c r="AK95" s="62">
        <f t="shared" si="26"/>
        <v>93.25</v>
      </c>
      <c r="AP95" s="62" t="e">
        <f t="shared" si="27"/>
        <v>#DIV/0!</v>
      </c>
      <c r="AQ95" s="88">
        <v>45097</v>
      </c>
      <c r="AR95">
        <v>74</v>
      </c>
      <c r="AS95">
        <v>67</v>
      </c>
      <c r="AT95">
        <v>79</v>
      </c>
      <c r="AU95">
        <v>79</v>
      </c>
      <c r="AV95" s="62">
        <f t="shared" si="20"/>
        <v>74.75</v>
      </c>
      <c r="AW95">
        <v>5</v>
      </c>
      <c r="AX95">
        <v>0</v>
      </c>
      <c r="AY95">
        <v>0</v>
      </c>
      <c r="AZ95" s="15">
        <f t="shared" si="28"/>
        <v>3.3333333333333335</v>
      </c>
      <c r="BD95" s="15">
        <f t="shared" si="29"/>
        <v>0</v>
      </c>
      <c r="BH95" s="15">
        <f t="shared" si="30"/>
        <v>0</v>
      </c>
      <c r="BI95">
        <v>19.670000000000002</v>
      </c>
      <c r="BJ95">
        <v>17.29</v>
      </c>
      <c r="BK95" s="12">
        <f t="shared" si="31"/>
        <v>12.099644128113891</v>
      </c>
      <c r="BL95" s="12">
        <f t="shared" si="32"/>
        <v>-9.1601423487544444</v>
      </c>
      <c r="BM95" s="13">
        <f t="shared" si="33"/>
        <v>45124.839857651248</v>
      </c>
      <c r="BN95" s="90">
        <f t="shared" si="34"/>
        <v>76.839857651248167</v>
      </c>
      <c r="BO95">
        <v>6</v>
      </c>
      <c r="BP95" s="17">
        <f t="shared" si="35"/>
        <v>8.6867999999999999</v>
      </c>
      <c r="BQ95">
        <v>9850</v>
      </c>
      <c r="BR95">
        <v>12.3</v>
      </c>
      <c r="BS95" s="15">
        <f t="shared" si="36"/>
        <v>11496.347790721475</v>
      </c>
      <c r="BT95" s="15">
        <f t="shared" si="37"/>
        <v>213.71415764802742</v>
      </c>
      <c r="BU95" s="16">
        <v>69.659574468085097</v>
      </c>
      <c r="BV95" s="17">
        <v>4.9700000000000006</v>
      </c>
      <c r="BW95" s="17">
        <v>5.12</v>
      </c>
      <c r="BX95" s="90">
        <f t="shared" si="38"/>
        <v>51.149884393063587</v>
      </c>
    </row>
    <row r="96" spans="2:76" x14ac:dyDescent="0.3">
      <c r="B96" s="58">
        <v>2023</v>
      </c>
      <c r="C96" t="s">
        <v>46</v>
      </c>
      <c r="D96">
        <v>411</v>
      </c>
      <c r="E96">
        <v>4</v>
      </c>
      <c r="F96">
        <v>9</v>
      </c>
      <c r="G96" t="s">
        <v>40</v>
      </c>
      <c r="H96">
        <v>9</v>
      </c>
      <c r="I96" s="59" t="s">
        <v>58</v>
      </c>
      <c r="J96">
        <v>39</v>
      </c>
      <c r="K96">
        <v>50</v>
      </c>
      <c r="L96" s="16">
        <f t="shared" si="21"/>
        <v>184.41773725652715</v>
      </c>
      <c r="M96">
        <v>52</v>
      </c>
      <c r="N96">
        <v>45</v>
      </c>
      <c r="O96">
        <v>53</v>
      </c>
      <c r="P96">
        <v>54</v>
      </c>
      <c r="Q96" s="62">
        <f t="shared" si="22"/>
        <v>51</v>
      </c>
      <c r="R96">
        <v>62</v>
      </c>
      <c r="S96">
        <v>61</v>
      </c>
      <c r="T96">
        <v>67</v>
      </c>
      <c r="U96">
        <v>61</v>
      </c>
      <c r="V96" s="62">
        <f t="shared" si="23"/>
        <v>62.75</v>
      </c>
      <c r="W96">
        <v>73</v>
      </c>
      <c r="X96">
        <v>72</v>
      </c>
      <c r="Y96">
        <v>75</v>
      </c>
      <c r="Z96">
        <v>71</v>
      </c>
      <c r="AA96" s="62">
        <f t="shared" si="24"/>
        <v>72.75</v>
      </c>
      <c r="AB96">
        <v>86</v>
      </c>
      <c r="AC96">
        <v>92</v>
      </c>
      <c r="AD96">
        <v>94</v>
      </c>
      <c r="AE96">
        <v>86</v>
      </c>
      <c r="AF96" s="62">
        <f t="shared" si="25"/>
        <v>89.5</v>
      </c>
      <c r="AG96">
        <v>80</v>
      </c>
      <c r="AH96">
        <v>84</v>
      </c>
      <c r="AI96">
        <v>89</v>
      </c>
      <c r="AJ96">
        <v>83</v>
      </c>
      <c r="AK96" s="62">
        <f t="shared" si="26"/>
        <v>84</v>
      </c>
      <c r="AP96" s="62" t="e">
        <f t="shared" si="27"/>
        <v>#DIV/0!</v>
      </c>
      <c r="AQ96" s="88">
        <v>45097</v>
      </c>
      <c r="AR96">
        <v>67</v>
      </c>
      <c r="AS96">
        <v>65</v>
      </c>
      <c r="AT96">
        <v>67</v>
      </c>
      <c r="AU96">
        <v>68</v>
      </c>
      <c r="AV96" s="62">
        <f t="shared" si="20"/>
        <v>66.75</v>
      </c>
      <c r="AW96">
        <v>0</v>
      </c>
      <c r="AX96">
        <v>0</v>
      </c>
      <c r="AY96">
        <v>0</v>
      </c>
      <c r="AZ96" s="15">
        <f t="shared" si="28"/>
        <v>0</v>
      </c>
      <c r="BD96" s="15">
        <f t="shared" si="29"/>
        <v>0</v>
      </c>
      <c r="BH96" s="15">
        <f t="shared" si="30"/>
        <v>0</v>
      </c>
      <c r="BI96">
        <v>23.82</v>
      </c>
      <c r="BJ96">
        <v>16.350000000000001</v>
      </c>
      <c r="BK96" s="12">
        <f t="shared" si="31"/>
        <v>31.360201511335006</v>
      </c>
      <c r="BL96" s="12">
        <f t="shared" si="32"/>
        <v>-1.4559193954659975</v>
      </c>
      <c r="BM96" s="13">
        <f t="shared" si="33"/>
        <v>45132.544080604537</v>
      </c>
      <c r="BN96" s="90">
        <f t="shared" si="34"/>
        <v>84.544080604537157</v>
      </c>
      <c r="BO96">
        <v>6</v>
      </c>
      <c r="BP96" s="17">
        <f t="shared" si="35"/>
        <v>8.6867999999999999</v>
      </c>
      <c r="BQ96">
        <v>10020</v>
      </c>
      <c r="BR96">
        <v>12.6</v>
      </c>
      <c r="BS96" s="15">
        <f t="shared" si="36"/>
        <v>11654.757028203845</v>
      </c>
      <c r="BT96" s="15">
        <f t="shared" si="37"/>
        <v>216.65894475507147</v>
      </c>
      <c r="BU96" s="16">
        <v>70.553191489361708</v>
      </c>
      <c r="BV96" s="17">
        <v>4.88</v>
      </c>
      <c r="BW96" s="17">
        <v>4.67</v>
      </c>
      <c r="BX96" s="90">
        <f t="shared" si="38"/>
        <v>48.246820809248554</v>
      </c>
    </row>
    <row r="97" spans="2:76" x14ac:dyDescent="0.3">
      <c r="B97" s="58">
        <v>2023</v>
      </c>
      <c r="C97" t="s">
        <v>46</v>
      </c>
      <c r="D97">
        <v>412</v>
      </c>
      <c r="E97">
        <v>4</v>
      </c>
      <c r="F97">
        <v>6</v>
      </c>
      <c r="G97" t="s">
        <v>40</v>
      </c>
      <c r="H97">
        <v>6</v>
      </c>
      <c r="I97" s="59" t="s">
        <v>55</v>
      </c>
      <c r="J97">
        <v>36</v>
      </c>
      <c r="K97">
        <v>46</v>
      </c>
      <c r="L97" s="16">
        <f t="shared" si="21"/>
        <v>169.91297140489019</v>
      </c>
      <c r="M97">
        <v>58</v>
      </c>
      <c r="N97">
        <v>57</v>
      </c>
      <c r="O97">
        <v>55</v>
      </c>
      <c r="P97">
        <v>61</v>
      </c>
      <c r="Q97" s="62">
        <f t="shared" si="22"/>
        <v>57.75</v>
      </c>
      <c r="R97">
        <v>61</v>
      </c>
      <c r="S97">
        <v>63</v>
      </c>
      <c r="T97">
        <v>64</v>
      </c>
      <c r="U97">
        <v>65</v>
      </c>
      <c r="V97" s="62">
        <f t="shared" si="23"/>
        <v>63.25</v>
      </c>
      <c r="W97">
        <v>68</v>
      </c>
      <c r="X97">
        <v>68</v>
      </c>
      <c r="Y97">
        <v>67</v>
      </c>
      <c r="Z97">
        <v>66</v>
      </c>
      <c r="AA97" s="62">
        <f t="shared" si="24"/>
        <v>67.25</v>
      </c>
      <c r="AB97">
        <v>80</v>
      </c>
      <c r="AC97">
        <v>74</v>
      </c>
      <c r="AD97">
        <v>70</v>
      </c>
      <c r="AE97">
        <v>81</v>
      </c>
      <c r="AF97" s="62">
        <f t="shared" si="25"/>
        <v>76.25</v>
      </c>
      <c r="AG97">
        <v>80</v>
      </c>
      <c r="AH97">
        <v>76</v>
      </c>
      <c r="AI97">
        <v>77</v>
      </c>
      <c r="AJ97">
        <v>75</v>
      </c>
      <c r="AK97" s="62">
        <f t="shared" si="26"/>
        <v>77</v>
      </c>
      <c r="AP97" s="62" t="e">
        <f t="shared" si="27"/>
        <v>#DIV/0!</v>
      </c>
      <c r="AQ97" s="88">
        <v>45097</v>
      </c>
      <c r="AR97">
        <v>54</v>
      </c>
      <c r="AS97">
        <v>59</v>
      </c>
      <c r="AT97">
        <v>72</v>
      </c>
      <c r="AU97">
        <v>70</v>
      </c>
      <c r="AV97" s="62">
        <f t="shared" si="20"/>
        <v>63.75</v>
      </c>
      <c r="AW97">
        <v>0</v>
      </c>
      <c r="AX97">
        <v>0</v>
      </c>
      <c r="AY97">
        <v>0</v>
      </c>
      <c r="AZ97" s="15">
        <f t="shared" si="28"/>
        <v>0</v>
      </c>
      <c r="BD97" s="15">
        <f t="shared" si="29"/>
        <v>0</v>
      </c>
      <c r="BH97" s="15">
        <f t="shared" si="30"/>
        <v>0</v>
      </c>
      <c r="BI97">
        <v>18.41</v>
      </c>
      <c r="BJ97">
        <v>13.49</v>
      </c>
      <c r="BK97" s="12">
        <f t="shared" si="31"/>
        <v>26.724606192286799</v>
      </c>
      <c r="BL97" s="12">
        <f t="shared" si="32"/>
        <v>-3.3101575230852802</v>
      </c>
      <c r="BM97" s="13">
        <f t="shared" si="33"/>
        <v>45130.689842476917</v>
      </c>
      <c r="BN97" s="90">
        <f t="shared" si="34"/>
        <v>82.689842476916965</v>
      </c>
      <c r="BO97">
        <v>6</v>
      </c>
      <c r="BP97" s="17">
        <f t="shared" si="35"/>
        <v>8.6867999999999999</v>
      </c>
      <c r="BQ97">
        <v>9800</v>
      </c>
      <c r="BR97">
        <v>10.8</v>
      </c>
      <c r="BS97" s="15">
        <f t="shared" si="36"/>
        <v>11633.623375416983</v>
      </c>
      <c r="BT97" s="15">
        <f t="shared" si="37"/>
        <v>216.26607556864906</v>
      </c>
      <c r="BU97" s="16">
        <v>68.38297872340425</v>
      </c>
      <c r="BV97" s="17">
        <v>4.7200000000000006</v>
      </c>
      <c r="BW97" s="17">
        <v>4.7299999999999995</v>
      </c>
      <c r="BX97" s="90">
        <f t="shared" si="38"/>
        <v>48.724855491329478</v>
      </c>
    </row>
    <row r="98" spans="2:76" x14ac:dyDescent="0.3">
      <c r="B98" s="58">
        <v>2023</v>
      </c>
      <c r="C98" t="s">
        <v>46</v>
      </c>
      <c r="D98">
        <v>413</v>
      </c>
      <c r="E98">
        <v>4</v>
      </c>
      <c r="F98">
        <v>4</v>
      </c>
      <c r="G98" t="s">
        <v>40</v>
      </c>
      <c r="H98">
        <v>4</v>
      </c>
      <c r="I98" s="59" t="s">
        <v>52</v>
      </c>
      <c r="J98">
        <v>37</v>
      </c>
      <c r="K98">
        <v>34</v>
      </c>
      <c r="L98" s="16">
        <f t="shared" si="21"/>
        <v>147.11976792374639</v>
      </c>
      <c r="M98">
        <v>46</v>
      </c>
      <c r="N98">
        <v>58</v>
      </c>
      <c r="O98">
        <v>52</v>
      </c>
      <c r="P98">
        <v>52</v>
      </c>
      <c r="Q98" s="62">
        <f t="shared" si="22"/>
        <v>52</v>
      </c>
      <c r="R98">
        <v>62</v>
      </c>
      <c r="S98">
        <v>66</v>
      </c>
      <c r="T98">
        <v>67</v>
      </c>
      <c r="U98">
        <v>62</v>
      </c>
      <c r="V98" s="62">
        <f t="shared" si="23"/>
        <v>64.25</v>
      </c>
      <c r="W98">
        <v>73</v>
      </c>
      <c r="X98">
        <v>75</v>
      </c>
      <c r="Y98">
        <v>73</v>
      </c>
      <c r="Z98">
        <v>70</v>
      </c>
      <c r="AA98" s="62">
        <f t="shared" si="24"/>
        <v>72.75</v>
      </c>
      <c r="AB98">
        <v>85</v>
      </c>
      <c r="AC98">
        <v>87</v>
      </c>
      <c r="AD98">
        <v>90</v>
      </c>
      <c r="AE98">
        <v>89</v>
      </c>
      <c r="AF98" s="62">
        <f t="shared" si="25"/>
        <v>87.75</v>
      </c>
      <c r="AG98">
        <v>82</v>
      </c>
      <c r="AH98">
        <v>84</v>
      </c>
      <c r="AI98">
        <v>88</v>
      </c>
      <c r="AJ98">
        <v>83</v>
      </c>
      <c r="AK98" s="62">
        <f t="shared" si="26"/>
        <v>84.25</v>
      </c>
      <c r="AP98" s="62" t="e">
        <f t="shared" si="27"/>
        <v>#DIV/0!</v>
      </c>
      <c r="AQ98" s="88">
        <v>45097</v>
      </c>
      <c r="AR98">
        <v>67</v>
      </c>
      <c r="AS98">
        <v>71</v>
      </c>
      <c r="AT98">
        <v>66</v>
      </c>
      <c r="AU98">
        <v>71</v>
      </c>
      <c r="AV98" s="62">
        <f t="shared" si="20"/>
        <v>68.75</v>
      </c>
      <c r="AW98">
        <v>5</v>
      </c>
      <c r="AX98">
        <v>0</v>
      </c>
      <c r="AY98">
        <v>0</v>
      </c>
      <c r="AZ98" s="15">
        <f t="shared" si="28"/>
        <v>3.3333333333333335</v>
      </c>
      <c r="BD98" s="15">
        <f t="shared" si="29"/>
        <v>0</v>
      </c>
      <c r="BH98" s="15">
        <f t="shared" si="30"/>
        <v>0</v>
      </c>
      <c r="BI98">
        <v>17.36</v>
      </c>
      <c r="BJ98">
        <v>13.33</v>
      </c>
      <c r="BK98" s="12">
        <f t="shared" si="31"/>
        <v>23.214285714285712</v>
      </c>
      <c r="BL98" s="12">
        <f t="shared" si="32"/>
        <v>-4.7142857142857153</v>
      </c>
      <c r="BM98" s="13">
        <f t="shared" si="33"/>
        <v>45129.285714285717</v>
      </c>
      <c r="BN98" s="90">
        <f t="shared" si="34"/>
        <v>81.285714285717404</v>
      </c>
      <c r="BO98">
        <v>6</v>
      </c>
      <c r="BP98" s="17">
        <f t="shared" si="35"/>
        <v>8.6867999999999999</v>
      </c>
      <c r="BQ98">
        <v>8980</v>
      </c>
      <c r="BR98">
        <v>12.6</v>
      </c>
      <c r="BS98" s="15">
        <f t="shared" si="36"/>
        <v>10445.08164803099</v>
      </c>
      <c r="BT98" s="15">
        <f t="shared" si="37"/>
        <v>194.17138961083251</v>
      </c>
      <c r="BU98" s="16">
        <v>70.510638297872333</v>
      </c>
      <c r="BV98" s="66"/>
      <c r="BW98" s="66"/>
      <c r="BX98" s="90" t="e">
        <f t="shared" si="38"/>
        <v>#DIV/0!</v>
      </c>
    </row>
    <row r="99" spans="2:76" x14ac:dyDescent="0.3">
      <c r="B99" s="58">
        <v>2023</v>
      </c>
      <c r="C99" t="s">
        <v>46</v>
      </c>
      <c r="D99">
        <v>414</v>
      </c>
      <c r="E99">
        <v>4</v>
      </c>
      <c r="F99">
        <v>8</v>
      </c>
      <c r="G99" t="s">
        <v>40</v>
      </c>
      <c r="H99">
        <v>8</v>
      </c>
      <c r="I99" s="59" t="s">
        <v>57</v>
      </c>
      <c r="J99">
        <v>41</v>
      </c>
      <c r="K99">
        <v>31</v>
      </c>
      <c r="L99" s="16">
        <f t="shared" si="21"/>
        <v>149.1918773311231</v>
      </c>
      <c r="M99">
        <v>43</v>
      </c>
      <c r="N99">
        <v>45</v>
      </c>
      <c r="O99">
        <v>44</v>
      </c>
      <c r="P99">
        <v>52</v>
      </c>
      <c r="Q99" s="62">
        <f t="shared" si="22"/>
        <v>46</v>
      </c>
      <c r="R99">
        <v>55</v>
      </c>
      <c r="S99">
        <v>58</v>
      </c>
      <c r="T99">
        <v>56</v>
      </c>
      <c r="U99">
        <v>54</v>
      </c>
      <c r="V99" s="62">
        <f t="shared" si="23"/>
        <v>55.75</v>
      </c>
      <c r="W99">
        <v>69</v>
      </c>
      <c r="X99">
        <v>76</v>
      </c>
      <c r="Y99">
        <v>69</v>
      </c>
      <c r="Z99">
        <v>76</v>
      </c>
      <c r="AA99" s="62">
        <f t="shared" si="24"/>
        <v>72.5</v>
      </c>
      <c r="AB99">
        <v>88</v>
      </c>
      <c r="AC99">
        <v>88</v>
      </c>
      <c r="AD99">
        <v>83</v>
      </c>
      <c r="AE99">
        <v>87</v>
      </c>
      <c r="AF99" s="62">
        <f t="shared" si="25"/>
        <v>86.5</v>
      </c>
      <c r="AG99">
        <v>88</v>
      </c>
      <c r="AH99">
        <v>92</v>
      </c>
      <c r="AI99">
        <v>90</v>
      </c>
      <c r="AJ99">
        <v>86</v>
      </c>
      <c r="AK99" s="62">
        <f t="shared" si="26"/>
        <v>89</v>
      </c>
      <c r="AP99" s="62" t="e">
        <f t="shared" si="27"/>
        <v>#DIV/0!</v>
      </c>
      <c r="AQ99" s="88">
        <v>45097</v>
      </c>
      <c r="AR99">
        <v>75</v>
      </c>
      <c r="AS99">
        <v>74</v>
      </c>
      <c r="AT99">
        <v>78</v>
      </c>
      <c r="AU99">
        <v>76</v>
      </c>
      <c r="AV99" s="62">
        <f t="shared" si="20"/>
        <v>75.75</v>
      </c>
      <c r="AW99">
        <v>5</v>
      </c>
      <c r="AX99">
        <v>0</v>
      </c>
      <c r="AY99">
        <v>0</v>
      </c>
      <c r="AZ99" s="15">
        <f t="shared" si="28"/>
        <v>3.3333333333333335</v>
      </c>
      <c r="BD99" s="15">
        <f t="shared" si="29"/>
        <v>0</v>
      </c>
      <c r="BH99" s="15">
        <f t="shared" si="30"/>
        <v>0</v>
      </c>
      <c r="BI99">
        <v>19.93</v>
      </c>
      <c r="BJ99">
        <v>15.36</v>
      </c>
      <c r="BK99" s="12">
        <f t="shared" si="31"/>
        <v>22.930255895634723</v>
      </c>
      <c r="BL99" s="12">
        <f t="shared" si="32"/>
        <v>-4.8278976417461106</v>
      </c>
      <c r="BM99" s="13">
        <f t="shared" si="33"/>
        <v>45129.17210235825</v>
      </c>
      <c r="BN99" s="90">
        <f t="shared" si="34"/>
        <v>81.172102358250413</v>
      </c>
      <c r="BO99">
        <v>6</v>
      </c>
      <c r="BP99" s="17">
        <f t="shared" si="35"/>
        <v>8.6867999999999999</v>
      </c>
      <c r="BQ99">
        <v>9660</v>
      </c>
      <c r="BR99">
        <v>12.4</v>
      </c>
      <c r="BS99" s="15">
        <f t="shared" si="36"/>
        <v>11261.734966427035</v>
      </c>
      <c r="BT99" s="15">
        <f t="shared" si="37"/>
        <v>209.35276540152822</v>
      </c>
      <c r="BU99" s="16">
        <v>70.978723404255319</v>
      </c>
      <c r="BV99" s="17">
        <v>4.8100000000000005</v>
      </c>
      <c r="BW99" s="17">
        <v>5</v>
      </c>
      <c r="BX99" s="90">
        <f t="shared" si="38"/>
        <v>49.673757225433526</v>
      </c>
    </row>
    <row r="100" spans="2:76" x14ac:dyDescent="0.3">
      <c r="B100" s="58">
        <v>2023</v>
      </c>
      <c r="C100" t="s">
        <v>46</v>
      </c>
      <c r="D100">
        <v>415</v>
      </c>
      <c r="E100">
        <v>4</v>
      </c>
      <c r="F100">
        <v>5</v>
      </c>
      <c r="G100" t="s">
        <v>40</v>
      </c>
      <c r="H100">
        <v>5</v>
      </c>
      <c r="I100" s="59" t="s">
        <v>54</v>
      </c>
      <c r="J100">
        <v>47</v>
      </c>
      <c r="K100">
        <v>42</v>
      </c>
      <c r="L100" s="16">
        <f t="shared" si="21"/>
        <v>184.41773725652715</v>
      </c>
      <c r="M100">
        <v>42</v>
      </c>
      <c r="N100">
        <v>50</v>
      </c>
      <c r="O100">
        <v>55</v>
      </c>
      <c r="P100">
        <v>51</v>
      </c>
      <c r="Q100" s="62">
        <f t="shared" si="22"/>
        <v>49.5</v>
      </c>
      <c r="R100">
        <v>59</v>
      </c>
      <c r="S100">
        <v>54</v>
      </c>
      <c r="T100">
        <v>55</v>
      </c>
      <c r="U100">
        <v>60</v>
      </c>
      <c r="V100" s="62">
        <f t="shared" si="23"/>
        <v>57</v>
      </c>
      <c r="W100">
        <v>68</v>
      </c>
      <c r="X100">
        <v>68</v>
      </c>
      <c r="Y100">
        <v>76</v>
      </c>
      <c r="Z100">
        <v>69</v>
      </c>
      <c r="AA100" s="62">
        <f t="shared" si="24"/>
        <v>70.25</v>
      </c>
      <c r="AB100">
        <v>84</v>
      </c>
      <c r="AC100">
        <v>95</v>
      </c>
      <c r="AD100">
        <v>89</v>
      </c>
      <c r="AE100">
        <v>83</v>
      </c>
      <c r="AF100" s="62">
        <f t="shared" si="25"/>
        <v>87.75</v>
      </c>
      <c r="AG100">
        <v>80</v>
      </c>
      <c r="AH100">
        <v>86</v>
      </c>
      <c r="AI100">
        <v>89</v>
      </c>
      <c r="AJ100">
        <v>84</v>
      </c>
      <c r="AK100" s="62">
        <f t="shared" si="26"/>
        <v>84.75</v>
      </c>
      <c r="AP100" s="62" t="e">
        <f t="shared" si="27"/>
        <v>#DIV/0!</v>
      </c>
      <c r="AQ100" s="88">
        <v>45097</v>
      </c>
      <c r="AR100">
        <v>68</v>
      </c>
      <c r="AS100">
        <v>73</v>
      </c>
      <c r="AT100">
        <v>69</v>
      </c>
      <c r="AU100">
        <v>65</v>
      </c>
      <c r="AV100" s="62">
        <f t="shared" si="20"/>
        <v>68.75</v>
      </c>
      <c r="AW100">
        <v>5</v>
      </c>
      <c r="AX100">
        <v>0</v>
      </c>
      <c r="AY100">
        <v>0</v>
      </c>
      <c r="AZ100" s="15">
        <f t="shared" si="28"/>
        <v>3.3333333333333335</v>
      </c>
      <c r="BD100" s="15">
        <f t="shared" si="29"/>
        <v>0</v>
      </c>
      <c r="BH100" s="15">
        <f t="shared" si="30"/>
        <v>0</v>
      </c>
      <c r="BI100">
        <v>17.809999999999999</v>
      </c>
      <c r="BJ100">
        <v>14.84</v>
      </c>
      <c r="BK100" s="12">
        <f t="shared" si="31"/>
        <v>16.676024705221781</v>
      </c>
      <c r="BL100" s="12">
        <f t="shared" si="32"/>
        <v>-7.3295901179112875</v>
      </c>
      <c r="BM100" s="13">
        <f t="shared" si="33"/>
        <v>45126.670409882092</v>
      </c>
      <c r="BN100" s="90">
        <f t="shared" si="34"/>
        <v>78.670409882091917</v>
      </c>
      <c r="BO100">
        <v>6</v>
      </c>
      <c r="BP100" s="17">
        <f t="shared" si="35"/>
        <v>8.6867999999999999</v>
      </c>
      <c r="BQ100">
        <v>9220</v>
      </c>
      <c r="BR100">
        <v>11.3</v>
      </c>
      <c r="BS100" s="15">
        <f t="shared" si="36"/>
        <v>10883.751335159772</v>
      </c>
      <c r="BT100" s="15">
        <f t="shared" si="37"/>
        <v>202.32614661514961</v>
      </c>
      <c r="BU100" s="16">
        <v>69.106382978723403</v>
      </c>
      <c r="BV100" s="17">
        <v>4.37</v>
      </c>
      <c r="BW100" s="17">
        <v>4.5</v>
      </c>
      <c r="BX100" s="90">
        <f t="shared" si="38"/>
        <v>45.477976878612729</v>
      </c>
    </row>
    <row r="101" spans="2:76" x14ac:dyDescent="0.3">
      <c r="B101" s="58">
        <v>2023</v>
      </c>
      <c r="C101" t="s">
        <v>46</v>
      </c>
      <c r="D101">
        <v>416</v>
      </c>
      <c r="E101">
        <v>4</v>
      </c>
      <c r="F101">
        <v>3</v>
      </c>
      <c r="G101" t="s">
        <v>40</v>
      </c>
      <c r="H101">
        <v>3</v>
      </c>
      <c r="I101" s="59" t="s">
        <v>51</v>
      </c>
      <c r="J101">
        <v>33</v>
      </c>
      <c r="K101">
        <v>47</v>
      </c>
      <c r="L101" s="16">
        <f t="shared" si="21"/>
        <v>165.76875259013676</v>
      </c>
      <c r="M101">
        <v>50</v>
      </c>
      <c r="N101">
        <v>52</v>
      </c>
      <c r="O101">
        <v>49</v>
      </c>
      <c r="P101">
        <v>52</v>
      </c>
      <c r="Q101" s="62">
        <f t="shared" si="22"/>
        <v>50.75</v>
      </c>
      <c r="R101">
        <v>65</v>
      </c>
      <c r="S101">
        <v>62</v>
      </c>
      <c r="T101">
        <v>68</v>
      </c>
      <c r="U101">
        <v>66</v>
      </c>
      <c r="V101" s="62">
        <f t="shared" si="23"/>
        <v>65.25</v>
      </c>
      <c r="W101">
        <v>73</v>
      </c>
      <c r="X101">
        <v>75</v>
      </c>
      <c r="Y101">
        <v>78</v>
      </c>
      <c r="Z101">
        <v>84</v>
      </c>
      <c r="AA101" s="62">
        <f t="shared" si="24"/>
        <v>77.5</v>
      </c>
      <c r="AB101">
        <v>81</v>
      </c>
      <c r="AC101">
        <v>82</v>
      </c>
      <c r="AD101">
        <v>76</v>
      </c>
      <c r="AE101">
        <v>93</v>
      </c>
      <c r="AF101" s="62">
        <f t="shared" si="25"/>
        <v>83</v>
      </c>
      <c r="AG101">
        <v>87</v>
      </c>
      <c r="AH101">
        <v>83</v>
      </c>
      <c r="AI101">
        <v>85</v>
      </c>
      <c r="AJ101">
        <v>81</v>
      </c>
      <c r="AK101" s="62">
        <f t="shared" si="26"/>
        <v>84</v>
      </c>
      <c r="AP101" s="62" t="e">
        <f t="shared" si="27"/>
        <v>#DIV/0!</v>
      </c>
      <c r="AQ101" s="88">
        <v>45097</v>
      </c>
      <c r="AR101">
        <v>70</v>
      </c>
      <c r="AS101">
        <v>69</v>
      </c>
      <c r="AT101">
        <v>61</v>
      </c>
      <c r="AU101">
        <v>67</v>
      </c>
      <c r="AV101" s="62">
        <f t="shared" ref="AV101:AV112" si="39">AVERAGE(AR101:AU101)</f>
        <v>66.75</v>
      </c>
      <c r="AW101">
        <v>5</v>
      </c>
      <c r="AX101">
        <v>0</v>
      </c>
      <c r="AY101">
        <v>0</v>
      </c>
      <c r="AZ101" s="15">
        <f t="shared" si="28"/>
        <v>3.3333333333333335</v>
      </c>
      <c r="BD101" s="15">
        <f t="shared" si="29"/>
        <v>0</v>
      </c>
      <c r="BH101" s="15">
        <f t="shared" si="30"/>
        <v>0</v>
      </c>
      <c r="BI101" s="63">
        <v>13.34</v>
      </c>
      <c r="BJ101" s="63">
        <v>15.2</v>
      </c>
      <c r="BK101" s="65">
        <f t="shared" si="31"/>
        <v>-13.943028485757116</v>
      </c>
      <c r="BL101" s="65">
        <f t="shared" si="32"/>
        <v>-19.577211394302847</v>
      </c>
      <c r="BM101" s="13">
        <f t="shared" si="33"/>
        <v>45114.422788605698</v>
      </c>
      <c r="BN101" s="90">
        <f t="shared" si="34"/>
        <v>66.42278860569786</v>
      </c>
      <c r="BO101">
        <v>6</v>
      </c>
      <c r="BP101" s="17">
        <f t="shared" si="35"/>
        <v>8.6867999999999999</v>
      </c>
      <c r="BQ101">
        <v>8540</v>
      </c>
      <c r="BR101">
        <v>10.6</v>
      </c>
      <c r="BS101" s="15">
        <f t="shared" si="36"/>
        <v>10160.602452834557</v>
      </c>
      <c r="BT101" s="15">
        <f t="shared" si="37"/>
        <v>188.8829943155142</v>
      </c>
      <c r="BU101" s="16">
        <v>69.234042553191486</v>
      </c>
      <c r="BV101" s="17">
        <v>4.8</v>
      </c>
      <c r="BW101" s="17">
        <v>4.5299999999999994</v>
      </c>
      <c r="BX101" s="90">
        <f t="shared" si="38"/>
        <v>48.213988439306348</v>
      </c>
    </row>
    <row r="102" spans="2:76" x14ac:dyDescent="0.3">
      <c r="B102" s="58">
        <v>2023</v>
      </c>
      <c r="C102" t="s">
        <v>46</v>
      </c>
      <c r="D102">
        <v>417</v>
      </c>
      <c r="E102">
        <v>4</v>
      </c>
      <c r="F102">
        <v>2</v>
      </c>
      <c r="G102" t="s">
        <v>40</v>
      </c>
      <c r="H102">
        <v>2</v>
      </c>
      <c r="I102" s="59" t="s">
        <v>53</v>
      </c>
      <c r="J102">
        <v>44</v>
      </c>
      <c r="K102">
        <v>33</v>
      </c>
      <c r="L102" s="16">
        <f t="shared" si="21"/>
        <v>159.55242436800663</v>
      </c>
      <c r="M102">
        <v>52</v>
      </c>
      <c r="N102">
        <v>52</v>
      </c>
      <c r="O102">
        <v>45</v>
      </c>
      <c r="P102">
        <v>50</v>
      </c>
      <c r="Q102" s="62">
        <f t="shared" si="22"/>
        <v>49.75</v>
      </c>
      <c r="R102">
        <v>67</v>
      </c>
      <c r="S102">
        <v>62</v>
      </c>
      <c r="T102">
        <v>71</v>
      </c>
      <c r="U102">
        <v>72</v>
      </c>
      <c r="V102" s="62">
        <f t="shared" si="23"/>
        <v>68</v>
      </c>
      <c r="W102">
        <v>79</v>
      </c>
      <c r="X102">
        <v>75</v>
      </c>
      <c r="Y102">
        <v>77</v>
      </c>
      <c r="Z102">
        <v>83</v>
      </c>
      <c r="AA102" s="62">
        <f t="shared" si="24"/>
        <v>78.5</v>
      </c>
      <c r="AB102">
        <v>91</v>
      </c>
      <c r="AC102">
        <v>91</v>
      </c>
      <c r="AD102">
        <v>92</v>
      </c>
      <c r="AE102">
        <v>87</v>
      </c>
      <c r="AF102" s="62">
        <f t="shared" si="25"/>
        <v>90.25</v>
      </c>
      <c r="AG102">
        <v>83</v>
      </c>
      <c r="AH102">
        <v>83</v>
      </c>
      <c r="AI102">
        <v>83</v>
      </c>
      <c r="AJ102">
        <v>93</v>
      </c>
      <c r="AK102" s="62">
        <f t="shared" si="26"/>
        <v>85.5</v>
      </c>
      <c r="AP102" s="62" t="e">
        <f t="shared" si="27"/>
        <v>#DIV/0!</v>
      </c>
      <c r="AQ102" s="88">
        <v>45097</v>
      </c>
      <c r="AR102">
        <v>67</v>
      </c>
      <c r="AS102">
        <v>71</v>
      </c>
      <c r="AT102">
        <v>73</v>
      </c>
      <c r="AU102">
        <v>70</v>
      </c>
      <c r="AV102" s="62">
        <f t="shared" si="39"/>
        <v>70.25</v>
      </c>
      <c r="AW102">
        <v>0</v>
      </c>
      <c r="AX102">
        <v>0</v>
      </c>
      <c r="AY102">
        <v>0</v>
      </c>
      <c r="AZ102" s="15">
        <f t="shared" si="28"/>
        <v>0</v>
      </c>
      <c r="BD102" s="15">
        <f t="shared" si="29"/>
        <v>0</v>
      </c>
      <c r="BH102" s="15">
        <f t="shared" si="30"/>
        <v>0</v>
      </c>
      <c r="BI102">
        <v>19.899999999999999</v>
      </c>
      <c r="BJ102">
        <v>13.65</v>
      </c>
      <c r="BK102" s="12">
        <f t="shared" si="31"/>
        <v>31.40703517587939</v>
      </c>
      <c r="BL102" s="12">
        <f t="shared" si="32"/>
        <v>-1.4371859296482441</v>
      </c>
      <c r="BM102" s="13">
        <f t="shared" si="33"/>
        <v>45132.562814070348</v>
      </c>
      <c r="BN102" s="90">
        <f t="shared" si="34"/>
        <v>84.562814070348395</v>
      </c>
      <c r="BO102">
        <v>6</v>
      </c>
      <c r="BP102" s="17">
        <f t="shared" si="35"/>
        <v>8.6867999999999999</v>
      </c>
      <c r="BQ102">
        <v>8260</v>
      </c>
      <c r="BR102">
        <v>11.1</v>
      </c>
      <c r="BS102" s="15">
        <f t="shared" si="36"/>
        <v>9772.5044789237072</v>
      </c>
      <c r="BT102" s="15">
        <f t="shared" si="37"/>
        <v>181.66835249281252</v>
      </c>
      <c r="BU102" s="16">
        <v>70.38297872340425</v>
      </c>
      <c r="BV102" s="17">
        <v>4.68</v>
      </c>
      <c r="BW102" s="17">
        <v>4.8100000000000005</v>
      </c>
      <c r="BX102" s="90">
        <f t="shared" si="38"/>
        <v>48.766531791907518</v>
      </c>
    </row>
    <row r="103" spans="2:76" x14ac:dyDescent="0.3">
      <c r="B103" s="58">
        <v>2023</v>
      </c>
      <c r="C103" t="s">
        <v>46</v>
      </c>
      <c r="D103">
        <v>418</v>
      </c>
      <c r="E103">
        <v>4</v>
      </c>
      <c r="F103">
        <v>1</v>
      </c>
      <c r="G103" t="s">
        <v>40</v>
      </c>
      <c r="H103">
        <v>1</v>
      </c>
      <c r="I103" s="59" t="s">
        <v>0</v>
      </c>
      <c r="J103">
        <v>47</v>
      </c>
      <c r="K103">
        <v>34</v>
      </c>
      <c r="L103" s="16">
        <f t="shared" si="21"/>
        <v>167.84086199751349</v>
      </c>
      <c r="M103">
        <v>50</v>
      </c>
      <c r="N103">
        <v>54</v>
      </c>
      <c r="O103">
        <v>51</v>
      </c>
      <c r="P103">
        <v>53</v>
      </c>
      <c r="Q103" s="62">
        <f t="shared" si="22"/>
        <v>52</v>
      </c>
      <c r="R103">
        <v>78</v>
      </c>
      <c r="S103">
        <v>77</v>
      </c>
      <c r="T103">
        <v>74</v>
      </c>
      <c r="U103">
        <v>69</v>
      </c>
      <c r="V103" s="62">
        <f t="shared" si="23"/>
        <v>74.5</v>
      </c>
      <c r="W103">
        <v>91</v>
      </c>
      <c r="X103">
        <v>87</v>
      </c>
      <c r="Y103">
        <v>86</v>
      </c>
      <c r="Z103">
        <v>87</v>
      </c>
      <c r="AA103" s="62">
        <f t="shared" si="24"/>
        <v>87.75</v>
      </c>
      <c r="AB103">
        <v>87</v>
      </c>
      <c r="AC103">
        <v>89</v>
      </c>
      <c r="AD103">
        <v>94</v>
      </c>
      <c r="AE103">
        <v>89</v>
      </c>
      <c r="AF103" s="62">
        <f t="shared" si="25"/>
        <v>89.75</v>
      </c>
      <c r="AG103">
        <v>79</v>
      </c>
      <c r="AH103">
        <v>82</v>
      </c>
      <c r="AI103">
        <v>84</v>
      </c>
      <c r="AJ103">
        <v>83</v>
      </c>
      <c r="AK103" s="62">
        <f t="shared" si="26"/>
        <v>82</v>
      </c>
      <c r="AP103" s="62" t="e">
        <f t="shared" si="27"/>
        <v>#DIV/0!</v>
      </c>
      <c r="AQ103" s="88">
        <v>45097</v>
      </c>
      <c r="AR103">
        <v>78</v>
      </c>
      <c r="AS103">
        <v>74</v>
      </c>
      <c r="AT103">
        <v>63</v>
      </c>
      <c r="AU103">
        <v>68</v>
      </c>
      <c r="AV103" s="62">
        <f t="shared" si="39"/>
        <v>70.75</v>
      </c>
      <c r="AW103">
        <v>5</v>
      </c>
      <c r="AX103">
        <v>0</v>
      </c>
      <c r="AY103">
        <v>0</v>
      </c>
      <c r="AZ103" s="15">
        <f t="shared" si="28"/>
        <v>3.3333333333333335</v>
      </c>
      <c r="BD103" s="15">
        <f t="shared" si="29"/>
        <v>0</v>
      </c>
      <c r="BH103" s="15">
        <f t="shared" si="30"/>
        <v>0</v>
      </c>
      <c r="BI103" s="63">
        <v>15.3</v>
      </c>
      <c r="BJ103" s="63">
        <v>15.15</v>
      </c>
      <c r="BK103" s="65">
        <f t="shared" si="31"/>
        <v>0.98039215686274739</v>
      </c>
      <c r="BL103" s="65">
        <f t="shared" si="32"/>
        <v>-13.6078431372549</v>
      </c>
      <c r="BM103" s="13">
        <f t="shared" si="33"/>
        <v>45120.392156862748</v>
      </c>
      <c r="BN103" s="90">
        <f t="shared" si="34"/>
        <v>72.392156862748379</v>
      </c>
      <c r="BO103">
        <v>6</v>
      </c>
      <c r="BP103" s="17">
        <f t="shared" si="35"/>
        <v>8.6867999999999999</v>
      </c>
      <c r="BQ103">
        <v>8220</v>
      </c>
      <c r="BR103">
        <v>11</v>
      </c>
      <c r="BS103" s="15">
        <f t="shared" si="36"/>
        <v>9736.1194620979659</v>
      </c>
      <c r="BT103" s="15">
        <f t="shared" si="37"/>
        <v>180.99196435951347</v>
      </c>
      <c r="BU103" s="16">
        <v>69.872340425531902</v>
      </c>
      <c r="BV103" s="17">
        <v>4.7799999999999994</v>
      </c>
      <c r="BW103" s="17">
        <v>4.79</v>
      </c>
      <c r="BX103" s="90">
        <f t="shared" si="38"/>
        <v>49.232947976878613</v>
      </c>
    </row>
    <row r="104" spans="2:76" x14ac:dyDescent="0.3">
      <c r="B104" s="58">
        <v>2023</v>
      </c>
      <c r="C104" t="s">
        <v>46</v>
      </c>
      <c r="D104">
        <v>419</v>
      </c>
      <c r="E104">
        <v>4</v>
      </c>
      <c r="F104">
        <v>13</v>
      </c>
      <c r="G104" t="s">
        <v>151</v>
      </c>
      <c r="H104">
        <v>4</v>
      </c>
      <c r="I104" s="59" t="s">
        <v>52</v>
      </c>
      <c r="J104">
        <v>42</v>
      </c>
      <c r="K104">
        <v>46</v>
      </c>
      <c r="L104" s="16">
        <f t="shared" si="21"/>
        <v>182.34562784915045</v>
      </c>
      <c r="M104">
        <v>65</v>
      </c>
      <c r="N104">
        <v>67</v>
      </c>
      <c r="O104">
        <v>69</v>
      </c>
      <c r="P104">
        <v>59</v>
      </c>
      <c r="Q104" s="62">
        <f t="shared" si="22"/>
        <v>65</v>
      </c>
      <c r="R104">
        <v>76</v>
      </c>
      <c r="S104">
        <v>85</v>
      </c>
      <c r="T104">
        <v>83</v>
      </c>
      <c r="U104">
        <v>79</v>
      </c>
      <c r="V104" s="62">
        <f t="shared" si="23"/>
        <v>80.75</v>
      </c>
      <c r="W104">
        <v>88</v>
      </c>
      <c r="X104">
        <v>90</v>
      </c>
      <c r="Y104">
        <v>90</v>
      </c>
      <c r="Z104">
        <v>90</v>
      </c>
      <c r="AA104" s="62">
        <f t="shared" si="24"/>
        <v>89.5</v>
      </c>
      <c r="AB104">
        <v>81</v>
      </c>
      <c r="AC104">
        <v>84</v>
      </c>
      <c r="AD104">
        <v>87</v>
      </c>
      <c r="AE104">
        <v>89</v>
      </c>
      <c r="AF104" s="62">
        <f t="shared" si="25"/>
        <v>85.25</v>
      </c>
      <c r="AG104">
        <v>91</v>
      </c>
      <c r="AH104">
        <v>88</v>
      </c>
      <c r="AI104">
        <v>88</v>
      </c>
      <c r="AJ104">
        <v>84</v>
      </c>
      <c r="AK104" s="62">
        <f t="shared" si="26"/>
        <v>87.75</v>
      </c>
      <c r="AP104" s="62" t="e">
        <f t="shared" si="27"/>
        <v>#DIV/0!</v>
      </c>
      <c r="AQ104" s="88">
        <v>45097</v>
      </c>
      <c r="AR104">
        <v>71</v>
      </c>
      <c r="AS104">
        <v>70</v>
      </c>
      <c r="AT104">
        <v>60</v>
      </c>
      <c r="AU104">
        <v>67</v>
      </c>
      <c r="AV104" s="62">
        <f t="shared" si="39"/>
        <v>67</v>
      </c>
      <c r="AW104">
        <v>5</v>
      </c>
      <c r="AX104">
        <v>0</v>
      </c>
      <c r="AY104">
        <v>0</v>
      </c>
      <c r="AZ104" s="15">
        <f t="shared" si="28"/>
        <v>3.3333333333333335</v>
      </c>
      <c r="BD104" s="15">
        <f t="shared" si="29"/>
        <v>0</v>
      </c>
      <c r="BH104" s="15">
        <f t="shared" si="30"/>
        <v>0</v>
      </c>
      <c r="BI104" s="63">
        <v>14.82</v>
      </c>
      <c r="BJ104" s="63">
        <v>13.84</v>
      </c>
      <c r="BK104" s="65">
        <f t="shared" si="31"/>
        <v>6.6126855600539836</v>
      </c>
      <c r="BL104" s="65">
        <f t="shared" si="32"/>
        <v>-11.354925775978407</v>
      </c>
      <c r="BM104" s="13">
        <f t="shared" si="33"/>
        <v>45122.645074224019</v>
      </c>
      <c r="BN104" s="90">
        <f t="shared" si="34"/>
        <v>74.645074224019481</v>
      </c>
      <c r="BO104">
        <v>6</v>
      </c>
      <c r="BP104" s="17">
        <f t="shared" si="35"/>
        <v>8.6867999999999999</v>
      </c>
      <c r="BQ104">
        <v>8900</v>
      </c>
      <c r="BR104">
        <v>12.3</v>
      </c>
      <c r="BS104" s="15">
        <f t="shared" si="36"/>
        <v>10387.562978418389</v>
      </c>
      <c r="BT104" s="15">
        <f t="shared" si="37"/>
        <v>193.10213229111108</v>
      </c>
      <c r="BU104" s="16">
        <v>69.148936170212764</v>
      </c>
      <c r="BV104" s="17">
        <v>4.46</v>
      </c>
      <c r="BW104" s="17">
        <v>4.75</v>
      </c>
      <c r="BX104" s="90">
        <f t="shared" si="38"/>
        <v>46.688843930635841</v>
      </c>
    </row>
    <row r="105" spans="2:76" x14ac:dyDescent="0.3">
      <c r="B105" s="58">
        <v>2023</v>
      </c>
      <c r="C105" t="s">
        <v>46</v>
      </c>
      <c r="D105">
        <v>420</v>
      </c>
      <c r="E105">
        <v>4</v>
      </c>
      <c r="F105">
        <v>10</v>
      </c>
      <c r="G105" t="s">
        <v>151</v>
      </c>
      <c r="H105">
        <v>1</v>
      </c>
      <c r="I105" s="59" t="s">
        <v>0</v>
      </c>
      <c r="J105">
        <v>45</v>
      </c>
      <c r="K105">
        <v>37</v>
      </c>
      <c r="L105" s="16">
        <f t="shared" si="21"/>
        <v>169.91297140489019</v>
      </c>
      <c r="M105">
        <v>61</v>
      </c>
      <c r="N105">
        <v>63</v>
      </c>
      <c r="O105">
        <v>60</v>
      </c>
      <c r="P105">
        <v>64</v>
      </c>
      <c r="Q105" s="62">
        <f t="shared" si="22"/>
        <v>62</v>
      </c>
      <c r="R105">
        <v>81</v>
      </c>
      <c r="S105">
        <v>78</v>
      </c>
      <c r="T105">
        <v>77</v>
      </c>
      <c r="U105">
        <v>77</v>
      </c>
      <c r="V105" s="62">
        <f t="shared" si="23"/>
        <v>78.25</v>
      </c>
      <c r="W105">
        <v>95</v>
      </c>
      <c r="X105">
        <v>95</v>
      </c>
      <c r="Y105">
        <v>92</v>
      </c>
      <c r="Z105">
        <v>90</v>
      </c>
      <c r="AA105" s="62">
        <f t="shared" si="24"/>
        <v>93</v>
      </c>
      <c r="AB105">
        <v>102</v>
      </c>
      <c r="AC105">
        <v>96</v>
      </c>
      <c r="AD105">
        <v>101</v>
      </c>
      <c r="AE105">
        <v>101</v>
      </c>
      <c r="AF105" s="62">
        <f t="shared" si="25"/>
        <v>100</v>
      </c>
      <c r="AG105">
        <v>103</v>
      </c>
      <c r="AH105">
        <v>105</v>
      </c>
      <c r="AI105">
        <v>99</v>
      </c>
      <c r="AJ105">
        <v>100</v>
      </c>
      <c r="AK105" s="62">
        <f t="shared" si="26"/>
        <v>101.75</v>
      </c>
      <c r="AP105" s="62" t="e">
        <f t="shared" si="27"/>
        <v>#DIV/0!</v>
      </c>
      <c r="AQ105" s="88">
        <v>45097</v>
      </c>
      <c r="AR105">
        <v>68</v>
      </c>
      <c r="AS105">
        <v>71</v>
      </c>
      <c r="AT105">
        <v>83</v>
      </c>
      <c r="AU105">
        <v>86</v>
      </c>
      <c r="AV105" s="62">
        <f t="shared" si="39"/>
        <v>77</v>
      </c>
      <c r="AW105">
        <v>10</v>
      </c>
      <c r="AX105">
        <v>0</v>
      </c>
      <c r="AY105">
        <v>0</v>
      </c>
      <c r="AZ105" s="15">
        <f t="shared" si="28"/>
        <v>6.666666666666667</v>
      </c>
      <c r="BA105">
        <v>10</v>
      </c>
      <c r="BD105" s="15">
        <f t="shared" si="29"/>
        <v>6.666666666666667</v>
      </c>
      <c r="BE105">
        <v>20</v>
      </c>
      <c r="BH105" s="15">
        <f t="shared" si="30"/>
        <v>13.333333333333334</v>
      </c>
      <c r="BI105">
        <v>19.45</v>
      </c>
      <c r="BJ105">
        <v>14.52</v>
      </c>
      <c r="BK105" s="12">
        <f t="shared" si="31"/>
        <v>25.347043701799489</v>
      </c>
      <c r="BL105" s="12">
        <f t="shared" si="32"/>
        <v>-3.8611825192802045</v>
      </c>
      <c r="BM105" s="13">
        <f t="shared" si="33"/>
        <v>45130.138817480722</v>
      </c>
      <c r="BN105" s="90">
        <f t="shared" si="34"/>
        <v>82.138817480721627</v>
      </c>
      <c r="BO105">
        <v>6</v>
      </c>
      <c r="BP105" s="17">
        <f t="shared" si="35"/>
        <v>8.6867999999999999</v>
      </c>
      <c r="BQ105">
        <v>8860</v>
      </c>
      <c r="BR105">
        <v>12.3</v>
      </c>
      <c r="BS105" s="15">
        <f t="shared" si="36"/>
        <v>10340.877302110892</v>
      </c>
      <c r="BT105" s="15">
        <f t="shared" si="37"/>
        <v>192.23425753924093</v>
      </c>
      <c r="BU105" s="16">
        <v>69.191489361702125</v>
      </c>
      <c r="BV105" s="17">
        <v>4.88</v>
      </c>
      <c r="BW105" s="17">
        <v>4.46</v>
      </c>
      <c r="BX105" s="90">
        <f t="shared" si="38"/>
        <v>47.347861271676301</v>
      </c>
    </row>
    <row r="106" spans="2:76" x14ac:dyDescent="0.3">
      <c r="B106" s="58">
        <v>2023</v>
      </c>
      <c r="C106" t="s">
        <v>46</v>
      </c>
      <c r="D106">
        <v>421</v>
      </c>
      <c r="E106">
        <v>4</v>
      </c>
      <c r="F106">
        <v>16</v>
      </c>
      <c r="G106" t="s">
        <v>151</v>
      </c>
      <c r="H106">
        <v>7</v>
      </c>
      <c r="I106" s="59" t="s">
        <v>56</v>
      </c>
      <c r="J106">
        <v>34</v>
      </c>
      <c r="K106">
        <v>34</v>
      </c>
      <c r="L106" s="16">
        <f t="shared" si="21"/>
        <v>140.90343970161626</v>
      </c>
      <c r="M106">
        <v>65</v>
      </c>
      <c r="N106">
        <v>61</v>
      </c>
      <c r="O106">
        <v>65</v>
      </c>
      <c r="P106">
        <v>66</v>
      </c>
      <c r="Q106" s="62">
        <f t="shared" si="22"/>
        <v>64.25</v>
      </c>
      <c r="R106">
        <v>78</v>
      </c>
      <c r="S106">
        <v>75</v>
      </c>
      <c r="T106">
        <v>78</v>
      </c>
      <c r="U106">
        <v>74</v>
      </c>
      <c r="V106" s="62">
        <f t="shared" si="23"/>
        <v>76.25</v>
      </c>
      <c r="W106">
        <v>85</v>
      </c>
      <c r="X106">
        <v>85</v>
      </c>
      <c r="Y106">
        <v>94</v>
      </c>
      <c r="Z106">
        <v>86</v>
      </c>
      <c r="AA106" s="62">
        <f t="shared" si="24"/>
        <v>87.5</v>
      </c>
      <c r="AB106">
        <v>91</v>
      </c>
      <c r="AC106">
        <v>96</v>
      </c>
      <c r="AD106">
        <v>88</v>
      </c>
      <c r="AE106">
        <v>89</v>
      </c>
      <c r="AF106" s="62">
        <f t="shared" si="25"/>
        <v>91</v>
      </c>
      <c r="AG106">
        <v>94</v>
      </c>
      <c r="AH106">
        <v>98</v>
      </c>
      <c r="AI106">
        <v>90</v>
      </c>
      <c r="AJ106">
        <v>91</v>
      </c>
      <c r="AK106" s="62">
        <f t="shared" si="26"/>
        <v>93.25</v>
      </c>
      <c r="AP106" s="62" t="e">
        <f t="shared" si="27"/>
        <v>#DIV/0!</v>
      </c>
      <c r="AQ106" s="88">
        <v>45097</v>
      </c>
      <c r="AR106">
        <v>73</v>
      </c>
      <c r="AS106">
        <v>76</v>
      </c>
      <c r="AT106">
        <v>73</v>
      </c>
      <c r="AU106">
        <v>78</v>
      </c>
      <c r="AV106" s="62">
        <f t="shared" si="39"/>
        <v>75</v>
      </c>
      <c r="AW106">
        <v>10</v>
      </c>
      <c r="AX106">
        <v>0</v>
      </c>
      <c r="AY106">
        <v>0</v>
      </c>
      <c r="AZ106" s="15">
        <f t="shared" si="28"/>
        <v>6.666666666666667</v>
      </c>
      <c r="BD106" s="15">
        <f t="shared" si="29"/>
        <v>0</v>
      </c>
      <c r="BH106" s="15">
        <f t="shared" si="30"/>
        <v>0</v>
      </c>
      <c r="BI106">
        <v>20.6</v>
      </c>
      <c r="BJ106">
        <v>14.47</v>
      </c>
      <c r="BK106" s="12">
        <f t="shared" si="31"/>
        <v>29.757281553398059</v>
      </c>
      <c r="BL106" s="12">
        <f t="shared" si="32"/>
        <v>-2.0970873786407767</v>
      </c>
      <c r="BM106" s="13">
        <f t="shared" si="33"/>
        <v>45131.902912621357</v>
      </c>
      <c r="BN106" s="90">
        <f t="shared" si="34"/>
        <v>83.902912621357245</v>
      </c>
      <c r="BO106">
        <v>6</v>
      </c>
      <c r="BP106" s="17">
        <f t="shared" si="35"/>
        <v>8.6867999999999999</v>
      </c>
      <c r="BQ106">
        <v>9660</v>
      </c>
      <c r="BR106">
        <v>12.2</v>
      </c>
      <c r="BS106" s="15">
        <f t="shared" si="36"/>
        <v>11287.446690094677</v>
      </c>
      <c r="BT106" s="15">
        <f t="shared" si="37"/>
        <v>209.83073975176004</v>
      </c>
      <c r="BU106" s="16">
        <v>70.425531914893611</v>
      </c>
      <c r="BV106" s="17">
        <v>4.66</v>
      </c>
      <c r="BW106" s="66"/>
      <c r="BX106" s="90">
        <f t="shared" si="38"/>
        <v>47.300346820809253</v>
      </c>
    </row>
    <row r="107" spans="2:76" x14ac:dyDescent="0.3">
      <c r="B107" s="58">
        <v>2023</v>
      </c>
      <c r="C107" t="s">
        <v>46</v>
      </c>
      <c r="D107">
        <v>422</v>
      </c>
      <c r="E107">
        <v>4</v>
      </c>
      <c r="F107">
        <v>14</v>
      </c>
      <c r="G107" t="s">
        <v>151</v>
      </c>
      <c r="H107">
        <v>5</v>
      </c>
      <c r="I107" s="59" t="s">
        <v>54</v>
      </c>
      <c r="J107">
        <v>33</v>
      </c>
      <c r="K107">
        <v>32</v>
      </c>
      <c r="L107" s="16">
        <f t="shared" si="21"/>
        <v>134.68711147948613</v>
      </c>
      <c r="M107">
        <v>57</v>
      </c>
      <c r="N107">
        <v>55</v>
      </c>
      <c r="O107">
        <v>54</v>
      </c>
      <c r="P107">
        <v>62</v>
      </c>
      <c r="Q107" s="62">
        <f t="shared" si="22"/>
        <v>57</v>
      </c>
      <c r="R107">
        <v>64</v>
      </c>
      <c r="S107">
        <v>61</v>
      </c>
      <c r="T107">
        <v>60</v>
      </c>
      <c r="U107">
        <v>68</v>
      </c>
      <c r="V107" s="62">
        <f t="shared" si="23"/>
        <v>63.25</v>
      </c>
      <c r="W107">
        <v>80</v>
      </c>
      <c r="X107">
        <v>79</v>
      </c>
      <c r="Y107">
        <v>80</v>
      </c>
      <c r="Z107">
        <v>80</v>
      </c>
      <c r="AA107" s="62">
        <f t="shared" si="24"/>
        <v>79.75</v>
      </c>
      <c r="AB107">
        <v>86</v>
      </c>
      <c r="AC107">
        <v>88</v>
      </c>
      <c r="AD107">
        <v>90</v>
      </c>
      <c r="AE107">
        <v>91</v>
      </c>
      <c r="AF107" s="62">
        <f t="shared" si="25"/>
        <v>88.75</v>
      </c>
      <c r="AG107">
        <v>90</v>
      </c>
      <c r="AH107">
        <v>93</v>
      </c>
      <c r="AI107">
        <v>90</v>
      </c>
      <c r="AJ107">
        <v>89</v>
      </c>
      <c r="AK107" s="62">
        <f t="shared" si="26"/>
        <v>90.5</v>
      </c>
      <c r="AP107" s="62" t="e">
        <f t="shared" si="27"/>
        <v>#DIV/0!</v>
      </c>
      <c r="AQ107" s="88">
        <v>45097</v>
      </c>
      <c r="AR107">
        <v>70</v>
      </c>
      <c r="AS107">
        <v>70</v>
      </c>
      <c r="AT107">
        <v>72</v>
      </c>
      <c r="AU107">
        <v>74</v>
      </c>
      <c r="AV107" s="62">
        <f t="shared" si="39"/>
        <v>71.5</v>
      </c>
      <c r="AW107">
        <v>5</v>
      </c>
      <c r="AX107">
        <v>0</v>
      </c>
      <c r="AY107">
        <v>0</v>
      </c>
      <c r="AZ107" s="15">
        <f t="shared" si="28"/>
        <v>3.3333333333333335</v>
      </c>
      <c r="BD107" s="15">
        <f t="shared" si="29"/>
        <v>0</v>
      </c>
      <c r="BH107" s="15">
        <f t="shared" si="30"/>
        <v>0</v>
      </c>
      <c r="BI107">
        <v>19.059999999999999</v>
      </c>
      <c r="BJ107">
        <v>13.26</v>
      </c>
      <c r="BK107" s="12">
        <f t="shared" si="31"/>
        <v>30.430220356768096</v>
      </c>
      <c r="BL107" s="12">
        <f t="shared" si="32"/>
        <v>-1.8279118572927615</v>
      </c>
      <c r="BM107" s="13">
        <f t="shared" si="33"/>
        <v>45132.17208814271</v>
      </c>
      <c r="BN107" s="90">
        <f t="shared" si="34"/>
        <v>84.172088142709981</v>
      </c>
      <c r="BO107">
        <v>6</v>
      </c>
      <c r="BP107" s="17">
        <f t="shared" si="35"/>
        <v>8.6867999999999999</v>
      </c>
      <c r="BQ107">
        <v>8720</v>
      </c>
      <c r="BR107">
        <v>10.1</v>
      </c>
      <c r="BS107" s="15">
        <f t="shared" si="36"/>
        <v>10432.784736711685</v>
      </c>
      <c r="BT107" s="15">
        <f t="shared" si="37"/>
        <v>193.9427931824608</v>
      </c>
      <c r="BU107" s="16">
        <v>68.127659574468083</v>
      </c>
      <c r="BV107" s="17">
        <v>5.34</v>
      </c>
      <c r="BW107" s="17">
        <v>5</v>
      </c>
      <c r="BX107" s="90">
        <f t="shared" si="38"/>
        <v>53.732138728323704</v>
      </c>
    </row>
    <row r="108" spans="2:76" x14ac:dyDescent="0.3">
      <c r="B108" s="58">
        <v>2023</v>
      </c>
      <c r="C108" t="s">
        <v>46</v>
      </c>
      <c r="D108">
        <v>423</v>
      </c>
      <c r="E108">
        <v>4</v>
      </c>
      <c r="F108">
        <v>15</v>
      </c>
      <c r="G108" t="s">
        <v>151</v>
      </c>
      <c r="H108">
        <v>6</v>
      </c>
      <c r="I108" s="59" t="s">
        <v>55</v>
      </c>
      <c r="J108">
        <v>46</v>
      </c>
      <c r="K108">
        <v>37</v>
      </c>
      <c r="L108" s="16">
        <f t="shared" si="21"/>
        <v>171.98508081226689</v>
      </c>
      <c r="M108">
        <v>65</v>
      </c>
      <c r="N108">
        <v>63</v>
      </c>
      <c r="O108">
        <v>65</v>
      </c>
      <c r="P108">
        <v>68</v>
      </c>
      <c r="Q108" s="62">
        <f t="shared" si="22"/>
        <v>65.25</v>
      </c>
      <c r="R108">
        <v>67</v>
      </c>
      <c r="S108">
        <v>69</v>
      </c>
      <c r="T108">
        <v>64</v>
      </c>
      <c r="U108">
        <v>73</v>
      </c>
      <c r="V108" s="62">
        <f t="shared" si="23"/>
        <v>68.25</v>
      </c>
      <c r="W108">
        <v>72</v>
      </c>
      <c r="X108">
        <v>72</v>
      </c>
      <c r="Y108">
        <v>75</v>
      </c>
      <c r="Z108">
        <v>76</v>
      </c>
      <c r="AA108" s="62">
        <f t="shared" si="24"/>
        <v>73.75</v>
      </c>
      <c r="AB108">
        <v>83</v>
      </c>
      <c r="AC108">
        <v>89</v>
      </c>
      <c r="AD108">
        <v>91</v>
      </c>
      <c r="AE108">
        <v>83</v>
      </c>
      <c r="AF108" s="62">
        <f t="shared" si="25"/>
        <v>86.5</v>
      </c>
      <c r="AG108">
        <v>79</v>
      </c>
      <c r="AH108">
        <v>83</v>
      </c>
      <c r="AI108">
        <v>86</v>
      </c>
      <c r="AJ108">
        <v>83</v>
      </c>
      <c r="AK108" s="62">
        <f t="shared" si="26"/>
        <v>82.75</v>
      </c>
      <c r="AP108" s="62" t="e">
        <f t="shared" si="27"/>
        <v>#DIV/0!</v>
      </c>
      <c r="AQ108" s="88">
        <v>45097</v>
      </c>
      <c r="AR108">
        <v>66</v>
      </c>
      <c r="AS108">
        <v>69</v>
      </c>
      <c r="AT108">
        <v>64</v>
      </c>
      <c r="AU108">
        <v>65</v>
      </c>
      <c r="AV108" s="62">
        <f t="shared" si="39"/>
        <v>66</v>
      </c>
      <c r="AW108">
        <v>0</v>
      </c>
      <c r="AX108">
        <v>0</v>
      </c>
      <c r="AY108">
        <v>0</v>
      </c>
      <c r="AZ108" s="15">
        <f t="shared" si="28"/>
        <v>0</v>
      </c>
      <c r="BD108" s="15">
        <f t="shared" si="29"/>
        <v>0</v>
      </c>
      <c r="BH108" s="15">
        <f t="shared" si="30"/>
        <v>0</v>
      </c>
      <c r="BI108">
        <v>20.010000000000002</v>
      </c>
      <c r="BJ108">
        <v>14.04</v>
      </c>
      <c r="BK108" s="12">
        <f t="shared" si="31"/>
        <v>29.835082458770621</v>
      </c>
      <c r="BL108" s="12">
        <f t="shared" si="32"/>
        <v>-2.0659670164917516</v>
      </c>
      <c r="BM108" s="13">
        <f t="shared" si="33"/>
        <v>45131.93403298351</v>
      </c>
      <c r="BN108" s="90">
        <f t="shared" si="34"/>
        <v>83.934032983510406</v>
      </c>
      <c r="BO108">
        <v>6</v>
      </c>
      <c r="BP108" s="17">
        <f t="shared" si="35"/>
        <v>8.6867999999999999</v>
      </c>
      <c r="BQ108">
        <v>8420</v>
      </c>
      <c r="BR108">
        <v>12.3</v>
      </c>
      <c r="BS108" s="15">
        <f t="shared" si="36"/>
        <v>9827.3348627284067</v>
      </c>
      <c r="BT108" s="15">
        <f t="shared" si="37"/>
        <v>182.68763526866911</v>
      </c>
      <c r="BU108" s="16">
        <v>68.425531914893625</v>
      </c>
      <c r="BV108" s="17">
        <v>4.3</v>
      </c>
      <c r="BW108" s="17">
        <v>3.9299999999999997</v>
      </c>
      <c r="BX108" s="90">
        <f t="shared" si="38"/>
        <v>41.720867052023124</v>
      </c>
    </row>
    <row r="109" spans="2:76" x14ac:dyDescent="0.3">
      <c r="B109" s="58">
        <v>2023</v>
      </c>
      <c r="C109" t="s">
        <v>46</v>
      </c>
      <c r="D109">
        <v>424</v>
      </c>
      <c r="E109">
        <v>4</v>
      </c>
      <c r="F109">
        <v>12</v>
      </c>
      <c r="G109" t="s">
        <v>151</v>
      </c>
      <c r="H109">
        <v>3</v>
      </c>
      <c r="I109" s="59" t="s">
        <v>51</v>
      </c>
      <c r="J109">
        <v>40</v>
      </c>
      <c r="K109">
        <v>48</v>
      </c>
      <c r="L109" s="16">
        <f t="shared" si="21"/>
        <v>182.34562784915045</v>
      </c>
      <c r="M109">
        <v>62</v>
      </c>
      <c r="N109">
        <v>68</v>
      </c>
      <c r="O109">
        <v>56</v>
      </c>
      <c r="P109">
        <v>61</v>
      </c>
      <c r="Q109" s="62">
        <f t="shared" si="22"/>
        <v>61.75</v>
      </c>
      <c r="R109">
        <v>76</v>
      </c>
      <c r="S109">
        <v>65</v>
      </c>
      <c r="T109">
        <v>64</v>
      </c>
      <c r="U109">
        <v>73</v>
      </c>
      <c r="V109" s="62">
        <f t="shared" si="23"/>
        <v>69.5</v>
      </c>
      <c r="W109">
        <v>88</v>
      </c>
      <c r="X109">
        <v>86</v>
      </c>
      <c r="Y109">
        <v>78</v>
      </c>
      <c r="Z109">
        <v>84</v>
      </c>
      <c r="AA109" s="62">
        <f t="shared" si="24"/>
        <v>84</v>
      </c>
      <c r="AB109">
        <v>86</v>
      </c>
      <c r="AC109">
        <v>89</v>
      </c>
      <c r="AD109">
        <v>90</v>
      </c>
      <c r="AE109">
        <v>92</v>
      </c>
      <c r="AF109" s="62">
        <f t="shared" si="25"/>
        <v>89.25</v>
      </c>
      <c r="AG109">
        <v>92</v>
      </c>
      <c r="AH109">
        <v>89</v>
      </c>
      <c r="AI109">
        <v>96</v>
      </c>
      <c r="AJ109">
        <v>82</v>
      </c>
      <c r="AK109" s="62">
        <f t="shared" si="26"/>
        <v>89.75</v>
      </c>
      <c r="AP109" s="62" t="e">
        <f t="shared" si="27"/>
        <v>#DIV/0!</v>
      </c>
      <c r="AQ109" s="88">
        <v>45097</v>
      </c>
      <c r="AR109">
        <v>75</v>
      </c>
      <c r="AS109">
        <v>74</v>
      </c>
      <c r="AT109">
        <v>71</v>
      </c>
      <c r="AU109">
        <v>70</v>
      </c>
      <c r="AV109" s="62">
        <f t="shared" si="39"/>
        <v>72.5</v>
      </c>
      <c r="AW109">
        <v>0</v>
      </c>
      <c r="AX109">
        <v>0</v>
      </c>
      <c r="AY109">
        <v>0</v>
      </c>
      <c r="AZ109" s="15">
        <f t="shared" si="28"/>
        <v>0</v>
      </c>
      <c r="BD109" s="15">
        <f t="shared" si="29"/>
        <v>0</v>
      </c>
      <c r="BH109" s="15">
        <f t="shared" si="30"/>
        <v>0</v>
      </c>
      <c r="BI109">
        <v>15.77</v>
      </c>
      <c r="BJ109">
        <v>12.76</v>
      </c>
      <c r="BK109" s="12">
        <f t="shared" si="31"/>
        <v>19.086873811033609</v>
      </c>
      <c r="BL109" s="12">
        <f t="shared" si="32"/>
        <v>-6.3652504755865564</v>
      </c>
      <c r="BM109" s="13">
        <f t="shared" si="33"/>
        <v>45127.634749524412</v>
      </c>
      <c r="BN109" s="90">
        <f t="shared" si="34"/>
        <v>79.634749524411745</v>
      </c>
      <c r="BO109">
        <v>6</v>
      </c>
      <c r="BP109" s="17">
        <f t="shared" si="35"/>
        <v>8.6867999999999999</v>
      </c>
      <c r="BQ109">
        <v>8590</v>
      </c>
      <c r="BR109">
        <v>10.3</v>
      </c>
      <c r="BS109" s="15">
        <f t="shared" si="36"/>
        <v>10254.386364162649</v>
      </c>
      <c r="BT109" s="15">
        <f t="shared" si="37"/>
        <v>190.62641317994667</v>
      </c>
      <c r="BU109" s="16">
        <v>69.063829787234042</v>
      </c>
      <c r="BV109" s="17">
        <v>4.1100000000000003</v>
      </c>
      <c r="BW109" s="17">
        <v>3.9200000000000004</v>
      </c>
      <c r="BX109" s="90">
        <f t="shared" si="38"/>
        <v>41.635317919075149</v>
      </c>
    </row>
    <row r="110" spans="2:76" x14ac:dyDescent="0.3">
      <c r="B110" s="58">
        <v>2023</v>
      </c>
      <c r="C110" t="s">
        <v>46</v>
      </c>
      <c r="D110">
        <v>425</v>
      </c>
      <c r="E110">
        <v>4</v>
      </c>
      <c r="F110">
        <v>11</v>
      </c>
      <c r="G110" t="s">
        <v>151</v>
      </c>
      <c r="H110">
        <v>2</v>
      </c>
      <c r="I110" s="59" t="s">
        <v>53</v>
      </c>
      <c r="J110">
        <v>37</v>
      </c>
      <c r="K110">
        <v>41</v>
      </c>
      <c r="L110" s="16">
        <f t="shared" si="21"/>
        <v>161.62453377538336</v>
      </c>
      <c r="M110">
        <v>58</v>
      </c>
      <c r="N110">
        <v>57</v>
      </c>
      <c r="O110">
        <v>60</v>
      </c>
      <c r="P110">
        <v>60</v>
      </c>
      <c r="Q110" s="62">
        <f t="shared" si="22"/>
        <v>58.75</v>
      </c>
      <c r="R110">
        <v>70</v>
      </c>
      <c r="S110">
        <v>70</v>
      </c>
      <c r="T110">
        <v>71</v>
      </c>
      <c r="U110">
        <v>66</v>
      </c>
      <c r="V110" s="62">
        <f t="shared" si="23"/>
        <v>69.25</v>
      </c>
      <c r="W110">
        <v>92</v>
      </c>
      <c r="X110">
        <v>92</v>
      </c>
      <c r="Y110">
        <v>86</v>
      </c>
      <c r="Z110">
        <v>82</v>
      </c>
      <c r="AA110" s="62">
        <f t="shared" si="24"/>
        <v>88</v>
      </c>
      <c r="AB110">
        <v>85</v>
      </c>
      <c r="AC110">
        <v>90</v>
      </c>
      <c r="AD110">
        <v>98</v>
      </c>
      <c r="AE110">
        <v>98</v>
      </c>
      <c r="AF110" s="62">
        <f t="shared" si="25"/>
        <v>92.75</v>
      </c>
      <c r="AG110">
        <v>98</v>
      </c>
      <c r="AH110">
        <v>97</v>
      </c>
      <c r="AI110">
        <v>97</v>
      </c>
      <c r="AJ110">
        <v>95</v>
      </c>
      <c r="AK110" s="62">
        <f t="shared" si="26"/>
        <v>96.75</v>
      </c>
      <c r="AP110" s="62" t="e">
        <f t="shared" si="27"/>
        <v>#DIV/0!</v>
      </c>
      <c r="AQ110" s="88">
        <v>45097</v>
      </c>
      <c r="AR110">
        <v>76</v>
      </c>
      <c r="AS110">
        <v>74</v>
      </c>
      <c r="AT110">
        <v>76</v>
      </c>
      <c r="AU110">
        <v>78</v>
      </c>
      <c r="AV110" s="62">
        <f t="shared" si="39"/>
        <v>76</v>
      </c>
      <c r="AW110">
        <v>5</v>
      </c>
      <c r="AX110">
        <v>0</v>
      </c>
      <c r="AY110">
        <v>0</v>
      </c>
      <c r="AZ110" s="15">
        <f t="shared" si="28"/>
        <v>3.3333333333333335</v>
      </c>
      <c r="BD110" s="15">
        <f t="shared" si="29"/>
        <v>0</v>
      </c>
      <c r="BH110" s="15">
        <f t="shared" si="30"/>
        <v>0</v>
      </c>
      <c r="BI110">
        <v>19.13</v>
      </c>
      <c r="BJ110">
        <v>14.17</v>
      </c>
      <c r="BK110" s="12">
        <f t="shared" si="31"/>
        <v>25.927861996863559</v>
      </c>
      <c r="BL110" s="12">
        <f t="shared" si="32"/>
        <v>-3.6288552012545763</v>
      </c>
      <c r="BM110" s="13">
        <f t="shared" si="33"/>
        <v>45130.371144798744</v>
      </c>
      <c r="BN110" s="90">
        <f t="shared" si="34"/>
        <v>82.371144798744353</v>
      </c>
      <c r="BO110">
        <v>6</v>
      </c>
      <c r="BP110" s="17">
        <f t="shared" si="35"/>
        <v>8.6867999999999999</v>
      </c>
      <c r="BQ110">
        <v>9120</v>
      </c>
      <c r="BR110">
        <v>12.2</v>
      </c>
      <c r="BS110" s="15">
        <f t="shared" si="36"/>
        <v>10656.471409281932</v>
      </c>
      <c r="BT110" s="15">
        <f t="shared" si="37"/>
        <v>198.10107106998464</v>
      </c>
      <c r="BU110" s="16">
        <v>70.851063829787236</v>
      </c>
      <c r="BV110" s="17">
        <v>4.42</v>
      </c>
      <c r="BW110" s="17">
        <v>4.41</v>
      </c>
      <c r="BX110" s="90">
        <f t="shared" si="38"/>
        <v>44.813526011560697</v>
      </c>
    </row>
    <row r="111" spans="2:76" x14ac:dyDescent="0.3">
      <c r="B111" s="58">
        <v>2023</v>
      </c>
      <c r="C111" t="s">
        <v>46</v>
      </c>
      <c r="D111">
        <v>426</v>
      </c>
      <c r="E111">
        <v>4</v>
      </c>
      <c r="F111">
        <v>17</v>
      </c>
      <c r="G111" t="s">
        <v>151</v>
      </c>
      <c r="H111">
        <v>8</v>
      </c>
      <c r="I111" s="59" t="s">
        <v>57</v>
      </c>
      <c r="J111">
        <v>41</v>
      </c>
      <c r="K111">
        <v>42</v>
      </c>
      <c r="L111" s="16">
        <f t="shared" si="21"/>
        <v>171.98508081226689</v>
      </c>
      <c r="M111">
        <v>64</v>
      </c>
      <c r="N111">
        <v>50</v>
      </c>
      <c r="O111">
        <v>48</v>
      </c>
      <c r="P111">
        <v>52</v>
      </c>
      <c r="Q111" s="62">
        <f t="shared" si="22"/>
        <v>53.5</v>
      </c>
      <c r="R111">
        <v>73</v>
      </c>
      <c r="S111">
        <v>75</v>
      </c>
      <c r="T111">
        <v>75</v>
      </c>
      <c r="U111">
        <v>60</v>
      </c>
      <c r="V111" s="62">
        <f t="shared" si="23"/>
        <v>70.75</v>
      </c>
      <c r="W111">
        <v>80</v>
      </c>
      <c r="X111">
        <v>87</v>
      </c>
      <c r="Y111">
        <v>83</v>
      </c>
      <c r="Z111">
        <v>88</v>
      </c>
      <c r="AA111" s="62">
        <f t="shared" si="24"/>
        <v>84.5</v>
      </c>
      <c r="AB111">
        <v>93</v>
      </c>
      <c r="AC111">
        <v>95</v>
      </c>
      <c r="AD111">
        <v>96</v>
      </c>
      <c r="AE111">
        <v>96</v>
      </c>
      <c r="AF111" s="62">
        <f t="shared" si="25"/>
        <v>95</v>
      </c>
      <c r="AG111">
        <v>89</v>
      </c>
      <c r="AH111">
        <v>94</v>
      </c>
      <c r="AI111">
        <v>97</v>
      </c>
      <c r="AJ111">
        <v>88</v>
      </c>
      <c r="AK111" s="62">
        <f t="shared" si="26"/>
        <v>92</v>
      </c>
      <c r="AP111" s="62" t="e">
        <f t="shared" si="27"/>
        <v>#DIV/0!</v>
      </c>
      <c r="AQ111" s="88">
        <v>45097</v>
      </c>
      <c r="AR111">
        <v>73</v>
      </c>
      <c r="AS111">
        <v>70</v>
      </c>
      <c r="AT111">
        <v>73</v>
      </c>
      <c r="AU111">
        <v>79</v>
      </c>
      <c r="AV111" s="62">
        <f t="shared" si="39"/>
        <v>73.75</v>
      </c>
      <c r="AW111">
        <v>5</v>
      </c>
      <c r="AX111">
        <v>0</v>
      </c>
      <c r="AY111">
        <v>0</v>
      </c>
      <c r="AZ111" s="15">
        <f t="shared" si="28"/>
        <v>3.3333333333333335</v>
      </c>
      <c r="BD111" s="15">
        <f t="shared" si="29"/>
        <v>0</v>
      </c>
      <c r="BH111" s="15">
        <f t="shared" si="30"/>
        <v>0</v>
      </c>
      <c r="BI111">
        <v>18.7</v>
      </c>
      <c r="BJ111">
        <v>13.88</v>
      </c>
      <c r="BK111" s="12">
        <f t="shared" si="31"/>
        <v>25.775401069518711</v>
      </c>
      <c r="BL111" s="12">
        <f t="shared" si="32"/>
        <v>-3.6898395721925157</v>
      </c>
      <c r="BM111" s="13">
        <f t="shared" si="33"/>
        <v>45130.310160427805</v>
      </c>
      <c r="BN111" s="90">
        <f t="shared" si="34"/>
        <v>82.310160427805386</v>
      </c>
      <c r="BO111">
        <v>6</v>
      </c>
      <c r="BP111" s="17">
        <f t="shared" si="35"/>
        <v>8.6867999999999999</v>
      </c>
      <c r="BQ111">
        <v>8590</v>
      </c>
      <c r="BR111">
        <v>11.2</v>
      </c>
      <c r="BS111" s="15">
        <f t="shared" si="36"/>
        <v>10151.499544455331</v>
      </c>
      <c r="BT111" s="15">
        <f t="shared" si="37"/>
        <v>188.71377358282348</v>
      </c>
      <c r="BU111" s="16">
        <v>70.042553191489361</v>
      </c>
      <c r="BV111" s="17">
        <v>4.5200000000000005</v>
      </c>
      <c r="BW111" s="17">
        <v>4.17</v>
      </c>
      <c r="BX111" s="90">
        <f t="shared" si="38"/>
        <v>44.605317919075148</v>
      </c>
    </row>
    <row r="112" spans="2:76" x14ac:dyDescent="0.3">
      <c r="B112" s="58">
        <v>2023</v>
      </c>
      <c r="C112" t="s">
        <v>46</v>
      </c>
      <c r="D112">
        <v>427</v>
      </c>
      <c r="E112">
        <v>4</v>
      </c>
      <c r="F112">
        <v>18</v>
      </c>
      <c r="G112" t="s">
        <v>151</v>
      </c>
      <c r="H112">
        <v>9</v>
      </c>
      <c r="I112" s="59" t="s">
        <v>58</v>
      </c>
      <c r="J112">
        <v>42</v>
      </c>
      <c r="K112">
        <v>33</v>
      </c>
      <c r="L112" s="16">
        <f>(AVERAGE(J112:K112))/L$2</f>
        <v>155.40820555325323</v>
      </c>
      <c r="M112">
        <v>59</v>
      </c>
      <c r="N112">
        <v>52</v>
      </c>
      <c r="O112">
        <v>55</v>
      </c>
      <c r="P112">
        <v>53</v>
      </c>
      <c r="Q112" s="62">
        <f t="shared" si="22"/>
        <v>54.75</v>
      </c>
      <c r="R112">
        <v>66</v>
      </c>
      <c r="S112">
        <v>67</v>
      </c>
      <c r="T112">
        <v>65</v>
      </c>
      <c r="U112">
        <v>64</v>
      </c>
      <c r="V112" s="62">
        <f t="shared" si="23"/>
        <v>65.5</v>
      </c>
      <c r="W112">
        <v>75</v>
      </c>
      <c r="X112">
        <v>73</v>
      </c>
      <c r="Y112">
        <v>70</v>
      </c>
      <c r="Z112">
        <v>73</v>
      </c>
      <c r="AA112" s="62">
        <f t="shared" si="24"/>
        <v>72.75</v>
      </c>
      <c r="AB112">
        <v>86</v>
      </c>
      <c r="AC112">
        <v>89</v>
      </c>
      <c r="AD112">
        <v>70</v>
      </c>
      <c r="AE112">
        <v>72</v>
      </c>
      <c r="AF112" s="62">
        <f t="shared" si="25"/>
        <v>79.25</v>
      </c>
      <c r="AG112">
        <v>72</v>
      </c>
      <c r="AH112">
        <v>71</v>
      </c>
      <c r="AI112">
        <v>69</v>
      </c>
      <c r="AJ112">
        <v>67</v>
      </c>
      <c r="AK112" s="62">
        <f t="shared" si="26"/>
        <v>69.75</v>
      </c>
      <c r="AP112" s="62" t="e">
        <f t="shared" si="27"/>
        <v>#DIV/0!</v>
      </c>
      <c r="AQ112" s="88">
        <v>45097</v>
      </c>
      <c r="AR112">
        <v>55</v>
      </c>
      <c r="AS112">
        <v>56</v>
      </c>
      <c r="AT112">
        <v>57</v>
      </c>
      <c r="AU112">
        <v>58</v>
      </c>
      <c r="AV112" s="62">
        <f t="shared" si="39"/>
        <v>56.5</v>
      </c>
      <c r="AW112">
        <v>0</v>
      </c>
      <c r="AX112">
        <v>0</v>
      </c>
      <c r="AY112">
        <v>0</v>
      </c>
      <c r="AZ112" s="15">
        <f t="shared" si="28"/>
        <v>0</v>
      </c>
      <c r="BD112" s="15">
        <f t="shared" si="29"/>
        <v>0</v>
      </c>
      <c r="BH112" s="15">
        <f t="shared" si="30"/>
        <v>0</v>
      </c>
      <c r="BI112">
        <v>16.5</v>
      </c>
      <c r="BJ112">
        <v>12.57</v>
      </c>
      <c r="BK112" s="12">
        <f t="shared" si="31"/>
        <v>23.818181818181817</v>
      </c>
      <c r="BL112" s="12">
        <f t="shared" si="32"/>
        <v>-4.4727272727272736</v>
      </c>
      <c r="BM112" s="13">
        <f t="shared" si="33"/>
        <v>45129.527272727275</v>
      </c>
      <c r="BN112" s="90">
        <f t="shared" si="34"/>
        <v>81.527272727274976</v>
      </c>
      <c r="BO112">
        <v>6</v>
      </c>
      <c r="BP112" s="17">
        <f t="shared" si="35"/>
        <v>8.6867999999999999</v>
      </c>
      <c r="BQ112">
        <v>7400</v>
      </c>
      <c r="BR112">
        <v>9</v>
      </c>
      <c r="BS112" s="15">
        <f t="shared" si="36"/>
        <v>8961.8399160403114</v>
      </c>
      <c r="BT112" s="15">
        <f t="shared" si="37"/>
        <v>166.5983061315186</v>
      </c>
      <c r="BU112" s="16">
        <v>68.510638297872333</v>
      </c>
      <c r="BV112" s="17">
        <v>5.2200000000000006</v>
      </c>
      <c r="BW112" s="17">
        <v>5.2</v>
      </c>
      <c r="BX112" s="90">
        <f t="shared" si="38"/>
        <v>54.810404624277467</v>
      </c>
    </row>
  </sheetData>
  <sortState xmlns:xlrd2="http://schemas.microsoft.com/office/spreadsheetml/2017/richdata2" ref="H129:I137">
    <sortCondition ref="I129:I137"/>
  </sortState>
  <mergeCells count="12">
    <mergeCell ref="J3:L3"/>
    <mergeCell ref="M3:Q3"/>
    <mergeCell ref="R3:V3"/>
    <mergeCell ref="AW3:AZ3"/>
    <mergeCell ref="BI3:BN3"/>
    <mergeCell ref="W3:AA3"/>
    <mergeCell ref="AB3:AF3"/>
    <mergeCell ref="AG3:AK3"/>
    <mergeCell ref="AL3:AP3"/>
    <mergeCell ref="AR3:AV3"/>
    <mergeCell ref="BA3:BD3"/>
    <mergeCell ref="BE3:BH3"/>
  </mergeCells>
  <phoneticPr fontId="15" type="noConversion"/>
  <conditionalFormatting sqref="AF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4 V4 AV4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pageSetup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f7d0794-db2d-4812-b604-61f5a4ff255c">
      <Terms xmlns="http://schemas.microsoft.com/office/infopath/2007/PartnerControls"/>
    </lcf76f155ced4ddcb4097134ff3c332f>
    <TaxCatchAll xmlns="a8605628-264e-41a0-8475-cece7ab702d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DF75DA385D9D49AEF1AFFA7B6C9CC6" ma:contentTypeVersion="19" ma:contentTypeDescription="Create a new document." ma:contentTypeScope="" ma:versionID="ce931ee89191dae6b98df4a9eb785eda">
  <xsd:schema xmlns:xsd="http://www.w3.org/2001/XMLSchema" xmlns:xs="http://www.w3.org/2001/XMLSchema" xmlns:p="http://schemas.microsoft.com/office/2006/metadata/properties" xmlns:ns2="6f7d0794-db2d-4812-b604-61f5a4ff255c" xmlns:ns3="a5c6594c-ef7c-4f4e-b6c2-b279c11b84c4" xmlns:ns4="a8605628-264e-41a0-8475-cece7ab702df" targetNamespace="http://schemas.microsoft.com/office/2006/metadata/properties" ma:root="true" ma:fieldsID="1423969beab7147e8f16463e1187da9b" ns2:_="" ns3:_="" ns4:_="">
    <xsd:import namespace="6f7d0794-db2d-4812-b604-61f5a4ff255c"/>
    <xsd:import namespace="a5c6594c-ef7c-4f4e-b6c2-b279c11b84c4"/>
    <xsd:import namespace="a8605628-264e-41a0-8475-cece7ab702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7d0794-db2d-4812-b604-61f5a4ff25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e3e00d72-d7b1-4584-97c1-b448dd6f78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c6594c-ef7c-4f4e-b6c2-b279c11b84c4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605628-264e-41a0-8475-cece7ab702df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417fab13-479b-49b5-8e0e-377edeac1d27}" ma:internalName="TaxCatchAll" ma:showField="CatchAllData" ma:web="a8605628-264e-41a0-8475-cece7ab702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E0FC32F-A32D-421B-810C-05F6677A099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BD74528-3922-4B91-9B6E-A6E54F9C70B4}">
  <ds:schemaRefs>
    <ds:schemaRef ds:uri="http://schemas.microsoft.com/office/2006/metadata/properties"/>
    <ds:schemaRef ds:uri="http://www.w3.org/2000/xmlns/"/>
    <ds:schemaRef ds:uri="6f7d0794-db2d-4812-b604-61f5a4ff255c"/>
    <ds:schemaRef ds:uri="http://schemas.microsoft.com/office/infopath/2007/PartnerControls"/>
    <ds:schemaRef ds:uri="a8605628-264e-41a0-8475-cece7ab702df"/>
    <ds:schemaRef ds:uri="http://www.w3.org/2001/XMLSchema-instance"/>
  </ds:schemaRefs>
</ds:datastoreItem>
</file>

<file path=customXml/itemProps3.xml><?xml version="1.0" encoding="utf-8"?>
<ds:datastoreItem xmlns:ds="http://schemas.openxmlformats.org/officeDocument/2006/customXml" ds:itemID="{CDFD99F9-F3F8-434B-A07D-3D2185C5C61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7d0794-db2d-4812-b604-61f5a4ff255c"/>
    <ds:schemaRef ds:uri="a5c6594c-ef7c-4f4e-b6c2-b279c11b84c4"/>
    <ds:schemaRef ds:uri="a8605628-264e-41a0-8475-cece7ab702d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Treatments</vt:lpstr>
      <vt:lpstr>BBCH staging guide</vt:lpstr>
      <vt:lpstr>2023 Plot Map</vt:lpstr>
      <vt:lpstr>heights</vt:lpstr>
      <vt:lpstr>Field notes</vt:lpstr>
      <vt:lpstr>irrigation_final</vt:lpstr>
      <vt:lpstr>Irrigation</vt:lpstr>
      <vt:lpstr>weather_final</vt:lpstr>
      <vt:lpstr>Weather</vt:lpstr>
      <vt:lpstr>Data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Laurel Perrott</dc:creator>
  <cp:lastModifiedBy>Wilfried Dossou-Yovo</cp:lastModifiedBy>
  <cp:lastPrinted>2022-03-24T18:28:03Z</cp:lastPrinted>
  <dcterms:created xsi:type="dcterms:W3CDTF">2019-02-28T16:52:31Z</dcterms:created>
  <dcterms:modified xsi:type="dcterms:W3CDTF">2026-01-14T21:01:02Z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0x0101008DDF75DA385D9D49AEF1AFFA7B6C9CC6</vt:lpwstr>
  </property>
  <property fmtid="{D5CDD505-2E9C-101B-9397-08002B2CF9AE}" pid="3" name="MediaServiceImageTags">
    <vt:lpwstr/>
  </property>
</Properties>
</file>