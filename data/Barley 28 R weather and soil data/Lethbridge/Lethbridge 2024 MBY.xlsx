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mylakeland-my.sharepoint.com/personal/wilfried_dossouyovo_lakelandcollege_ca/Documents/1. Main folder/2. Research/2. Bawinder/28RBarley/data/Barley 28 R weather and soil data/Lethbridge/"/>
    </mc:Choice>
  </mc:AlternateContent>
  <xr:revisionPtr revIDLastSave="11" documentId="8_{3E56E185-5E43-44C3-A8F9-C7E244CA57BE}" xr6:coauthVersionLast="47" xr6:coauthVersionMax="47" xr10:uidLastSave="{50C37BC6-B473-49D2-A1F2-961F85ED1E95}"/>
  <bookViews>
    <workbookView xWindow="57480" yWindow="-120" windowWidth="29040" windowHeight="15720" tabRatio="500" firstSheet="7" activeTab="14" xr2:uid="{00000000-000D-0000-FFFF-FFFF00000000}"/>
  </bookViews>
  <sheets>
    <sheet name="map 21-24" sheetId="12" r:id="rId1"/>
    <sheet name="Data  (2)" sheetId="11" r:id="rId2"/>
    <sheet name="Calculations" sheetId="9" r:id="rId3"/>
    <sheet name="Methods" sheetId="8" r:id="rId4"/>
    <sheet name="Treatments" sheetId="2" r:id="rId5"/>
    <sheet name="BBCH staging guide" sheetId="6" r:id="rId6"/>
    <sheet name="2024 Plot Map" sheetId="7" r:id="rId7"/>
    <sheet name="Map 37" sheetId="14" r:id="rId8"/>
    <sheet name="map 30-32" sheetId="13" r:id="rId9"/>
    <sheet name="Sheet1" sheetId="16" r:id="rId10"/>
    <sheet name="Harvest" sheetId="15" r:id="rId11"/>
    <sheet name="Labels" sheetId="10" r:id="rId12"/>
    <sheet name="Field notes" sheetId="4" r:id="rId13"/>
    <sheet name="weather_final" sheetId="19" r:id="rId14"/>
    <sheet name="Weather" sheetId="17" r:id="rId15"/>
    <sheet name="irrigation_final" sheetId="20" r:id="rId16"/>
    <sheet name="Irrigation" sheetId="18" r:id="rId17"/>
    <sheet name="Data " sheetId="3" r:id="rId18"/>
  </sheets>
  <definedNames>
    <definedName name="_56F9DC9755BA473782653E2940F9FormId">"rHLN-qzIXEGR-1B6_GMi6DwMMc5m7T5JodM_wC6T-EVURVQ2WFRCREROTFVSN0kzU1FRVlpNSVpWSSQlQCN0PWcu"</definedName>
    <definedName name="_56F9DC9755BA473782653E2940F9ResponseSheet">"Form1"</definedName>
    <definedName name="_56F9DC9755BA473782653E2940F9SourceDocId">"{2a9cab32-3733-46be-95ef-d2d42d5e212a}"</definedName>
  </definedNames>
  <calcPr calcId="191028"/>
  <pivotCaches>
    <pivotCache cacheId="3" r:id="rId19"/>
    <pivotCache cacheId="4" r:id="rId20"/>
    <pivotCache cacheId="5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24" i="20" l="1"/>
  <c r="I21" i="20"/>
  <c r="I17" i="20"/>
  <c r="I16" i="20"/>
  <c r="I13" i="20"/>
  <c r="I11" i="20"/>
  <c r="I8" i="20"/>
  <c r="I5" i="20"/>
  <c r="I3" i="20"/>
  <c r="G173" i="17"/>
  <c r="I3" i="18"/>
  <c r="I5" i="18"/>
  <c r="I8" i="18"/>
  <c r="I11" i="18"/>
  <c r="I13" i="18"/>
  <c r="I16" i="18"/>
  <c r="I17" i="18"/>
  <c r="I21" i="18"/>
  <c r="I24" i="18"/>
  <c r="BN5" i="3" l="1"/>
  <c r="BX5" i="3" l="1"/>
  <c r="AP9" i="3"/>
  <c r="AP13" i="3"/>
  <c r="AP17" i="3"/>
  <c r="AP25" i="3"/>
  <c r="AP26" i="3"/>
  <c r="AP29" i="3"/>
  <c r="AP33" i="3"/>
  <c r="AP37" i="3"/>
  <c r="AP45" i="3"/>
  <c r="AP48" i="3"/>
  <c r="AP53" i="3"/>
  <c r="AP57" i="3"/>
  <c r="AP65" i="3"/>
  <c r="AP68" i="3"/>
  <c r="AP69" i="3"/>
  <c r="AP73" i="3"/>
  <c r="AP77" i="3"/>
  <c r="AP84" i="3"/>
  <c r="AP89" i="3"/>
  <c r="AP96" i="3"/>
  <c r="AP97" i="3"/>
  <c r="AP101" i="3"/>
  <c r="AP109" i="3"/>
  <c r="AP21" i="3"/>
  <c r="AP41" i="3"/>
  <c r="AP61" i="3"/>
  <c r="AP85" i="3"/>
  <c r="AP105" i="3"/>
  <c r="AP27" i="3"/>
  <c r="AP31" i="3"/>
  <c r="AP35" i="3"/>
  <c r="AP39" i="3"/>
  <c r="AP55" i="3"/>
  <c r="AP59" i="3"/>
  <c r="AP63" i="3"/>
  <c r="AP67" i="3"/>
  <c r="AP71" i="3"/>
  <c r="AP79" i="3"/>
  <c r="AP83" i="3"/>
  <c r="AP87" i="3"/>
  <c r="AP91" i="3"/>
  <c r="AP95" i="3"/>
  <c r="AP99" i="3"/>
  <c r="AP107" i="3"/>
  <c r="BL11" i="3"/>
  <c r="BX90" i="3"/>
  <c r="BX91" i="3"/>
  <c r="BX92" i="3"/>
  <c r="BX93" i="3"/>
  <c r="BX89" i="3"/>
  <c r="BX88" i="3"/>
  <c r="L5" i="3"/>
  <c r="BP2" i="3"/>
  <c r="BP5" i="3"/>
  <c r="BS5" i="3"/>
  <c r="BT5" i="3"/>
  <c r="AA15" i="3"/>
  <c r="W32" i="12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BX112" i="11"/>
  <c r="BP112" i="11"/>
  <c r="BS112" i="11"/>
  <c r="BT112" i="11"/>
  <c r="BK112" i="11"/>
  <c r="BL112" i="11"/>
  <c r="BM112" i="11"/>
  <c r="BN112" i="11"/>
  <c r="BH112" i="11"/>
  <c r="BD112" i="11"/>
  <c r="AZ112" i="11"/>
  <c r="AV112" i="11"/>
  <c r="AP112" i="11"/>
  <c r="AK112" i="11"/>
  <c r="AF112" i="11"/>
  <c r="AA112" i="11"/>
  <c r="V112" i="11"/>
  <c r="Q112" i="11"/>
  <c r="L112" i="11"/>
  <c r="BX111" i="11"/>
  <c r="BT111" i="11"/>
  <c r="BP111" i="11"/>
  <c r="BS111" i="11"/>
  <c r="BK111" i="11"/>
  <c r="BL111" i="11"/>
  <c r="BM111" i="11"/>
  <c r="BN111" i="11"/>
  <c r="BH111" i="11"/>
  <c r="BD111" i="11"/>
  <c r="AZ111" i="11"/>
  <c r="AV111" i="11"/>
  <c r="AP111" i="11"/>
  <c r="AK111" i="11"/>
  <c r="AF111" i="11"/>
  <c r="AA111" i="11"/>
  <c r="V111" i="11"/>
  <c r="Q111" i="11"/>
  <c r="L111" i="11"/>
  <c r="BX110" i="11"/>
  <c r="BS110" i="11"/>
  <c r="BT110" i="11"/>
  <c r="BP110" i="11"/>
  <c r="BM110" i="11"/>
  <c r="BN110" i="11"/>
  <c r="BL110" i="11"/>
  <c r="BK110" i="11"/>
  <c r="BH110" i="11"/>
  <c r="BD110" i="11"/>
  <c r="AZ110" i="11"/>
  <c r="AV110" i="11"/>
  <c r="AP110" i="11"/>
  <c r="AK110" i="11"/>
  <c r="AF110" i="11"/>
  <c r="AA110" i="11"/>
  <c r="V110" i="11"/>
  <c r="Q110" i="11"/>
  <c r="L110" i="11"/>
  <c r="BX109" i="11"/>
  <c r="BP109" i="11"/>
  <c r="BS109" i="11"/>
  <c r="BT109" i="11"/>
  <c r="BL109" i="11"/>
  <c r="BM109" i="11"/>
  <c r="BN109" i="11"/>
  <c r="BK109" i="11"/>
  <c r="BH109" i="11"/>
  <c r="BD109" i="11"/>
  <c r="AZ109" i="11"/>
  <c r="AV109" i="11"/>
  <c r="AP109" i="11"/>
  <c r="AK109" i="11"/>
  <c r="AF109" i="11"/>
  <c r="AA109" i="11"/>
  <c r="V109" i="11"/>
  <c r="Q109" i="11"/>
  <c r="L109" i="11"/>
  <c r="BX108" i="11"/>
  <c r="BP108" i="11"/>
  <c r="BS108" i="11"/>
  <c r="BT108" i="11"/>
  <c r="BN108" i="11"/>
  <c r="BK108" i="11"/>
  <c r="BL108" i="11"/>
  <c r="BM108" i="11"/>
  <c r="BH108" i="11"/>
  <c r="BD108" i="11"/>
  <c r="AZ108" i="11"/>
  <c r="AV108" i="11"/>
  <c r="AP108" i="11"/>
  <c r="AK108" i="11"/>
  <c r="AF108" i="11"/>
  <c r="AA108" i="11"/>
  <c r="V108" i="11"/>
  <c r="Q108" i="11"/>
  <c r="L108" i="11"/>
  <c r="BX107" i="11"/>
  <c r="BT107" i="11"/>
  <c r="BP107" i="11"/>
  <c r="BS107" i="11"/>
  <c r="BN107" i="11"/>
  <c r="BM107" i="11"/>
  <c r="BK107" i="11"/>
  <c r="BL107" i="11"/>
  <c r="BH107" i="11"/>
  <c r="BD107" i="11"/>
  <c r="AZ107" i="11"/>
  <c r="AV107" i="11"/>
  <c r="AP107" i="11"/>
  <c r="AK107" i="11"/>
  <c r="AF107" i="11"/>
  <c r="AA107" i="11"/>
  <c r="V107" i="11"/>
  <c r="Q107" i="11"/>
  <c r="L107" i="11"/>
  <c r="BX106" i="11"/>
  <c r="BS106" i="11"/>
  <c r="BT106" i="11"/>
  <c r="BP106" i="11"/>
  <c r="BL106" i="11"/>
  <c r="BM106" i="11"/>
  <c r="BN106" i="11"/>
  <c r="BK106" i="11"/>
  <c r="BH106" i="11"/>
  <c r="BD106" i="11"/>
  <c r="AZ106" i="11"/>
  <c r="AV106" i="11"/>
  <c r="AP106" i="11"/>
  <c r="AK106" i="11"/>
  <c r="AF106" i="11"/>
  <c r="AA106" i="11"/>
  <c r="V106" i="11"/>
  <c r="Q106" i="11"/>
  <c r="L106" i="11"/>
  <c r="BX105" i="11"/>
  <c r="BS105" i="11"/>
  <c r="BT105" i="11"/>
  <c r="BP105" i="11"/>
  <c r="BK105" i="11"/>
  <c r="BL105" i="11"/>
  <c r="BM105" i="11"/>
  <c r="BN105" i="11"/>
  <c r="BH105" i="11"/>
  <c r="BD105" i="11"/>
  <c r="AZ105" i="11"/>
  <c r="AV105" i="11"/>
  <c r="AP105" i="11"/>
  <c r="AK105" i="11"/>
  <c r="AF105" i="11"/>
  <c r="AA105" i="11"/>
  <c r="V105" i="11"/>
  <c r="Q105" i="11"/>
  <c r="L105" i="11"/>
  <c r="BX104" i="11"/>
  <c r="BP104" i="11"/>
  <c r="BS104" i="11"/>
  <c r="BT104" i="11"/>
  <c r="BK104" i="11"/>
  <c r="BL104" i="11"/>
  <c r="BM104" i="11"/>
  <c r="BN104" i="11"/>
  <c r="BH104" i="11"/>
  <c r="BD104" i="11"/>
  <c r="AZ104" i="11"/>
  <c r="AV104" i="11"/>
  <c r="AP104" i="11"/>
  <c r="AK104" i="11"/>
  <c r="AF104" i="11"/>
  <c r="AA104" i="11"/>
  <c r="V104" i="11"/>
  <c r="Q104" i="11"/>
  <c r="L104" i="11"/>
  <c r="BX103" i="11"/>
  <c r="BT103" i="11"/>
  <c r="BP103" i="11"/>
  <c r="BS103" i="11"/>
  <c r="BK103" i="11"/>
  <c r="BL103" i="11"/>
  <c r="BM103" i="11"/>
  <c r="BN103" i="11"/>
  <c r="BH103" i="11"/>
  <c r="BD103" i="11"/>
  <c r="AZ103" i="11"/>
  <c r="AV103" i="11"/>
  <c r="AP103" i="11"/>
  <c r="AK103" i="11"/>
  <c r="AF103" i="11"/>
  <c r="AA103" i="11"/>
  <c r="V103" i="11"/>
  <c r="Q103" i="11"/>
  <c r="L103" i="11"/>
  <c r="BX102" i="11"/>
  <c r="BT102" i="11"/>
  <c r="BS102" i="11"/>
  <c r="BP102" i="11"/>
  <c r="BM102" i="11"/>
  <c r="BN102" i="11"/>
  <c r="BL102" i="11"/>
  <c r="BK102" i="11"/>
  <c r="BH102" i="11"/>
  <c r="BD102" i="11"/>
  <c r="AZ102" i="11"/>
  <c r="AV102" i="11"/>
  <c r="AP102" i="11"/>
  <c r="AK102" i="11"/>
  <c r="AF102" i="11"/>
  <c r="AA102" i="11"/>
  <c r="V102" i="11"/>
  <c r="Q102" i="11"/>
  <c r="L102" i="11"/>
  <c r="BX101" i="11"/>
  <c r="BP101" i="11"/>
  <c r="BS101" i="11"/>
  <c r="BT101" i="11"/>
  <c r="BL101" i="11"/>
  <c r="BM101" i="11"/>
  <c r="BN101" i="11"/>
  <c r="BK101" i="11"/>
  <c r="BH101" i="11"/>
  <c r="BD101" i="11"/>
  <c r="AZ101" i="11"/>
  <c r="AV101" i="11"/>
  <c r="AP101" i="11"/>
  <c r="AK101" i="11"/>
  <c r="AF101" i="11"/>
  <c r="AA101" i="11"/>
  <c r="V101" i="11"/>
  <c r="Q101" i="11"/>
  <c r="L101" i="11"/>
  <c r="BX100" i="11"/>
  <c r="BP100" i="11"/>
  <c r="BS100" i="11"/>
  <c r="BT100" i="11"/>
  <c r="BN100" i="11"/>
  <c r="BK100" i="11"/>
  <c r="BL100" i="11"/>
  <c r="BM100" i="11"/>
  <c r="BH100" i="11"/>
  <c r="BD100" i="11"/>
  <c r="AZ100" i="11"/>
  <c r="AV100" i="11"/>
  <c r="AP100" i="11"/>
  <c r="AK100" i="11"/>
  <c r="AF100" i="11"/>
  <c r="AA100" i="11"/>
  <c r="V100" i="11"/>
  <c r="Q100" i="11"/>
  <c r="L100" i="11"/>
  <c r="BX99" i="11"/>
  <c r="BP99" i="11"/>
  <c r="BS99" i="11"/>
  <c r="BT99" i="11"/>
  <c r="BN99" i="11"/>
  <c r="BM99" i="11"/>
  <c r="BK99" i="11"/>
  <c r="BL99" i="11"/>
  <c r="BH99" i="11"/>
  <c r="BD99" i="11"/>
  <c r="AZ99" i="11"/>
  <c r="AV99" i="11"/>
  <c r="AP99" i="11"/>
  <c r="AK99" i="11"/>
  <c r="AF99" i="11"/>
  <c r="AA99" i="11"/>
  <c r="V99" i="11"/>
  <c r="Q99" i="11"/>
  <c r="L99" i="11"/>
  <c r="BX98" i="11"/>
  <c r="BS98" i="11"/>
  <c r="BT98" i="11"/>
  <c r="BP98" i="11"/>
  <c r="BL98" i="11"/>
  <c r="BM98" i="11"/>
  <c r="BN98" i="11"/>
  <c r="BK98" i="11"/>
  <c r="BH98" i="11"/>
  <c r="BD98" i="11"/>
  <c r="AZ98" i="11"/>
  <c r="AV98" i="11"/>
  <c r="AP98" i="11"/>
  <c r="AK98" i="11"/>
  <c r="AF98" i="11"/>
  <c r="AA98" i="11"/>
  <c r="V98" i="11"/>
  <c r="Q98" i="11"/>
  <c r="L98" i="11"/>
  <c r="BX97" i="11"/>
  <c r="BS97" i="11"/>
  <c r="BT97" i="11"/>
  <c r="BP97" i="11"/>
  <c r="BK97" i="11"/>
  <c r="BL97" i="11"/>
  <c r="BM97" i="11"/>
  <c r="BN97" i="11"/>
  <c r="BH97" i="11"/>
  <c r="BD97" i="11"/>
  <c r="AZ97" i="11"/>
  <c r="AV97" i="11"/>
  <c r="AP97" i="11"/>
  <c r="AK97" i="11"/>
  <c r="AF97" i="11"/>
  <c r="AA97" i="11"/>
  <c r="V97" i="11"/>
  <c r="Q97" i="11"/>
  <c r="L97" i="11"/>
  <c r="BX96" i="11"/>
  <c r="BP96" i="11"/>
  <c r="BS96" i="11"/>
  <c r="BT96" i="11"/>
  <c r="BK96" i="11"/>
  <c r="BL96" i="11"/>
  <c r="BM96" i="11"/>
  <c r="BN96" i="11"/>
  <c r="BH96" i="11"/>
  <c r="BD96" i="11"/>
  <c r="AZ96" i="11"/>
  <c r="AV96" i="11"/>
  <c r="AP96" i="11"/>
  <c r="AK96" i="11"/>
  <c r="AF96" i="11"/>
  <c r="AA96" i="11"/>
  <c r="V96" i="11"/>
  <c r="Q96" i="11"/>
  <c r="L96" i="11"/>
  <c r="BX95" i="11"/>
  <c r="BT95" i="11"/>
  <c r="BP95" i="11"/>
  <c r="BS95" i="11"/>
  <c r="BK95" i="11"/>
  <c r="BL95" i="11"/>
  <c r="BM95" i="11"/>
  <c r="BN95" i="11"/>
  <c r="BH95" i="11"/>
  <c r="BD95" i="11"/>
  <c r="AZ95" i="11"/>
  <c r="AV95" i="11"/>
  <c r="AP95" i="11"/>
  <c r="AK95" i="11"/>
  <c r="AF95" i="11"/>
  <c r="AA95" i="11"/>
  <c r="V95" i="11"/>
  <c r="Q95" i="11"/>
  <c r="L95" i="11"/>
  <c r="BX94" i="11"/>
  <c r="BT94" i="11"/>
  <c r="BS94" i="11"/>
  <c r="BP94" i="11"/>
  <c r="BM94" i="11"/>
  <c r="BN94" i="11"/>
  <c r="BL94" i="11"/>
  <c r="BK94" i="11"/>
  <c r="BH94" i="11"/>
  <c r="BD94" i="11"/>
  <c r="AZ94" i="11"/>
  <c r="AV94" i="11"/>
  <c r="AP94" i="11"/>
  <c r="AK94" i="11"/>
  <c r="AF94" i="11"/>
  <c r="AA94" i="11"/>
  <c r="V94" i="11"/>
  <c r="Q94" i="11"/>
  <c r="L94" i="11"/>
  <c r="BX93" i="11"/>
  <c r="BP93" i="11"/>
  <c r="BS93" i="11"/>
  <c r="BT93" i="11"/>
  <c r="BL93" i="11"/>
  <c r="BM93" i="11"/>
  <c r="BN93" i="11"/>
  <c r="BK93" i="11"/>
  <c r="BH93" i="11"/>
  <c r="BD93" i="11"/>
  <c r="AZ93" i="11"/>
  <c r="AV93" i="11"/>
  <c r="AP93" i="11"/>
  <c r="AK93" i="11"/>
  <c r="AF93" i="11"/>
  <c r="AA93" i="11"/>
  <c r="V93" i="11"/>
  <c r="Q93" i="11"/>
  <c r="L93" i="11"/>
  <c r="BX92" i="11"/>
  <c r="BP92" i="11"/>
  <c r="BS92" i="11"/>
  <c r="BT92" i="11"/>
  <c r="BN92" i="11"/>
  <c r="BK92" i="11"/>
  <c r="BL92" i="11"/>
  <c r="BM92" i="11"/>
  <c r="BH92" i="11"/>
  <c r="BD92" i="11"/>
  <c r="AZ92" i="11"/>
  <c r="AV92" i="11"/>
  <c r="AP92" i="11"/>
  <c r="AK92" i="11"/>
  <c r="AF92" i="11"/>
  <c r="AA92" i="11"/>
  <c r="V92" i="11"/>
  <c r="Q92" i="11"/>
  <c r="L92" i="11"/>
  <c r="BX91" i="11"/>
  <c r="BP91" i="11"/>
  <c r="BS91" i="11"/>
  <c r="BT91" i="11"/>
  <c r="BN91" i="11"/>
  <c r="BM91" i="11"/>
  <c r="BK91" i="11"/>
  <c r="BL91" i="11"/>
  <c r="BH91" i="11"/>
  <c r="BD91" i="11"/>
  <c r="AZ91" i="11"/>
  <c r="AV91" i="11"/>
  <c r="AP91" i="11"/>
  <c r="AK91" i="11"/>
  <c r="AF91" i="11"/>
  <c r="AA91" i="11"/>
  <c r="V91" i="11"/>
  <c r="Q91" i="11"/>
  <c r="L91" i="11"/>
  <c r="BX90" i="11"/>
  <c r="BS90" i="11"/>
  <c r="BT90" i="11"/>
  <c r="BP90" i="11"/>
  <c r="BL90" i="11"/>
  <c r="BM90" i="11"/>
  <c r="BN90" i="11"/>
  <c r="BK90" i="11"/>
  <c r="BH90" i="11"/>
  <c r="BD90" i="11"/>
  <c r="AZ90" i="11"/>
  <c r="AV90" i="11"/>
  <c r="AP90" i="11"/>
  <c r="AK90" i="11"/>
  <c r="AF90" i="11"/>
  <c r="AA90" i="11"/>
  <c r="V90" i="11"/>
  <c r="Q90" i="11"/>
  <c r="L90" i="11"/>
  <c r="BX89" i="11"/>
  <c r="BS89" i="11"/>
  <c r="BT89" i="11"/>
  <c r="BP89" i="11"/>
  <c r="BK89" i="11"/>
  <c r="BL89" i="11"/>
  <c r="BM89" i="11"/>
  <c r="BN89" i="11"/>
  <c r="BH89" i="11"/>
  <c r="BD89" i="11"/>
  <c r="AZ89" i="11"/>
  <c r="AV89" i="11"/>
  <c r="AP89" i="11"/>
  <c r="AK89" i="11"/>
  <c r="AF89" i="11"/>
  <c r="AA89" i="11"/>
  <c r="V89" i="11"/>
  <c r="Q89" i="11"/>
  <c r="L89" i="11"/>
  <c r="BX88" i="11"/>
  <c r="BP88" i="11"/>
  <c r="BS88" i="11"/>
  <c r="BT88" i="11"/>
  <c r="BK88" i="11"/>
  <c r="BL88" i="11"/>
  <c r="BM88" i="11"/>
  <c r="BN88" i="11"/>
  <c r="BH88" i="11"/>
  <c r="BD88" i="11"/>
  <c r="AZ88" i="11"/>
  <c r="AV88" i="11"/>
  <c r="AP88" i="11"/>
  <c r="AK88" i="11"/>
  <c r="AF88" i="11"/>
  <c r="AA88" i="11"/>
  <c r="V88" i="11"/>
  <c r="Q88" i="11"/>
  <c r="L88" i="11"/>
  <c r="BX87" i="11"/>
  <c r="BT87" i="11"/>
  <c r="BP87" i="11"/>
  <c r="BS87" i="11"/>
  <c r="BK87" i="11"/>
  <c r="BL87" i="11"/>
  <c r="BM87" i="11"/>
  <c r="BN87" i="11"/>
  <c r="BH87" i="11"/>
  <c r="BD87" i="11"/>
  <c r="AZ87" i="11"/>
  <c r="AV87" i="11"/>
  <c r="AP87" i="11"/>
  <c r="AK87" i="11"/>
  <c r="AF87" i="11"/>
  <c r="AA87" i="11"/>
  <c r="V87" i="11"/>
  <c r="Q87" i="11"/>
  <c r="L87" i="11"/>
  <c r="BX86" i="11"/>
  <c r="BT86" i="11"/>
  <c r="BS86" i="11"/>
  <c r="BP86" i="11"/>
  <c r="BM86" i="11"/>
  <c r="BN86" i="11"/>
  <c r="BL86" i="11"/>
  <c r="BK86" i="11"/>
  <c r="BH86" i="11"/>
  <c r="BD86" i="11"/>
  <c r="AZ86" i="11"/>
  <c r="AV86" i="11"/>
  <c r="AP86" i="11"/>
  <c r="AK86" i="11"/>
  <c r="AF86" i="11"/>
  <c r="AA86" i="11"/>
  <c r="V86" i="11"/>
  <c r="Q86" i="11"/>
  <c r="L86" i="11"/>
  <c r="BX85" i="11"/>
  <c r="BP85" i="11"/>
  <c r="BS85" i="11"/>
  <c r="BT85" i="11"/>
  <c r="BL85" i="11"/>
  <c r="BM85" i="11"/>
  <c r="BN85" i="11"/>
  <c r="BK85" i="11"/>
  <c r="BH85" i="11"/>
  <c r="BD85" i="11"/>
  <c r="AZ85" i="11"/>
  <c r="AV85" i="11"/>
  <c r="AP85" i="11"/>
  <c r="AK85" i="11"/>
  <c r="AF85" i="11"/>
  <c r="AA85" i="11"/>
  <c r="V85" i="11"/>
  <c r="Q85" i="11"/>
  <c r="L85" i="11"/>
  <c r="BX84" i="11"/>
  <c r="BP84" i="11"/>
  <c r="BS84" i="11"/>
  <c r="BT84" i="11"/>
  <c r="BN84" i="11"/>
  <c r="BK84" i="11"/>
  <c r="BL84" i="11"/>
  <c r="BM84" i="11"/>
  <c r="BH84" i="11"/>
  <c r="BD84" i="11"/>
  <c r="AZ84" i="11"/>
  <c r="AV84" i="11"/>
  <c r="AP84" i="11"/>
  <c r="AK84" i="11"/>
  <c r="AF84" i="11"/>
  <c r="AA84" i="11"/>
  <c r="V84" i="11"/>
  <c r="Q84" i="11"/>
  <c r="L84" i="11"/>
  <c r="BX83" i="11"/>
  <c r="BP83" i="11"/>
  <c r="BS83" i="11"/>
  <c r="BT83" i="11"/>
  <c r="BN83" i="11"/>
  <c r="BM83" i="11"/>
  <c r="BK83" i="11"/>
  <c r="BL83" i="11"/>
  <c r="BH83" i="11"/>
  <c r="BD83" i="11"/>
  <c r="AZ83" i="11"/>
  <c r="AV83" i="11"/>
  <c r="AP83" i="11"/>
  <c r="AK83" i="11"/>
  <c r="AF83" i="11"/>
  <c r="AA83" i="11"/>
  <c r="V83" i="11"/>
  <c r="Q83" i="11"/>
  <c r="L83" i="11"/>
  <c r="BX82" i="11"/>
  <c r="BS82" i="11"/>
  <c r="BT82" i="11"/>
  <c r="BP82" i="11"/>
  <c r="BL82" i="11"/>
  <c r="BM82" i="11"/>
  <c r="BN82" i="11"/>
  <c r="BK82" i="11"/>
  <c r="BH82" i="11"/>
  <c r="BD82" i="11"/>
  <c r="AZ82" i="11"/>
  <c r="AV82" i="11"/>
  <c r="AP82" i="11"/>
  <c r="AK82" i="11"/>
  <c r="AF82" i="11"/>
  <c r="AA82" i="11"/>
  <c r="V82" i="11"/>
  <c r="Q82" i="11"/>
  <c r="L82" i="11"/>
  <c r="BX81" i="11"/>
  <c r="BS81" i="11"/>
  <c r="BT81" i="11"/>
  <c r="BP81" i="11"/>
  <c r="BK81" i="11"/>
  <c r="BL81" i="11"/>
  <c r="BM81" i="11"/>
  <c r="BN81" i="11"/>
  <c r="BH81" i="11"/>
  <c r="BD81" i="11"/>
  <c r="AZ81" i="11"/>
  <c r="AV81" i="11"/>
  <c r="AP81" i="11"/>
  <c r="AK81" i="11"/>
  <c r="AF81" i="11"/>
  <c r="AA81" i="11"/>
  <c r="V81" i="11"/>
  <c r="Q81" i="11"/>
  <c r="L81" i="11"/>
  <c r="BX80" i="11"/>
  <c r="BP80" i="11"/>
  <c r="BS80" i="11"/>
  <c r="BT80" i="11"/>
  <c r="BK80" i="11"/>
  <c r="BL80" i="11"/>
  <c r="BM80" i="11"/>
  <c r="BN80" i="11"/>
  <c r="BH80" i="11"/>
  <c r="BD80" i="11"/>
  <c r="AZ80" i="11"/>
  <c r="AV80" i="11"/>
  <c r="AP80" i="11"/>
  <c r="AK80" i="11"/>
  <c r="AF80" i="11"/>
  <c r="AA80" i="11"/>
  <c r="V80" i="11"/>
  <c r="Q80" i="11"/>
  <c r="L80" i="11"/>
  <c r="BX79" i="11"/>
  <c r="BT79" i="11"/>
  <c r="BP79" i="11"/>
  <c r="BS79" i="11"/>
  <c r="BK79" i="11"/>
  <c r="BL79" i="11"/>
  <c r="BM79" i="11"/>
  <c r="BN79" i="11"/>
  <c r="BH79" i="11"/>
  <c r="BD79" i="11"/>
  <c r="AZ79" i="11"/>
  <c r="AV79" i="11"/>
  <c r="AP79" i="11"/>
  <c r="AK79" i="11"/>
  <c r="AF79" i="11"/>
  <c r="AA79" i="11"/>
  <c r="V79" i="11"/>
  <c r="Q79" i="11"/>
  <c r="L79" i="11"/>
  <c r="BX78" i="11"/>
  <c r="BT78" i="11"/>
  <c r="BS78" i="11"/>
  <c r="BP78" i="11"/>
  <c r="BM78" i="11"/>
  <c r="BN78" i="11"/>
  <c r="BL78" i="11"/>
  <c r="BK78" i="11"/>
  <c r="BH78" i="11"/>
  <c r="BD78" i="11"/>
  <c r="AZ78" i="11"/>
  <c r="AV78" i="11"/>
  <c r="AP78" i="11"/>
  <c r="AK78" i="11"/>
  <c r="AF78" i="11"/>
  <c r="AA78" i="11"/>
  <c r="V78" i="11"/>
  <c r="Q78" i="11"/>
  <c r="L78" i="11"/>
  <c r="BX77" i="11"/>
  <c r="BP77" i="11"/>
  <c r="BS77" i="11"/>
  <c r="BT77" i="11"/>
  <c r="BL77" i="11"/>
  <c r="BM77" i="11"/>
  <c r="BN77" i="11"/>
  <c r="BK77" i="11"/>
  <c r="BH77" i="11"/>
  <c r="BD77" i="11"/>
  <c r="AZ77" i="11"/>
  <c r="AV77" i="11"/>
  <c r="AP77" i="11"/>
  <c r="AK77" i="11"/>
  <c r="AF77" i="11"/>
  <c r="AA77" i="11"/>
  <c r="V77" i="11"/>
  <c r="Q77" i="11"/>
  <c r="L77" i="11"/>
  <c r="BX76" i="11"/>
  <c r="BP76" i="11"/>
  <c r="BS76" i="11"/>
  <c r="BT76" i="11"/>
  <c r="BN76" i="11"/>
  <c r="BK76" i="11"/>
  <c r="BL76" i="11"/>
  <c r="BM76" i="11"/>
  <c r="BH76" i="11"/>
  <c r="BD76" i="11"/>
  <c r="AZ76" i="11"/>
  <c r="AV76" i="11"/>
  <c r="AP76" i="11"/>
  <c r="AK76" i="11"/>
  <c r="AF76" i="11"/>
  <c r="AA76" i="11"/>
  <c r="V76" i="11"/>
  <c r="Q76" i="11"/>
  <c r="L76" i="11"/>
  <c r="BX75" i="11"/>
  <c r="BP75" i="11"/>
  <c r="BS75" i="11"/>
  <c r="BT75" i="11"/>
  <c r="BN75" i="11"/>
  <c r="BM75" i="11"/>
  <c r="BK75" i="11"/>
  <c r="BL75" i="11"/>
  <c r="BH75" i="11"/>
  <c r="BD75" i="11"/>
  <c r="AZ75" i="11"/>
  <c r="AV75" i="11"/>
  <c r="AP75" i="11"/>
  <c r="AK75" i="11"/>
  <c r="AF75" i="11"/>
  <c r="AA75" i="11"/>
  <c r="V75" i="11"/>
  <c r="Q75" i="11"/>
  <c r="L75" i="11"/>
  <c r="BX74" i="11"/>
  <c r="BS74" i="11"/>
  <c r="BT74" i="11"/>
  <c r="BP74" i="11"/>
  <c r="BL74" i="11"/>
  <c r="BM74" i="11"/>
  <c r="BN74" i="11"/>
  <c r="BK74" i="11"/>
  <c r="BH74" i="11"/>
  <c r="BD74" i="11"/>
  <c r="AZ74" i="11"/>
  <c r="AV74" i="11"/>
  <c r="AP74" i="11"/>
  <c r="AK74" i="11"/>
  <c r="AF74" i="11"/>
  <c r="AA74" i="11"/>
  <c r="V74" i="11"/>
  <c r="Q74" i="11"/>
  <c r="L74" i="11"/>
  <c r="BX73" i="11"/>
  <c r="BS73" i="11"/>
  <c r="BT73" i="11"/>
  <c r="BP73" i="11"/>
  <c r="BK73" i="11"/>
  <c r="BL73" i="11"/>
  <c r="BM73" i="11"/>
  <c r="BN73" i="11"/>
  <c r="BH73" i="11"/>
  <c r="BD73" i="11"/>
  <c r="AZ73" i="11"/>
  <c r="AV73" i="11"/>
  <c r="AP73" i="11"/>
  <c r="AK73" i="11"/>
  <c r="AF73" i="11"/>
  <c r="AA73" i="11"/>
  <c r="V73" i="11"/>
  <c r="Q73" i="11"/>
  <c r="L73" i="11"/>
  <c r="BX72" i="11"/>
  <c r="BP72" i="11"/>
  <c r="BS72" i="11"/>
  <c r="BT72" i="11"/>
  <c r="BK72" i="11"/>
  <c r="BL72" i="11"/>
  <c r="BM72" i="11"/>
  <c r="BN72" i="11"/>
  <c r="BH72" i="11"/>
  <c r="BD72" i="11"/>
  <c r="AZ72" i="11"/>
  <c r="AV72" i="11"/>
  <c r="AP72" i="11"/>
  <c r="AK72" i="11"/>
  <c r="AF72" i="11"/>
  <c r="AA72" i="11"/>
  <c r="V72" i="11"/>
  <c r="Q72" i="11"/>
  <c r="L72" i="11"/>
  <c r="BX71" i="11"/>
  <c r="BT71" i="11"/>
  <c r="BP71" i="11"/>
  <c r="BS71" i="11"/>
  <c r="BK71" i="11"/>
  <c r="BL71" i="11"/>
  <c r="BM71" i="11"/>
  <c r="BN71" i="11"/>
  <c r="BH71" i="11"/>
  <c r="BD71" i="11"/>
  <c r="AZ71" i="11"/>
  <c r="AV71" i="11"/>
  <c r="AP71" i="11"/>
  <c r="AK71" i="11"/>
  <c r="AF71" i="11"/>
  <c r="AA71" i="11"/>
  <c r="V71" i="11"/>
  <c r="Q71" i="11"/>
  <c r="L71" i="11"/>
  <c r="BX70" i="11"/>
  <c r="BT70" i="11"/>
  <c r="BS70" i="11"/>
  <c r="BP70" i="11"/>
  <c r="BM70" i="11"/>
  <c r="BN70" i="11"/>
  <c r="BL70" i="11"/>
  <c r="BK70" i="11"/>
  <c r="BH70" i="11"/>
  <c r="BD70" i="11"/>
  <c r="AZ70" i="11"/>
  <c r="AV70" i="11"/>
  <c r="AP70" i="11"/>
  <c r="AK70" i="11"/>
  <c r="AF70" i="11"/>
  <c r="AA70" i="11"/>
  <c r="V70" i="11"/>
  <c r="Q70" i="11"/>
  <c r="L70" i="11"/>
  <c r="BX69" i="11"/>
  <c r="BP69" i="11"/>
  <c r="BS69" i="11"/>
  <c r="BT69" i="11"/>
  <c r="BL69" i="11"/>
  <c r="BM69" i="11"/>
  <c r="BN69" i="11"/>
  <c r="BK69" i="11"/>
  <c r="BH69" i="11"/>
  <c r="BD69" i="11"/>
  <c r="AZ69" i="11"/>
  <c r="AV69" i="11"/>
  <c r="AP69" i="11"/>
  <c r="AK69" i="11"/>
  <c r="AF69" i="11"/>
  <c r="AA69" i="11"/>
  <c r="V69" i="11"/>
  <c r="Q69" i="11"/>
  <c r="L69" i="11"/>
  <c r="BX68" i="11"/>
  <c r="BP68" i="11"/>
  <c r="BS68" i="11"/>
  <c r="BT68" i="11"/>
  <c r="BN68" i="11"/>
  <c r="BK68" i="11"/>
  <c r="BL68" i="11"/>
  <c r="BM68" i="11"/>
  <c r="BH68" i="11"/>
  <c r="BD68" i="11"/>
  <c r="AZ68" i="11"/>
  <c r="AV68" i="11"/>
  <c r="AP68" i="11"/>
  <c r="AK68" i="11"/>
  <c r="AF68" i="11"/>
  <c r="AA68" i="11"/>
  <c r="V68" i="11"/>
  <c r="Q68" i="11"/>
  <c r="L68" i="11"/>
  <c r="BX67" i="11"/>
  <c r="BP67" i="11"/>
  <c r="BS67" i="11"/>
  <c r="BT67" i="11"/>
  <c r="BN67" i="11"/>
  <c r="BM67" i="11"/>
  <c r="BK67" i="11"/>
  <c r="BL67" i="11"/>
  <c r="BH67" i="11"/>
  <c r="BD67" i="11"/>
  <c r="AZ67" i="11"/>
  <c r="AV67" i="11"/>
  <c r="AP67" i="11"/>
  <c r="AK67" i="11"/>
  <c r="AF67" i="11"/>
  <c r="AA67" i="11"/>
  <c r="V67" i="11"/>
  <c r="Q67" i="11"/>
  <c r="L67" i="11"/>
  <c r="BX66" i="11"/>
  <c r="BS66" i="11"/>
  <c r="BT66" i="11"/>
  <c r="BP66" i="11"/>
  <c r="BL66" i="11"/>
  <c r="BM66" i="11"/>
  <c r="BN66" i="11"/>
  <c r="BK66" i="11"/>
  <c r="BH66" i="11"/>
  <c r="BD66" i="11"/>
  <c r="AZ66" i="11"/>
  <c r="AV66" i="11"/>
  <c r="AP66" i="11"/>
  <c r="AK66" i="11"/>
  <c r="AF66" i="11"/>
  <c r="AA66" i="11"/>
  <c r="V66" i="11"/>
  <c r="Q66" i="11"/>
  <c r="L66" i="11"/>
  <c r="BX65" i="11"/>
  <c r="BS65" i="11"/>
  <c r="BT65" i="11"/>
  <c r="BP65" i="11"/>
  <c r="BK65" i="11"/>
  <c r="BL65" i="11"/>
  <c r="BM65" i="11"/>
  <c r="BN65" i="11"/>
  <c r="BH65" i="11"/>
  <c r="BD65" i="11"/>
  <c r="AZ65" i="11"/>
  <c r="AV65" i="11"/>
  <c r="AP65" i="11"/>
  <c r="AK65" i="11"/>
  <c r="AF65" i="11"/>
  <c r="AA65" i="11"/>
  <c r="V65" i="11"/>
  <c r="Q65" i="11"/>
  <c r="L65" i="11"/>
  <c r="BX64" i="11"/>
  <c r="BP64" i="11"/>
  <c r="BS64" i="11"/>
  <c r="BT64" i="11"/>
  <c r="BK64" i="11"/>
  <c r="BL64" i="11"/>
  <c r="BM64" i="11"/>
  <c r="BN64" i="11"/>
  <c r="BH64" i="11"/>
  <c r="BD64" i="11"/>
  <c r="AZ64" i="11"/>
  <c r="AV64" i="11"/>
  <c r="AP64" i="11"/>
  <c r="AK64" i="11"/>
  <c r="AF64" i="11"/>
  <c r="AA64" i="11"/>
  <c r="V64" i="11"/>
  <c r="Q64" i="11"/>
  <c r="L64" i="11"/>
  <c r="BX63" i="11"/>
  <c r="BT63" i="11"/>
  <c r="BP63" i="11"/>
  <c r="BS63" i="11"/>
  <c r="BK63" i="11"/>
  <c r="BL63" i="11"/>
  <c r="BM63" i="11"/>
  <c r="BN63" i="11"/>
  <c r="BH63" i="11"/>
  <c r="BD63" i="11"/>
  <c r="AZ63" i="11"/>
  <c r="AV63" i="11"/>
  <c r="AP63" i="11"/>
  <c r="AK63" i="11"/>
  <c r="AF63" i="11"/>
  <c r="AA63" i="11"/>
  <c r="V63" i="11"/>
  <c r="Q63" i="11"/>
  <c r="L63" i="11"/>
  <c r="BX62" i="11"/>
  <c r="BT62" i="11"/>
  <c r="BS62" i="11"/>
  <c r="BP62" i="11"/>
  <c r="BM62" i="11"/>
  <c r="BN62" i="11"/>
  <c r="BL62" i="11"/>
  <c r="BK62" i="11"/>
  <c r="BH62" i="11"/>
  <c r="BD62" i="11"/>
  <c r="AZ62" i="11"/>
  <c r="AV62" i="11"/>
  <c r="AP62" i="11"/>
  <c r="AK62" i="11"/>
  <c r="AF62" i="11"/>
  <c r="AA62" i="11"/>
  <c r="V62" i="11"/>
  <c r="Q62" i="11"/>
  <c r="L62" i="11"/>
  <c r="BX61" i="11"/>
  <c r="BP61" i="11"/>
  <c r="BS61" i="11"/>
  <c r="BT61" i="11"/>
  <c r="BL61" i="11"/>
  <c r="BM61" i="11"/>
  <c r="BN61" i="11"/>
  <c r="BK61" i="11"/>
  <c r="BH61" i="11"/>
  <c r="BD61" i="11"/>
  <c r="AZ61" i="11"/>
  <c r="AV61" i="11"/>
  <c r="AP61" i="11"/>
  <c r="AK61" i="11"/>
  <c r="AF61" i="11"/>
  <c r="AA61" i="11"/>
  <c r="V61" i="11"/>
  <c r="Q61" i="11"/>
  <c r="L61" i="11"/>
  <c r="BX60" i="11"/>
  <c r="BP60" i="11"/>
  <c r="BS60" i="11"/>
  <c r="BT60" i="11"/>
  <c r="BN60" i="11"/>
  <c r="BK60" i="11"/>
  <c r="BL60" i="11"/>
  <c r="BM60" i="11"/>
  <c r="BH60" i="11"/>
  <c r="BD60" i="11"/>
  <c r="AZ60" i="11"/>
  <c r="AV60" i="11"/>
  <c r="AP60" i="11"/>
  <c r="AK60" i="11"/>
  <c r="AF60" i="11"/>
  <c r="AA60" i="11"/>
  <c r="V60" i="11"/>
  <c r="Q60" i="11"/>
  <c r="L60" i="11"/>
  <c r="BX59" i="11"/>
  <c r="BP59" i="11"/>
  <c r="BS59" i="11"/>
  <c r="BT59" i="11"/>
  <c r="BN59" i="11"/>
  <c r="BM59" i="11"/>
  <c r="BK59" i="11"/>
  <c r="BL59" i="11"/>
  <c r="BH59" i="11"/>
  <c r="BD59" i="11"/>
  <c r="AZ59" i="11"/>
  <c r="AV59" i="11"/>
  <c r="AP59" i="11"/>
  <c r="AK59" i="11"/>
  <c r="AF59" i="11"/>
  <c r="AA59" i="11"/>
  <c r="V59" i="11"/>
  <c r="Q59" i="11"/>
  <c r="L59" i="11"/>
  <c r="BX58" i="11"/>
  <c r="BS58" i="11"/>
  <c r="BT58" i="11"/>
  <c r="BP58" i="11"/>
  <c r="BL58" i="11"/>
  <c r="BM58" i="11"/>
  <c r="BN58" i="11"/>
  <c r="BK58" i="11"/>
  <c r="BH58" i="11"/>
  <c r="BD58" i="11"/>
  <c r="AZ58" i="11"/>
  <c r="AV58" i="11"/>
  <c r="AP58" i="11"/>
  <c r="AK58" i="11"/>
  <c r="AF58" i="11"/>
  <c r="AA58" i="11"/>
  <c r="V58" i="11"/>
  <c r="Q58" i="11"/>
  <c r="L58" i="11"/>
  <c r="BX57" i="11"/>
  <c r="BS57" i="11"/>
  <c r="BT57" i="11"/>
  <c r="BP57" i="11"/>
  <c r="BK57" i="11"/>
  <c r="BL57" i="11"/>
  <c r="BM57" i="11"/>
  <c r="BN57" i="11"/>
  <c r="BH57" i="11"/>
  <c r="BD57" i="11"/>
  <c r="AZ57" i="11"/>
  <c r="AV57" i="11"/>
  <c r="AP57" i="11"/>
  <c r="AK57" i="11"/>
  <c r="AF57" i="11"/>
  <c r="AA57" i="11"/>
  <c r="V57" i="11"/>
  <c r="Q57" i="11"/>
  <c r="L57" i="11"/>
  <c r="BX56" i="11"/>
  <c r="BP56" i="11"/>
  <c r="BS56" i="11"/>
  <c r="BT56" i="11"/>
  <c r="BK56" i="11"/>
  <c r="BL56" i="11"/>
  <c r="BM56" i="11"/>
  <c r="BN56" i="11"/>
  <c r="BH56" i="11"/>
  <c r="BD56" i="11"/>
  <c r="AZ56" i="11"/>
  <c r="AV56" i="11"/>
  <c r="AP56" i="11"/>
  <c r="AK56" i="11"/>
  <c r="AF56" i="11"/>
  <c r="AA56" i="11"/>
  <c r="V56" i="11"/>
  <c r="Q56" i="11"/>
  <c r="L56" i="11"/>
  <c r="BX55" i="11"/>
  <c r="BT55" i="11"/>
  <c r="BP55" i="11"/>
  <c r="BS55" i="11"/>
  <c r="BK55" i="11"/>
  <c r="BL55" i="11"/>
  <c r="BM55" i="11"/>
  <c r="BN55" i="11"/>
  <c r="BH55" i="11"/>
  <c r="BD55" i="11"/>
  <c r="AZ55" i="11"/>
  <c r="AV55" i="11"/>
  <c r="AP55" i="11"/>
  <c r="AK55" i="11"/>
  <c r="AF55" i="11"/>
  <c r="AA55" i="11"/>
  <c r="V55" i="11"/>
  <c r="Q55" i="11"/>
  <c r="L55" i="11"/>
  <c r="BX54" i="11"/>
  <c r="BT54" i="11"/>
  <c r="BS54" i="11"/>
  <c r="BP54" i="11"/>
  <c r="BM54" i="11"/>
  <c r="BN54" i="11"/>
  <c r="BL54" i="11"/>
  <c r="BK54" i="11"/>
  <c r="BH54" i="11"/>
  <c r="BD54" i="11"/>
  <c r="AZ54" i="11"/>
  <c r="AV54" i="11"/>
  <c r="AP54" i="11"/>
  <c r="AK54" i="11"/>
  <c r="AF54" i="11"/>
  <c r="AA54" i="11"/>
  <c r="V54" i="11"/>
  <c r="Q54" i="11"/>
  <c r="L54" i="11"/>
  <c r="BX53" i="11"/>
  <c r="BS53" i="11"/>
  <c r="BT53" i="11"/>
  <c r="BP53" i="11"/>
  <c r="BK53" i="11"/>
  <c r="BL53" i="11"/>
  <c r="BM53" i="11"/>
  <c r="BN53" i="11"/>
  <c r="BH53" i="11"/>
  <c r="BD53" i="11"/>
  <c r="AZ53" i="11"/>
  <c r="AV53" i="11"/>
  <c r="AP53" i="11"/>
  <c r="AK53" i="11"/>
  <c r="AF53" i="11"/>
  <c r="AA53" i="11"/>
  <c r="V53" i="11"/>
  <c r="Q53" i="11"/>
  <c r="L53" i="11"/>
  <c r="BX52" i="11"/>
  <c r="BS52" i="11"/>
  <c r="BT52" i="11"/>
  <c r="BP52" i="11"/>
  <c r="BL52" i="11"/>
  <c r="BM52" i="11"/>
  <c r="BN52" i="11"/>
  <c r="BK52" i="11"/>
  <c r="BH52" i="11"/>
  <c r="BD52" i="11"/>
  <c r="AZ52" i="11"/>
  <c r="AV52" i="11"/>
  <c r="AP52" i="11"/>
  <c r="AK52" i="11"/>
  <c r="AF52" i="11"/>
  <c r="AA52" i="11"/>
  <c r="V52" i="11"/>
  <c r="Q52" i="11"/>
  <c r="L52" i="11"/>
  <c r="BX51" i="11"/>
  <c r="BP51" i="11"/>
  <c r="BS51" i="11"/>
  <c r="BT51" i="11"/>
  <c r="BN51" i="11"/>
  <c r="BM51" i="11"/>
  <c r="BK51" i="11"/>
  <c r="BL51" i="11"/>
  <c r="BH51" i="11"/>
  <c r="BD51" i="11"/>
  <c r="AZ51" i="11"/>
  <c r="AV51" i="11"/>
  <c r="AP51" i="11"/>
  <c r="AK51" i="11"/>
  <c r="AF51" i="11"/>
  <c r="AA51" i="11"/>
  <c r="V51" i="11"/>
  <c r="Q51" i="11"/>
  <c r="L51" i="11"/>
  <c r="BX50" i="11"/>
  <c r="BS50" i="11"/>
  <c r="BT50" i="11"/>
  <c r="BP50" i="11"/>
  <c r="BL50" i="11"/>
  <c r="BM50" i="11"/>
  <c r="BN50" i="11"/>
  <c r="BK50" i="11"/>
  <c r="BH50" i="11"/>
  <c r="BD50" i="11"/>
  <c r="AZ50" i="11"/>
  <c r="AV50" i="11"/>
  <c r="AP50" i="11"/>
  <c r="AK50" i="11"/>
  <c r="AF50" i="11"/>
  <c r="AA50" i="11"/>
  <c r="V50" i="11"/>
  <c r="Q50" i="11"/>
  <c r="L50" i="11"/>
  <c r="BX49" i="11"/>
  <c r="BP49" i="11"/>
  <c r="BS49" i="11"/>
  <c r="BT49" i="11"/>
  <c r="BK49" i="11"/>
  <c r="BL49" i="11"/>
  <c r="BM49" i="11"/>
  <c r="BN49" i="11"/>
  <c r="BH49" i="11"/>
  <c r="BD49" i="11"/>
  <c r="AZ49" i="11"/>
  <c r="AV49" i="11"/>
  <c r="AP49" i="11"/>
  <c r="AK49" i="11"/>
  <c r="AF49" i="11"/>
  <c r="AA49" i="11"/>
  <c r="V49" i="11"/>
  <c r="Q49" i="11"/>
  <c r="L49" i="11"/>
  <c r="BX48" i="11"/>
  <c r="BS48" i="11"/>
  <c r="BT48" i="11"/>
  <c r="BP48" i="11"/>
  <c r="BK48" i="11"/>
  <c r="BL48" i="11"/>
  <c r="BM48" i="11"/>
  <c r="BN48" i="11"/>
  <c r="BH48" i="11"/>
  <c r="BD48" i="11"/>
  <c r="AZ48" i="11"/>
  <c r="AV48" i="11"/>
  <c r="AP48" i="11"/>
  <c r="AK48" i="11"/>
  <c r="AF48" i="11"/>
  <c r="AA48" i="11"/>
  <c r="V48" i="11"/>
  <c r="Q48" i="11"/>
  <c r="L48" i="11"/>
  <c r="BX47" i="11"/>
  <c r="BT47" i="11"/>
  <c r="BP47" i="11"/>
  <c r="BS47" i="11"/>
  <c r="BM47" i="11"/>
  <c r="BN47" i="11"/>
  <c r="BK47" i="11"/>
  <c r="BL47" i="11"/>
  <c r="BH47" i="11"/>
  <c r="BD47" i="11"/>
  <c r="AZ47" i="11"/>
  <c r="AV47" i="11"/>
  <c r="AP47" i="11"/>
  <c r="AK47" i="11"/>
  <c r="AF47" i="11"/>
  <c r="AA47" i="11"/>
  <c r="V47" i="11"/>
  <c r="Q47" i="11"/>
  <c r="L47" i="11"/>
  <c r="BX46" i="11"/>
  <c r="BS46" i="11"/>
  <c r="BT46" i="11"/>
  <c r="BP46" i="11"/>
  <c r="BL46" i="11"/>
  <c r="BM46" i="11"/>
  <c r="BN46" i="11"/>
  <c r="BK46" i="11"/>
  <c r="BH46" i="11"/>
  <c r="BD46" i="11"/>
  <c r="AZ46" i="11"/>
  <c r="AV46" i="11"/>
  <c r="AP46" i="11"/>
  <c r="AK46" i="11"/>
  <c r="AF46" i="11"/>
  <c r="AA46" i="11"/>
  <c r="V46" i="11"/>
  <c r="Q46" i="11"/>
  <c r="L46" i="11"/>
  <c r="BX45" i="11"/>
  <c r="BP45" i="11"/>
  <c r="BS45" i="11"/>
  <c r="BT45" i="11"/>
  <c r="BM45" i="11"/>
  <c r="BN45" i="11"/>
  <c r="BL45" i="11"/>
  <c r="BK45" i="11"/>
  <c r="BH45" i="11"/>
  <c r="BD45" i="11"/>
  <c r="AZ45" i="11"/>
  <c r="AV45" i="11"/>
  <c r="AP45" i="11"/>
  <c r="AK45" i="11"/>
  <c r="AF45" i="11"/>
  <c r="AA45" i="11"/>
  <c r="V45" i="11"/>
  <c r="Q45" i="11"/>
  <c r="L45" i="11"/>
  <c r="BX44" i="11"/>
  <c r="BS44" i="11"/>
  <c r="BT44" i="11"/>
  <c r="BP44" i="11"/>
  <c r="BL44" i="11"/>
  <c r="BM44" i="11"/>
  <c r="BN44" i="11"/>
  <c r="BK44" i="11"/>
  <c r="BH44" i="11"/>
  <c r="BD44" i="11"/>
  <c r="AZ44" i="11"/>
  <c r="AV44" i="11"/>
  <c r="AP44" i="11"/>
  <c r="AK44" i="11"/>
  <c r="AF44" i="11"/>
  <c r="AA44" i="11"/>
  <c r="V44" i="11"/>
  <c r="Q44" i="11"/>
  <c r="L44" i="11"/>
  <c r="BX43" i="11"/>
  <c r="BP43" i="11"/>
  <c r="BS43" i="11"/>
  <c r="BT43" i="11"/>
  <c r="BK43" i="11"/>
  <c r="BL43" i="11"/>
  <c r="BM43" i="11"/>
  <c r="BN43" i="11"/>
  <c r="BH43" i="11"/>
  <c r="BD43" i="11"/>
  <c r="AZ43" i="11"/>
  <c r="AV43" i="11"/>
  <c r="AP43" i="11"/>
  <c r="AK43" i="11"/>
  <c r="AF43" i="11"/>
  <c r="AA43" i="11"/>
  <c r="V43" i="11"/>
  <c r="Q43" i="11"/>
  <c r="L43" i="11"/>
  <c r="BX42" i="11"/>
  <c r="BP42" i="11"/>
  <c r="BS42" i="11"/>
  <c r="BT42" i="11"/>
  <c r="BK42" i="11"/>
  <c r="BL42" i="11"/>
  <c r="BM42" i="11"/>
  <c r="BN42" i="11"/>
  <c r="BH42" i="11"/>
  <c r="BD42" i="11"/>
  <c r="AZ42" i="11"/>
  <c r="AV42" i="11"/>
  <c r="AP42" i="11"/>
  <c r="AK42" i="11"/>
  <c r="AF42" i="11"/>
  <c r="AA42" i="11"/>
  <c r="V42" i="11"/>
  <c r="Q42" i="11"/>
  <c r="L42" i="11"/>
  <c r="BX41" i="11"/>
  <c r="BT41" i="11"/>
  <c r="BS41" i="11"/>
  <c r="BP41" i="11"/>
  <c r="BM41" i="11"/>
  <c r="BN41" i="11"/>
  <c r="BL41" i="11"/>
  <c r="BK41" i="11"/>
  <c r="BH41" i="11"/>
  <c r="BD41" i="11"/>
  <c r="AZ41" i="11"/>
  <c r="AV41" i="11"/>
  <c r="AP41" i="11"/>
  <c r="AK41" i="11"/>
  <c r="AF41" i="11"/>
  <c r="AA41" i="11"/>
  <c r="V41" i="11"/>
  <c r="Q41" i="11"/>
  <c r="L41" i="11"/>
  <c r="BX40" i="11"/>
  <c r="BS40" i="11"/>
  <c r="BT40" i="11"/>
  <c r="BP40" i="11"/>
  <c r="BL40" i="11"/>
  <c r="BM40" i="11"/>
  <c r="BN40" i="11"/>
  <c r="BK40" i="11"/>
  <c r="BH40" i="11"/>
  <c r="BD40" i="11"/>
  <c r="AZ40" i="11"/>
  <c r="AV40" i="11"/>
  <c r="AP40" i="11"/>
  <c r="AK40" i="11"/>
  <c r="AF40" i="11"/>
  <c r="AA40" i="11"/>
  <c r="V40" i="11"/>
  <c r="Q40" i="11"/>
  <c r="L40" i="11"/>
  <c r="BX39" i="11"/>
  <c r="BP39" i="11"/>
  <c r="BS39" i="11"/>
  <c r="BT39" i="11"/>
  <c r="BK39" i="11"/>
  <c r="BL39" i="11"/>
  <c r="BM39" i="11"/>
  <c r="BN39" i="11"/>
  <c r="BH39" i="11"/>
  <c r="BD39" i="11"/>
  <c r="AZ39" i="11"/>
  <c r="AV39" i="11"/>
  <c r="AP39" i="11"/>
  <c r="AK39" i="11"/>
  <c r="AF39" i="11"/>
  <c r="AA39" i="11"/>
  <c r="V39" i="11"/>
  <c r="Q39" i="11"/>
  <c r="L39" i="11"/>
  <c r="BX38" i="11"/>
  <c r="BP38" i="11"/>
  <c r="BS38" i="11"/>
  <c r="BT38" i="11"/>
  <c r="BK38" i="11"/>
  <c r="BL38" i="11"/>
  <c r="BM38" i="11"/>
  <c r="BN38" i="11"/>
  <c r="BH38" i="11"/>
  <c r="BD38" i="11"/>
  <c r="AZ38" i="11"/>
  <c r="AV38" i="11"/>
  <c r="AP38" i="11"/>
  <c r="AK38" i="11"/>
  <c r="AF38" i="11"/>
  <c r="AA38" i="11"/>
  <c r="V38" i="11"/>
  <c r="Q38" i="11"/>
  <c r="L38" i="11"/>
  <c r="BX37" i="11"/>
  <c r="BT37" i="11"/>
  <c r="BS37" i="11"/>
  <c r="BP37" i="11"/>
  <c r="BM37" i="11"/>
  <c r="BN37" i="11"/>
  <c r="BL37" i="11"/>
  <c r="BK37" i="11"/>
  <c r="BH37" i="11"/>
  <c r="BD37" i="11"/>
  <c r="AZ37" i="11"/>
  <c r="AV37" i="11"/>
  <c r="AP37" i="11"/>
  <c r="AK37" i="11"/>
  <c r="AF37" i="11"/>
  <c r="AA37" i="11"/>
  <c r="V37" i="11"/>
  <c r="Q37" i="11"/>
  <c r="L37" i="11"/>
  <c r="BX36" i="11"/>
  <c r="BS36" i="11"/>
  <c r="BT36" i="11"/>
  <c r="BP36" i="11"/>
  <c r="BL36" i="11"/>
  <c r="BM36" i="11"/>
  <c r="BN36" i="11"/>
  <c r="BK36" i="11"/>
  <c r="BH36" i="11"/>
  <c r="BD36" i="11"/>
  <c r="AZ36" i="11"/>
  <c r="AV36" i="11"/>
  <c r="AP36" i="11"/>
  <c r="AK36" i="11"/>
  <c r="AF36" i="11"/>
  <c r="AA36" i="11"/>
  <c r="V36" i="11"/>
  <c r="Q36" i="11"/>
  <c r="L36" i="11"/>
  <c r="BX35" i="11"/>
  <c r="BP35" i="11"/>
  <c r="BS35" i="11"/>
  <c r="BT35" i="11"/>
  <c r="BK35" i="11"/>
  <c r="BL35" i="11"/>
  <c r="BM35" i="11"/>
  <c r="BN35" i="11"/>
  <c r="BH35" i="11"/>
  <c r="BD35" i="11"/>
  <c r="AZ35" i="11"/>
  <c r="AV35" i="11"/>
  <c r="AP35" i="11"/>
  <c r="AK35" i="11"/>
  <c r="AF35" i="11"/>
  <c r="AA35" i="11"/>
  <c r="V35" i="11"/>
  <c r="Q35" i="11"/>
  <c r="L35" i="11"/>
  <c r="BX34" i="11"/>
  <c r="BP34" i="11"/>
  <c r="BS34" i="11"/>
  <c r="BT34" i="11"/>
  <c r="BK34" i="11"/>
  <c r="BL34" i="11"/>
  <c r="BM34" i="11"/>
  <c r="BN34" i="11"/>
  <c r="BH34" i="11"/>
  <c r="BD34" i="11"/>
  <c r="AZ34" i="11"/>
  <c r="AV34" i="11"/>
  <c r="AP34" i="11"/>
  <c r="AK34" i="11"/>
  <c r="AF34" i="11"/>
  <c r="AA34" i="11"/>
  <c r="V34" i="11"/>
  <c r="Q34" i="11"/>
  <c r="L34" i="11"/>
  <c r="BX33" i="11"/>
  <c r="BT33" i="11"/>
  <c r="BS33" i="11"/>
  <c r="BP33" i="11"/>
  <c r="BM33" i="11"/>
  <c r="BN33" i="11"/>
  <c r="BL33" i="11"/>
  <c r="BK33" i="11"/>
  <c r="BH33" i="11"/>
  <c r="BD33" i="11"/>
  <c r="AZ33" i="11"/>
  <c r="AV33" i="11"/>
  <c r="AP33" i="11"/>
  <c r="AK33" i="11"/>
  <c r="AF33" i="11"/>
  <c r="AA33" i="11"/>
  <c r="V33" i="11"/>
  <c r="Q33" i="11"/>
  <c r="L33" i="11"/>
  <c r="BX32" i="11"/>
  <c r="BS32" i="11"/>
  <c r="BT32" i="11"/>
  <c r="BP32" i="11"/>
  <c r="BL32" i="11"/>
  <c r="BM32" i="11"/>
  <c r="BN32" i="11"/>
  <c r="BK32" i="11"/>
  <c r="BH32" i="11"/>
  <c r="BD32" i="11"/>
  <c r="AZ32" i="11"/>
  <c r="AV32" i="11"/>
  <c r="AP32" i="11"/>
  <c r="AK32" i="11"/>
  <c r="AF32" i="11"/>
  <c r="AA32" i="11"/>
  <c r="V32" i="11"/>
  <c r="Q32" i="11"/>
  <c r="L32" i="11"/>
  <c r="BX31" i="11"/>
  <c r="BP31" i="11"/>
  <c r="BS31" i="11"/>
  <c r="BT31" i="11"/>
  <c r="BK31" i="11"/>
  <c r="BL31" i="11"/>
  <c r="BM31" i="11"/>
  <c r="BN31" i="11"/>
  <c r="BH31" i="11"/>
  <c r="BD31" i="11"/>
  <c r="AZ31" i="11"/>
  <c r="AV31" i="11"/>
  <c r="AP31" i="11"/>
  <c r="AK31" i="11"/>
  <c r="AF31" i="11"/>
  <c r="AA31" i="11"/>
  <c r="V31" i="11"/>
  <c r="Q31" i="11"/>
  <c r="L31" i="11"/>
  <c r="BX30" i="11"/>
  <c r="BP30" i="11"/>
  <c r="BS30" i="11"/>
  <c r="BT30" i="11"/>
  <c r="BK30" i="11"/>
  <c r="BL30" i="11"/>
  <c r="BM30" i="11"/>
  <c r="BN30" i="11"/>
  <c r="BH30" i="11"/>
  <c r="BD30" i="11"/>
  <c r="AZ30" i="11"/>
  <c r="AV30" i="11"/>
  <c r="AP30" i="11"/>
  <c r="AK30" i="11"/>
  <c r="AF30" i="11"/>
  <c r="AA30" i="11"/>
  <c r="V30" i="11"/>
  <c r="Q30" i="11"/>
  <c r="L30" i="11"/>
  <c r="BX29" i="11"/>
  <c r="BT29" i="11"/>
  <c r="BS29" i="11"/>
  <c r="BP29" i="11"/>
  <c r="BM29" i="11"/>
  <c r="BN29" i="11"/>
  <c r="BL29" i="11"/>
  <c r="BK29" i="11"/>
  <c r="BH29" i="11"/>
  <c r="BD29" i="11"/>
  <c r="AZ29" i="11"/>
  <c r="AV29" i="11"/>
  <c r="AP29" i="11"/>
  <c r="AK29" i="11"/>
  <c r="AF29" i="11"/>
  <c r="AA29" i="11"/>
  <c r="V29" i="11"/>
  <c r="Q29" i="11"/>
  <c r="L29" i="11"/>
  <c r="BX28" i="11"/>
  <c r="BS28" i="11"/>
  <c r="BT28" i="11"/>
  <c r="BP28" i="11"/>
  <c r="BL28" i="11"/>
  <c r="BM28" i="11"/>
  <c r="BN28" i="11"/>
  <c r="BK28" i="11"/>
  <c r="BH28" i="11"/>
  <c r="BD28" i="11"/>
  <c r="AZ28" i="11"/>
  <c r="AV28" i="11"/>
  <c r="AP28" i="11"/>
  <c r="AK28" i="11"/>
  <c r="AF28" i="11"/>
  <c r="AA28" i="11"/>
  <c r="V28" i="11"/>
  <c r="Q28" i="11"/>
  <c r="L28" i="11"/>
  <c r="BX27" i="11"/>
  <c r="BP27" i="11"/>
  <c r="BS27" i="11"/>
  <c r="BT27" i="11"/>
  <c r="BK27" i="11"/>
  <c r="BL27" i="11"/>
  <c r="BM27" i="11"/>
  <c r="BN27" i="11"/>
  <c r="BH27" i="11"/>
  <c r="BD27" i="11"/>
  <c r="AZ27" i="11"/>
  <c r="AV27" i="11"/>
  <c r="AP27" i="11"/>
  <c r="AK27" i="11"/>
  <c r="AF27" i="11"/>
  <c r="AA27" i="11"/>
  <c r="V27" i="11"/>
  <c r="Q27" i="11"/>
  <c r="L27" i="11"/>
  <c r="BX26" i="11"/>
  <c r="BP26" i="11"/>
  <c r="BS26" i="11"/>
  <c r="BT26" i="11"/>
  <c r="BK26" i="11"/>
  <c r="BL26" i="11"/>
  <c r="BM26" i="11"/>
  <c r="BN26" i="11"/>
  <c r="BH26" i="11"/>
  <c r="BD26" i="11"/>
  <c r="AZ26" i="11"/>
  <c r="AV26" i="11"/>
  <c r="AP26" i="11"/>
  <c r="AK26" i="11"/>
  <c r="AF26" i="11"/>
  <c r="AA26" i="11"/>
  <c r="V26" i="11"/>
  <c r="Q26" i="11"/>
  <c r="L26" i="11"/>
  <c r="BX25" i="11"/>
  <c r="BT25" i="11"/>
  <c r="BS25" i="11"/>
  <c r="BP25" i="11"/>
  <c r="BM25" i="11"/>
  <c r="BN25" i="11"/>
  <c r="BL25" i="11"/>
  <c r="BK25" i="11"/>
  <c r="BH25" i="11"/>
  <c r="BD25" i="11"/>
  <c r="AZ25" i="11"/>
  <c r="AV25" i="11"/>
  <c r="AP25" i="11"/>
  <c r="AK25" i="11"/>
  <c r="AF25" i="11"/>
  <c r="AA25" i="11"/>
  <c r="V25" i="11"/>
  <c r="Q25" i="11"/>
  <c r="L25" i="11"/>
  <c r="BX24" i="11"/>
  <c r="BS24" i="11"/>
  <c r="BT24" i="11"/>
  <c r="BP24" i="11"/>
  <c r="BL24" i="11"/>
  <c r="BM24" i="11"/>
  <c r="BN24" i="11"/>
  <c r="BK24" i="11"/>
  <c r="BH24" i="11"/>
  <c r="BD24" i="11"/>
  <c r="AZ24" i="11"/>
  <c r="AV24" i="11"/>
  <c r="AP24" i="11"/>
  <c r="AK24" i="11"/>
  <c r="AF24" i="11"/>
  <c r="AA24" i="11"/>
  <c r="V24" i="11"/>
  <c r="Q24" i="11"/>
  <c r="L24" i="11"/>
  <c r="BX23" i="11"/>
  <c r="BP23" i="11"/>
  <c r="BS23" i="11"/>
  <c r="BT23" i="11"/>
  <c r="BK23" i="11"/>
  <c r="BL23" i="11"/>
  <c r="BM23" i="11"/>
  <c r="BN23" i="11"/>
  <c r="BH23" i="11"/>
  <c r="BD23" i="11"/>
  <c r="AZ23" i="11"/>
  <c r="AV23" i="11"/>
  <c r="AP23" i="11"/>
  <c r="AK23" i="11"/>
  <c r="AF23" i="11"/>
  <c r="AA23" i="11"/>
  <c r="V23" i="11"/>
  <c r="Q23" i="11"/>
  <c r="L23" i="11"/>
  <c r="BX22" i="11"/>
  <c r="BP22" i="11"/>
  <c r="BS22" i="11"/>
  <c r="BT22" i="11"/>
  <c r="BK22" i="11"/>
  <c r="BL22" i="11"/>
  <c r="BM22" i="11"/>
  <c r="BN22" i="11"/>
  <c r="BH22" i="11"/>
  <c r="BD22" i="11"/>
  <c r="AZ22" i="11"/>
  <c r="AV22" i="11"/>
  <c r="AP22" i="11"/>
  <c r="AK22" i="11"/>
  <c r="AF22" i="11"/>
  <c r="AA22" i="11"/>
  <c r="V22" i="11"/>
  <c r="Q22" i="11"/>
  <c r="L22" i="11"/>
  <c r="BX21" i="11"/>
  <c r="BT21" i="11"/>
  <c r="BS21" i="11"/>
  <c r="BP21" i="11"/>
  <c r="BM21" i="11"/>
  <c r="BN21" i="11"/>
  <c r="BL21" i="11"/>
  <c r="BK21" i="11"/>
  <c r="BH21" i="11"/>
  <c r="BD21" i="11"/>
  <c r="AZ21" i="11"/>
  <c r="AV21" i="11"/>
  <c r="AP21" i="11"/>
  <c r="AK21" i="11"/>
  <c r="AF21" i="11"/>
  <c r="AA21" i="11"/>
  <c r="V21" i="11"/>
  <c r="Q21" i="11"/>
  <c r="L21" i="11"/>
  <c r="BX20" i="11"/>
  <c r="BS20" i="11"/>
  <c r="BT20" i="11"/>
  <c r="BP20" i="11"/>
  <c r="BL20" i="11"/>
  <c r="BM20" i="11"/>
  <c r="BN20" i="11"/>
  <c r="BK20" i="11"/>
  <c r="BH20" i="11"/>
  <c r="BD20" i="11"/>
  <c r="AZ20" i="11"/>
  <c r="AV20" i="11"/>
  <c r="AP20" i="11"/>
  <c r="AK20" i="11"/>
  <c r="AF20" i="11"/>
  <c r="AA20" i="11"/>
  <c r="V20" i="11"/>
  <c r="Q20" i="11"/>
  <c r="L20" i="11"/>
  <c r="BX19" i="11"/>
  <c r="BP19" i="11"/>
  <c r="BS19" i="11"/>
  <c r="BT19" i="11"/>
  <c r="BK19" i="11"/>
  <c r="BL19" i="11"/>
  <c r="BM19" i="11"/>
  <c r="BN19" i="11"/>
  <c r="BH19" i="11"/>
  <c r="BD19" i="11"/>
  <c r="AZ19" i="11"/>
  <c r="AV19" i="11"/>
  <c r="AP19" i="11"/>
  <c r="AK19" i="11"/>
  <c r="AF19" i="11"/>
  <c r="AA19" i="11"/>
  <c r="V19" i="11"/>
  <c r="Q19" i="11"/>
  <c r="L19" i="11"/>
  <c r="BX18" i="11"/>
  <c r="BP18" i="11"/>
  <c r="BS18" i="11"/>
  <c r="BT18" i="11"/>
  <c r="BK18" i="11"/>
  <c r="BL18" i="11"/>
  <c r="BM18" i="11"/>
  <c r="BN18" i="11"/>
  <c r="BH18" i="11"/>
  <c r="BD18" i="11"/>
  <c r="AZ18" i="11"/>
  <c r="AV18" i="11"/>
  <c r="AP18" i="11"/>
  <c r="AK18" i="11"/>
  <c r="AF18" i="11"/>
  <c r="AA18" i="11"/>
  <c r="V18" i="11"/>
  <c r="Q18" i="11"/>
  <c r="L18" i="11"/>
  <c r="BX17" i="11"/>
  <c r="BP17" i="11"/>
  <c r="BS17" i="11"/>
  <c r="BT17" i="11"/>
  <c r="BM17" i="11"/>
  <c r="BN17" i="11"/>
  <c r="BL17" i="11"/>
  <c r="BK17" i="11"/>
  <c r="BH17" i="11"/>
  <c r="BD17" i="11"/>
  <c r="AZ17" i="11"/>
  <c r="AV17" i="11"/>
  <c r="AP17" i="11"/>
  <c r="AK17" i="11"/>
  <c r="AF17" i="11"/>
  <c r="AA17" i="11"/>
  <c r="V17" i="11"/>
  <c r="Q17" i="11"/>
  <c r="L17" i="11"/>
  <c r="BX16" i="11"/>
  <c r="BP16" i="11"/>
  <c r="BS16" i="11"/>
  <c r="BT16" i="11"/>
  <c r="BL16" i="11"/>
  <c r="BM16" i="11"/>
  <c r="BN16" i="11"/>
  <c r="BK16" i="11"/>
  <c r="BH16" i="11"/>
  <c r="BD16" i="11"/>
  <c r="AZ16" i="11"/>
  <c r="AV16" i="11"/>
  <c r="AP16" i="11"/>
  <c r="AK16" i="11"/>
  <c r="AF16" i="11"/>
  <c r="AA16" i="11"/>
  <c r="V16" i="11"/>
  <c r="Q16" i="11"/>
  <c r="L16" i="11"/>
  <c r="BX15" i="11"/>
  <c r="BP15" i="11"/>
  <c r="BS15" i="11"/>
  <c r="BT15" i="11"/>
  <c r="BK15" i="11"/>
  <c r="BL15" i="11"/>
  <c r="BM15" i="11"/>
  <c r="BN15" i="11"/>
  <c r="BH15" i="11"/>
  <c r="BD15" i="11"/>
  <c r="AZ15" i="11"/>
  <c r="AV15" i="11"/>
  <c r="AP15" i="11"/>
  <c r="AK15" i="11"/>
  <c r="AF15" i="11"/>
  <c r="AA15" i="11"/>
  <c r="V15" i="11"/>
  <c r="Q15" i="11"/>
  <c r="L15" i="11"/>
  <c r="BX14" i="11"/>
  <c r="BP14" i="11"/>
  <c r="BS14" i="11"/>
  <c r="BT14" i="11"/>
  <c r="BK14" i="11"/>
  <c r="BL14" i="11"/>
  <c r="BM14" i="11"/>
  <c r="BN14" i="11"/>
  <c r="BH14" i="11"/>
  <c r="BD14" i="11"/>
  <c r="AZ14" i="11"/>
  <c r="AV14" i="11"/>
  <c r="AP14" i="11"/>
  <c r="AK14" i="11"/>
  <c r="AF14" i="11"/>
  <c r="AA14" i="11"/>
  <c r="V14" i="11"/>
  <c r="Q14" i="11"/>
  <c r="L14" i="11"/>
  <c r="BX13" i="11"/>
  <c r="BP13" i="11"/>
  <c r="BS13" i="11"/>
  <c r="BT13" i="11"/>
  <c r="BM13" i="11"/>
  <c r="BN13" i="11"/>
  <c r="BL13" i="11"/>
  <c r="BK13" i="11"/>
  <c r="BH13" i="11"/>
  <c r="BD13" i="11"/>
  <c r="AZ13" i="11"/>
  <c r="AV13" i="11"/>
  <c r="AP13" i="11"/>
  <c r="AK13" i="11"/>
  <c r="AF13" i="11"/>
  <c r="AA13" i="11"/>
  <c r="V13" i="11"/>
  <c r="Q13" i="11"/>
  <c r="L13" i="11"/>
  <c r="BX12" i="11"/>
  <c r="BP12" i="11"/>
  <c r="BS12" i="11"/>
  <c r="BT12" i="11"/>
  <c r="BL12" i="11"/>
  <c r="BM12" i="11"/>
  <c r="BN12" i="11"/>
  <c r="BK12" i="11"/>
  <c r="BH12" i="11"/>
  <c r="BD12" i="11"/>
  <c r="AZ12" i="11"/>
  <c r="AV12" i="11"/>
  <c r="AP12" i="11"/>
  <c r="AK12" i="11"/>
  <c r="AF12" i="11"/>
  <c r="AA12" i="11"/>
  <c r="V12" i="11"/>
  <c r="Q12" i="11"/>
  <c r="L12" i="11"/>
  <c r="BX11" i="11"/>
  <c r="BP11" i="11"/>
  <c r="BS11" i="11"/>
  <c r="BT11" i="11"/>
  <c r="BK11" i="11"/>
  <c r="BL11" i="11"/>
  <c r="BM11" i="11"/>
  <c r="BN11" i="11"/>
  <c r="BH11" i="11"/>
  <c r="BD11" i="11"/>
  <c r="AZ11" i="11"/>
  <c r="AV11" i="11"/>
  <c r="AP11" i="11"/>
  <c r="AK11" i="11"/>
  <c r="AF11" i="11"/>
  <c r="AA11" i="11"/>
  <c r="V11" i="11"/>
  <c r="Q11" i="11"/>
  <c r="L11" i="11"/>
  <c r="BX10" i="11"/>
  <c r="BP10" i="11"/>
  <c r="BS10" i="11"/>
  <c r="BT10" i="11"/>
  <c r="BK10" i="11"/>
  <c r="BL10" i="11"/>
  <c r="BM10" i="11"/>
  <c r="BN10" i="11"/>
  <c r="BH10" i="11"/>
  <c r="BD10" i="11"/>
  <c r="AZ10" i="11"/>
  <c r="AV10" i="11"/>
  <c r="AP10" i="11"/>
  <c r="AK10" i="11"/>
  <c r="AF10" i="11"/>
  <c r="AA10" i="11"/>
  <c r="V10" i="11"/>
  <c r="Q10" i="11"/>
  <c r="L10" i="11"/>
  <c r="BX9" i="11"/>
  <c r="BP9" i="11"/>
  <c r="BS9" i="11"/>
  <c r="BT9" i="11"/>
  <c r="BM9" i="11"/>
  <c r="BN9" i="11"/>
  <c r="BL9" i="11"/>
  <c r="BK9" i="11"/>
  <c r="BH9" i="11"/>
  <c r="BD9" i="11"/>
  <c r="AZ9" i="11"/>
  <c r="AV9" i="11"/>
  <c r="AP9" i="11"/>
  <c r="AK9" i="11"/>
  <c r="AF9" i="11"/>
  <c r="AA9" i="11"/>
  <c r="V9" i="11"/>
  <c r="Q9" i="11"/>
  <c r="L9" i="11"/>
  <c r="BX8" i="11"/>
  <c r="BS8" i="11"/>
  <c r="BT8" i="11"/>
  <c r="BP8" i="11"/>
  <c r="BL8" i="11"/>
  <c r="BM8" i="11"/>
  <c r="BN8" i="11"/>
  <c r="BK8" i="11"/>
  <c r="BH8" i="11"/>
  <c r="BD8" i="11"/>
  <c r="AZ8" i="11"/>
  <c r="AV8" i="11"/>
  <c r="AP8" i="11"/>
  <c r="AK8" i="11"/>
  <c r="AF8" i="11"/>
  <c r="AA8" i="11"/>
  <c r="V8" i="11"/>
  <c r="Q8" i="11"/>
  <c r="L8" i="11"/>
  <c r="BX7" i="11"/>
  <c r="BP7" i="11"/>
  <c r="BS7" i="11"/>
  <c r="BT7" i="11"/>
  <c r="BK7" i="11"/>
  <c r="BL7" i="11"/>
  <c r="BM7" i="11"/>
  <c r="BN7" i="11"/>
  <c r="BH7" i="11"/>
  <c r="BD7" i="11"/>
  <c r="AZ7" i="11"/>
  <c r="AV7" i="11"/>
  <c r="AP7" i="11"/>
  <c r="AK7" i="11"/>
  <c r="AF7" i="11"/>
  <c r="AA7" i="11"/>
  <c r="V7" i="11"/>
  <c r="Q7" i="11"/>
  <c r="L7" i="11"/>
  <c r="BX6" i="11"/>
  <c r="BP6" i="11"/>
  <c r="BS6" i="11"/>
  <c r="BT6" i="11"/>
  <c r="BK6" i="11"/>
  <c r="BL6" i="11"/>
  <c r="BM6" i="11"/>
  <c r="BN6" i="11"/>
  <c r="BH6" i="11"/>
  <c r="BD6" i="11"/>
  <c r="AZ6" i="11"/>
  <c r="AV6" i="11"/>
  <c r="AP6" i="11"/>
  <c r="AK6" i="11"/>
  <c r="AF6" i="11"/>
  <c r="AA6" i="11"/>
  <c r="V6" i="11"/>
  <c r="Q6" i="11"/>
  <c r="L6" i="11"/>
  <c r="BX5" i="11"/>
  <c r="BP5" i="11"/>
  <c r="BS5" i="11"/>
  <c r="BT5" i="11"/>
  <c r="BM5" i="11"/>
  <c r="BN5" i="11"/>
  <c r="BL5" i="11"/>
  <c r="BK5" i="11"/>
  <c r="BH5" i="11"/>
  <c r="BD5" i="11"/>
  <c r="AZ5" i="11"/>
  <c r="AV5" i="11"/>
  <c r="AP5" i="11"/>
  <c r="AK5" i="11"/>
  <c r="AF5" i="11"/>
  <c r="AA5" i="11"/>
  <c r="V5" i="11"/>
  <c r="Q5" i="11"/>
  <c r="L5" i="11"/>
  <c r="J9" i="9"/>
  <c r="F11" i="9"/>
  <c r="G11" i="9"/>
  <c r="I11" i="9"/>
  <c r="J11" i="9"/>
  <c r="F10" i="9"/>
  <c r="G10" i="9"/>
  <c r="I10" i="9"/>
  <c r="J10" i="9"/>
  <c r="F9" i="9"/>
  <c r="G9" i="9"/>
  <c r="I9" i="9"/>
  <c r="F4" i="9"/>
  <c r="C37" i="9"/>
  <c r="C36" i="9"/>
  <c r="C35" i="9"/>
  <c r="C24" i="9"/>
  <c r="D20" i="9"/>
  <c r="D19" i="9"/>
  <c r="D15" i="9"/>
  <c r="C15" i="9"/>
  <c r="K6" i="9"/>
  <c r="F6" i="9"/>
  <c r="G6" i="9"/>
  <c r="I6" i="9"/>
  <c r="J6" i="9"/>
  <c r="K5" i="9"/>
  <c r="F5" i="9"/>
  <c r="G5" i="9"/>
  <c r="I5" i="9"/>
  <c r="J5" i="9"/>
  <c r="K4" i="9"/>
  <c r="G4" i="9"/>
  <c r="I4" i="9"/>
  <c r="J4" i="9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AA6" i="3"/>
  <c r="AA7" i="3"/>
  <c r="AA8" i="3"/>
  <c r="AA9" i="3"/>
  <c r="AA10" i="3"/>
  <c r="AA11" i="3"/>
  <c r="AA12" i="3"/>
  <c r="AA13" i="3"/>
  <c r="AA14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P6" i="3"/>
  <c r="AP7" i="3"/>
  <c r="AP8" i="3"/>
  <c r="AP10" i="3"/>
  <c r="AP11" i="3"/>
  <c r="AP12" i="3"/>
  <c r="AP14" i="3"/>
  <c r="AP15" i="3"/>
  <c r="AP16" i="3"/>
  <c r="AP18" i="3"/>
  <c r="AP19" i="3"/>
  <c r="AP20" i="3"/>
  <c r="AP22" i="3"/>
  <c r="AP24" i="3"/>
  <c r="AP28" i="3"/>
  <c r="AP30" i="3"/>
  <c r="AP32" i="3"/>
  <c r="AP34" i="3"/>
  <c r="AP36" i="3"/>
  <c r="AP38" i="3"/>
  <c r="AP40" i="3"/>
  <c r="AP42" i="3"/>
  <c r="AP44" i="3"/>
  <c r="AP46" i="3"/>
  <c r="AP49" i="3"/>
  <c r="AP52" i="3"/>
  <c r="AP54" i="3"/>
  <c r="AP60" i="3"/>
  <c r="AP62" i="3"/>
  <c r="AP64" i="3"/>
  <c r="AP66" i="3"/>
  <c r="AP70" i="3"/>
  <c r="AP72" i="3"/>
  <c r="AP76" i="3"/>
  <c r="AP78" i="3"/>
  <c r="AP82" i="3"/>
  <c r="AP86" i="3"/>
  <c r="AP88" i="3"/>
  <c r="AP90" i="3"/>
  <c r="AP92" i="3"/>
  <c r="AP94" i="3"/>
  <c r="AP98" i="3"/>
  <c r="AP100" i="3"/>
  <c r="AP104" i="3"/>
  <c r="AP106" i="3"/>
  <c r="AP108" i="3"/>
  <c r="AP110" i="3"/>
  <c r="AP112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P23" i="3" s="1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P43" i="3" s="1"/>
  <c r="AV44" i="3"/>
  <c r="AV45" i="3"/>
  <c r="AV46" i="3"/>
  <c r="AV47" i="3"/>
  <c r="AP47" i="3" s="1"/>
  <c r="AV48" i="3"/>
  <c r="AV49" i="3"/>
  <c r="AV50" i="3"/>
  <c r="AP50" i="3" s="1"/>
  <c r="AV51" i="3"/>
  <c r="AP51" i="3" s="1"/>
  <c r="AV52" i="3"/>
  <c r="AV53" i="3"/>
  <c r="AV54" i="3"/>
  <c r="AV55" i="3"/>
  <c r="AV56" i="3"/>
  <c r="AP56" i="3" s="1"/>
  <c r="AV57" i="3"/>
  <c r="AV58" i="3"/>
  <c r="AP58" i="3" s="1"/>
  <c r="AV59" i="3"/>
  <c r="AV60" i="3"/>
  <c r="AV61" i="3"/>
  <c r="AV62" i="3"/>
  <c r="AV63" i="3"/>
  <c r="AV64" i="3"/>
  <c r="AV65" i="3"/>
  <c r="AV66" i="3"/>
  <c r="AV67" i="3"/>
  <c r="AV68" i="3"/>
  <c r="AV69" i="3"/>
  <c r="AV70" i="3"/>
  <c r="AV71" i="3"/>
  <c r="AV72" i="3"/>
  <c r="AV73" i="3"/>
  <c r="AV74" i="3"/>
  <c r="AP74" i="3" s="1"/>
  <c r="AV75" i="3"/>
  <c r="AP75" i="3" s="1"/>
  <c r="AV76" i="3"/>
  <c r="AV77" i="3"/>
  <c r="AV78" i="3"/>
  <c r="AV79" i="3"/>
  <c r="AV80" i="3"/>
  <c r="AP80" i="3" s="1"/>
  <c r="AV81" i="3"/>
  <c r="AP81" i="3" s="1"/>
  <c r="AV82" i="3"/>
  <c r="AV83" i="3"/>
  <c r="AV84" i="3"/>
  <c r="AV85" i="3"/>
  <c r="AV86" i="3"/>
  <c r="AV87" i="3"/>
  <c r="AV88" i="3"/>
  <c r="AV89" i="3"/>
  <c r="AV90" i="3"/>
  <c r="AV91" i="3"/>
  <c r="AV92" i="3"/>
  <c r="AV93" i="3"/>
  <c r="AP93" i="3" s="1"/>
  <c r="AV94" i="3"/>
  <c r="AV95" i="3"/>
  <c r="AV96" i="3"/>
  <c r="AV97" i="3"/>
  <c r="AV98" i="3"/>
  <c r="AV99" i="3"/>
  <c r="AV100" i="3"/>
  <c r="AV101" i="3"/>
  <c r="AV102" i="3"/>
  <c r="AP102" i="3" s="1"/>
  <c r="AV103" i="3"/>
  <c r="AP103" i="3" s="1"/>
  <c r="AV104" i="3"/>
  <c r="AV105" i="3"/>
  <c r="AV106" i="3"/>
  <c r="AV107" i="3"/>
  <c r="AV108" i="3"/>
  <c r="AV109" i="3"/>
  <c r="AV110" i="3"/>
  <c r="AV111" i="3"/>
  <c r="AP111" i="3" s="1"/>
  <c r="AV112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103" i="3"/>
  <c r="BD104" i="3"/>
  <c r="BD105" i="3"/>
  <c r="BD106" i="3"/>
  <c r="BD107" i="3"/>
  <c r="BD108" i="3"/>
  <c r="BD109" i="3"/>
  <c r="BD110" i="3"/>
  <c r="BD111" i="3"/>
  <c r="BD112" i="3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BH22" i="3"/>
  <c r="BH23" i="3"/>
  <c r="BH24" i="3"/>
  <c r="BH25" i="3"/>
  <c r="BH26" i="3"/>
  <c r="BH27" i="3"/>
  <c r="BH28" i="3"/>
  <c r="BH29" i="3"/>
  <c r="BH30" i="3"/>
  <c r="BH31" i="3"/>
  <c r="BH32" i="3"/>
  <c r="BH33" i="3"/>
  <c r="BH34" i="3"/>
  <c r="BH35" i="3"/>
  <c r="BH36" i="3"/>
  <c r="BH37" i="3"/>
  <c r="BH38" i="3"/>
  <c r="BH39" i="3"/>
  <c r="BH40" i="3"/>
  <c r="BH41" i="3"/>
  <c r="BH42" i="3"/>
  <c r="BH43" i="3"/>
  <c r="BH44" i="3"/>
  <c r="BH45" i="3"/>
  <c r="BH46" i="3"/>
  <c r="BH47" i="3"/>
  <c r="BH48" i="3"/>
  <c r="BH49" i="3"/>
  <c r="BH50" i="3"/>
  <c r="BH51" i="3"/>
  <c r="BH52" i="3"/>
  <c r="BH53" i="3"/>
  <c r="BH54" i="3"/>
  <c r="BH55" i="3"/>
  <c r="BH56" i="3"/>
  <c r="BH57" i="3"/>
  <c r="BH58" i="3"/>
  <c r="BH59" i="3"/>
  <c r="BH60" i="3"/>
  <c r="BH61" i="3"/>
  <c r="BH62" i="3"/>
  <c r="BH63" i="3"/>
  <c r="BH64" i="3"/>
  <c r="BH65" i="3"/>
  <c r="BH66" i="3"/>
  <c r="BH67" i="3"/>
  <c r="BH68" i="3"/>
  <c r="BH69" i="3"/>
  <c r="BH70" i="3"/>
  <c r="BH71" i="3"/>
  <c r="BH72" i="3"/>
  <c r="BH73" i="3"/>
  <c r="BH74" i="3"/>
  <c r="BH75" i="3"/>
  <c r="BH76" i="3"/>
  <c r="BH77" i="3"/>
  <c r="BH78" i="3"/>
  <c r="BH79" i="3"/>
  <c r="BH80" i="3"/>
  <c r="BH81" i="3"/>
  <c r="BH82" i="3"/>
  <c r="BH83" i="3"/>
  <c r="BH84" i="3"/>
  <c r="BH85" i="3"/>
  <c r="BH86" i="3"/>
  <c r="BH87" i="3"/>
  <c r="BH88" i="3"/>
  <c r="BH89" i="3"/>
  <c r="BH90" i="3"/>
  <c r="BH91" i="3"/>
  <c r="BH92" i="3"/>
  <c r="BH93" i="3"/>
  <c r="BH94" i="3"/>
  <c r="BH95" i="3"/>
  <c r="BH96" i="3"/>
  <c r="BH97" i="3"/>
  <c r="BH98" i="3"/>
  <c r="BH99" i="3"/>
  <c r="BH100" i="3"/>
  <c r="BH101" i="3"/>
  <c r="BH102" i="3"/>
  <c r="BH103" i="3"/>
  <c r="BH104" i="3"/>
  <c r="BH105" i="3"/>
  <c r="BH106" i="3"/>
  <c r="BH107" i="3"/>
  <c r="BH108" i="3"/>
  <c r="BH109" i="3"/>
  <c r="BH110" i="3"/>
  <c r="BH111" i="3"/>
  <c r="BH112" i="3"/>
  <c r="BK6" i="3"/>
  <c r="BL6" i="3"/>
  <c r="BM6" i="3"/>
  <c r="BN6" i="3"/>
  <c r="BK7" i="3"/>
  <c r="BL7" i="3"/>
  <c r="BM7" i="3"/>
  <c r="BN7" i="3"/>
  <c r="BK8" i="3"/>
  <c r="BL8" i="3"/>
  <c r="BM8" i="3"/>
  <c r="BN8" i="3"/>
  <c r="BK9" i="3"/>
  <c r="BL9" i="3"/>
  <c r="BM9" i="3"/>
  <c r="BN9" i="3"/>
  <c r="BK10" i="3"/>
  <c r="BL10" i="3"/>
  <c r="BM10" i="3"/>
  <c r="BN10" i="3"/>
  <c r="BK11" i="3"/>
  <c r="BM11" i="3"/>
  <c r="BN11" i="3"/>
  <c r="BK12" i="3"/>
  <c r="BL12" i="3"/>
  <c r="BM12" i="3"/>
  <c r="BN12" i="3"/>
  <c r="BK13" i="3"/>
  <c r="BL13" i="3"/>
  <c r="BM13" i="3"/>
  <c r="BN13" i="3"/>
  <c r="BK14" i="3"/>
  <c r="BL14" i="3"/>
  <c r="BM14" i="3"/>
  <c r="BN14" i="3"/>
  <c r="BK15" i="3"/>
  <c r="BL15" i="3"/>
  <c r="BM15" i="3"/>
  <c r="BN15" i="3"/>
  <c r="BK16" i="3"/>
  <c r="BL16" i="3"/>
  <c r="BM16" i="3"/>
  <c r="BN16" i="3"/>
  <c r="BK17" i="3"/>
  <c r="BL17" i="3"/>
  <c r="BM17" i="3"/>
  <c r="BN17" i="3"/>
  <c r="BK18" i="3"/>
  <c r="BL18" i="3"/>
  <c r="BM18" i="3"/>
  <c r="BN18" i="3"/>
  <c r="BK19" i="3"/>
  <c r="BL19" i="3"/>
  <c r="BM19" i="3"/>
  <c r="BN19" i="3"/>
  <c r="BK20" i="3"/>
  <c r="BL20" i="3"/>
  <c r="BM20" i="3"/>
  <c r="BN20" i="3"/>
  <c r="BK21" i="3"/>
  <c r="BL21" i="3"/>
  <c r="BM21" i="3"/>
  <c r="BN21" i="3"/>
  <c r="BK22" i="3"/>
  <c r="BL22" i="3"/>
  <c r="BM22" i="3"/>
  <c r="BN22" i="3"/>
  <c r="BK23" i="3"/>
  <c r="BL23" i="3"/>
  <c r="BM23" i="3"/>
  <c r="BN23" i="3"/>
  <c r="BK24" i="3"/>
  <c r="BL24" i="3"/>
  <c r="BM24" i="3"/>
  <c r="BN24" i="3"/>
  <c r="BK25" i="3"/>
  <c r="BL25" i="3"/>
  <c r="BM25" i="3"/>
  <c r="BN25" i="3"/>
  <c r="BK26" i="3"/>
  <c r="BL26" i="3"/>
  <c r="BM26" i="3"/>
  <c r="BN26" i="3"/>
  <c r="BK27" i="3"/>
  <c r="BL27" i="3"/>
  <c r="BM27" i="3"/>
  <c r="BN27" i="3"/>
  <c r="BK28" i="3"/>
  <c r="BL28" i="3"/>
  <c r="BM28" i="3"/>
  <c r="BN28" i="3"/>
  <c r="BK29" i="3"/>
  <c r="BL29" i="3"/>
  <c r="BM29" i="3"/>
  <c r="BN29" i="3"/>
  <c r="BK30" i="3"/>
  <c r="BL30" i="3"/>
  <c r="BM30" i="3"/>
  <c r="BN30" i="3"/>
  <c r="BK31" i="3"/>
  <c r="BL31" i="3"/>
  <c r="BM31" i="3"/>
  <c r="BN31" i="3"/>
  <c r="BK32" i="3"/>
  <c r="BL32" i="3"/>
  <c r="BM32" i="3"/>
  <c r="BN32" i="3"/>
  <c r="BK33" i="3"/>
  <c r="BL33" i="3"/>
  <c r="BM33" i="3"/>
  <c r="BN33" i="3"/>
  <c r="BK34" i="3"/>
  <c r="BL34" i="3"/>
  <c r="BM34" i="3"/>
  <c r="BN34" i="3"/>
  <c r="BK35" i="3"/>
  <c r="BL35" i="3"/>
  <c r="BM35" i="3"/>
  <c r="BN35" i="3"/>
  <c r="BK36" i="3"/>
  <c r="BL36" i="3"/>
  <c r="BM36" i="3"/>
  <c r="BN36" i="3"/>
  <c r="BK37" i="3"/>
  <c r="BL37" i="3"/>
  <c r="BM37" i="3"/>
  <c r="BN37" i="3"/>
  <c r="BK38" i="3"/>
  <c r="BL38" i="3"/>
  <c r="BM38" i="3"/>
  <c r="BN38" i="3"/>
  <c r="BK39" i="3"/>
  <c r="BL39" i="3"/>
  <c r="BM39" i="3"/>
  <c r="BN39" i="3"/>
  <c r="BK40" i="3"/>
  <c r="BL40" i="3"/>
  <c r="BM40" i="3"/>
  <c r="BN40" i="3"/>
  <c r="BK41" i="3"/>
  <c r="BL41" i="3"/>
  <c r="BM41" i="3"/>
  <c r="BN41" i="3"/>
  <c r="BK42" i="3"/>
  <c r="BL42" i="3"/>
  <c r="BM42" i="3"/>
  <c r="BN42" i="3"/>
  <c r="BK43" i="3"/>
  <c r="BL43" i="3"/>
  <c r="BM43" i="3"/>
  <c r="BN43" i="3"/>
  <c r="BK44" i="3"/>
  <c r="BL44" i="3"/>
  <c r="BM44" i="3"/>
  <c r="BN44" i="3"/>
  <c r="BK45" i="3"/>
  <c r="BL45" i="3"/>
  <c r="BM45" i="3"/>
  <c r="BN45" i="3"/>
  <c r="BK46" i="3"/>
  <c r="BL46" i="3"/>
  <c r="BM46" i="3"/>
  <c r="BN46" i="3"/>
  <c r="BK47" i="3"/>
  <c r="BL47" i="3"/>
  <c r="BM47" i="3"/>
  <c r="BN47" i="3"/>
  <c r="BK48" i="3"/>
  <c r="BL48" i="3"/>
  <c r="BM48" i="3"/>
  <c r="BN48" i="3"/>
  <c r="BK49" i="3"/>
  <c r="BL49" i="3"/>
  <c r="BM49" i="3"/>
  <c r="BN49" i="3"/>
  <c r="BK50" i="3"/>
  <c r="BL50" i="3"/>
  <c r="BM50" i="3"/>
  <c r="BN50" i="3"/>
  <c r="BK51" i="3"/>
  <c r="BL51" i="3"/>
  <c r="BM51" i="3"/>
  <c r="BN51" i="3"/>
  <c r="BK52" i="3"/>
  <c r="BL52" i="3"/>
  <c r="BM52" i="3"/>
  <c r="BN52" i="3"/>
  <c r="BK53" i="3"/>
  <c r="BL53" i="3"/>
  <c r="BM53" i="3"/>
  <c r="BN53" i="3"/>
  <c r="BK54" i="3"/>
  <c r="BL54" i="3"/>
  <c r="BM54" i="3"/>
  <c r="BN54" i="3" s="1"/>
  <c r="BK55" i="3"/>
  <c r="BL55" i="3"/>
  <c r="BM55" i="3"/>
  <c r="BN55" i="3"/>
  <c r="BK56" i="3"/>
  <c r="BL56" i="3"/>
  <c r="BM56" i="3"/>
  <c r="BN56" i="3"/>
  <c r="BK57" i="3"/>
  <c r="BL57" i="3"/>
  <c r="BM57" i="3"/>
  <c r="BN57" i="3"/>
  <c r="BK58" i="3"/>
  <c r="BL58" i="3" s="1"/>
  <c r="BM58" i="3" s="1"/>
  <c r="BN58" i="3" s="1"/>
  <c r="BK59" i="3"/>
  <c r="BL59" i="3"/>
  <c r="BM59" i="3"/>
  <c r="BN59" i="3"/>
  <c r="BK60" i="3"/>
  <c r="BL60" i="3"/>
  <c r="BM60" i="3"/>
  <c r="BN60" i="3"/>
  <c r="BK61" i="3"/>
  <c r="BL61" i="3"/>
  <c r="BM61" i="3"/>
  <c r="BN61" i="3"/>
  <c r="BK62" i="3"/>
  <c r="BL62" i="3"/>
  <c r="BM62" i="3"/>
  <c r="BN62" i="3"/>
  <c r="BK63" i="3"/>
  <c r="BL63" i="3"/>
  <c r="BM63" i="3" s="1"/>
  <c r="BN63" i="3" s="1"/>
  <c r="BK64" i="3"/>
  <c r="BL64" i="3"/>
  <c r="BM64" i="3"/>
  <c r="BN64" i="3"/>
  <c r="BK65" i="3"/>
  <c r="BL65" i="3"/>
  <c r="BM65" i="3"/>
  <c r="BN65" i="3"/>
  <c r="BK66" i="3"/>
  <c r="BL66" i="3" s="1"/>
  <c r="BM66" i="3" s="1"/>
  <c r="BN66" i="3" s="1"/>
  <c r="BK67" i="3"/>
  <c r="BL67" i="3"/>
  <c r="BM67" i="3"/>
  <c r="BN67" i="3"/>
  <c r="BK68" i="3"/>
  <c r="BL68" i="3"/>
  <c r="BM68" i="3"/>
  <c r="BN68" i="3"/>
  <c r="BK69" i="3"/>
  <c r="BL69" i="3"/>
  <c r="BM69" i="3"/>
  <c r="BN69" i="3"/>
  <c r="BK70" i="3"/>
  <c r="BL70" i="3"/>
  <c r="BM70" i="3"/>
  <c r="BN70" i="3"/>
  <c r="BK71" i="3"/>
  <c r="BL71" i="3"/>
  <c r="BM71" i="3"/>
  <c r="BN71" i="3"/>
  <c r="BK72" i="3"/>
  <c r="BL72" i="3"/>
  <c r="BM72" i="3"/>
  <c r="BN72" i="3"/>
  <c r="BK73" i="3"/>
  <c r="BL73" i="3"/>
  <c r="BM73" i="3"/>
  <c r="BN73" i="3"/>
  <c r="BK74" i="3"/>
  <c r="BL74" i="3"/>
  <c r="BM74" i="3"/>
  <c r="BN74" i="3"/>
  <c r="BK75" i="3"/>
  <c r="BL75" i="3"/>
  <c r="BM75" i="3"/>
  <c r="BN75" i="3"/>
  <c r="BK76" i="3"/>
  <c r="BL76" i="3"/>
  <c r="BM76" i="3"/>
  <c r="BN76" i="3"/>
  <c r="BK77" i="3"/>
  <c r="BL77" i="3"/>
  <c r="BM77" i="3"/>
  <c r="BN77" i="3"/>
  <c r="BK78" i="3"/>
  <c r="BL78" i="3"/>
  <c r="BM78" i="3"/>
  <c r="BN78" i="3"/>
  <c r="BK79" i="3"/>
  <c r="BL79" i="3"/>
  <c r="BM79" i="3"/>
  <c r="BN79" i="3"/>
  <c r="BK80" i="3"/>
  <c r="BL80" i="3"/>
  <c r="BM80" i="3"/>
  <c r="BN80" i="3"/>
  <c r="BK81" i="3"/>
  <c r="BL81" i="3"/>
  <c r="BM81" i="3"/>
  <c r="BN81" i="3"/>
  <c r="BK82" i="3"/>
  <c r="BL82" i="3"/>
  <c r="BM82" i="3"/>
  <c r="BN82" i="3"/>
  <c r="BK83" i="3"/>
  <c r="BL83" i="3"/>
  <c r="BM83" i="3"/>
  <c r="BN83" i="3"/>
  <c r="BK84" i="3"/>
  <c r="BL84" i="3"/>
  <c r="BM84" i="3"/>
  <c r="BN84" i="3"/>
  <c r="BK85" i="3"/>
  <c r="BL85" i="3"/>
  <c r="BM85" i="3"/>
  <c r="BN85" i="3"/>
  <c r="BK86" i="3"/>
  <c r="BL86" i="3"/>
  <c r="BM86" i="3"/>
  <c r="BN86" i="3"/>
  <c r="BK87" i="3"/>
  <c r="BL87" i="3"/>
  <c r="BM87" i="3"/>
  <c r="BN87" i="3"/>
  <c r="BK88" i="3"/>
  <c r="BL88" i="3"/>
  <c r="BM88" i="3"/>
  <c r="BN88" i="3"/>
  <c r="BK89" i="3"/>
  <c r="BL89" i="3"/>
  <c r="BM89" i="3"/>
  <c r="BN89" i="3"/>
  <c r="BK90" i="3"/>
  <c r="BL90" i="3"/>
  <c r="BM90" i="3"/>
  <c r="BN90" i="3"/>
  <c r="BK91" i="3"/>
  <c r="BL91" i="3"/>
  <c r="BM91" i="3"/>
  <c r="BN91" i="3"/>
  <c r="BK92" i="3"/>
  <c r="BL92" i="3"/>
  <c r="BM92" i="3"/>
  <c r="BN92" i="3"/>
  <c r="BK93" i="3"/>
  <c r="BL93" i="3"/>
  <c r="BM93" i="3"/>
  <c r="BN93" i="3"/>
  <c r="BK94" i="3"/>
  <c r="BL94" i="3"/>
  <c r="BM94" i="3"/>
  <c r="BN94" i="3"/>
  <c r="BK95" i="3"/>
  <c r="BL95" i="3"/>
  <c r="BM95" i="3"/>
  <c r="BN95" i="3"/>
  <c r="BK96" i="3"/>
  <c r="BL96" i="3"/>
  <c r="BM96" i="3"/>
  <c r="BN96" i="3"/>
  <c r="BK97" i="3"/>
  <c r="BL97" i="3"/>
  <c r="BM97" i="3"/>
  <c r="BN97" i="3"/>
  <c r="BK98" i="3"/>
  <c r="BL98" i="3"/>
  <c r="BM98" i="3"/>
  <c r="BN98" i="3"/>
  <c r="BK99" i="3"/>
  <c r="BL99" i="3"/>
  <c r="BM99" i="3"/>
  <c r="BN99" i="3"/>
  <c r="BK100" i="3"/>
  <c r="BL100" i="3"/>
  <c r="BM100" i="3"/>
  <c r="BN100" i="3"/>
  <c r="BK101" i="3"/>
  <c r="BL101" i="3"/>
  <c r="BM101" i="3"/>
  <c r="BN101" i="3"/>
  <c r="BK102" i="3"/>
  <c r="BL102" i="3"/>
  <c r="BM102" i="3"/>
  <c r="BN102" i="3"/>
  <c r="BK103" i="3"/>
  <c r="BL103" i="3"/>
  <c r="BM103" i="3"/>
  <c r="BN103" i="3"/>
  <c r="BK104" i="3"/>
  <c r="BL104" i="3"/>
  <c r="BM104" i="3"/>
  <c r="BN104" i="3"/>
  <c r="BK105" i="3"/>
  <c r="BL105" i="3" s="1"/>
  <c r="BM105" i="3" s="1"/>
  <c r="BN105" i="3" s="1"/>
  <c r="BK106" i="3"/>
  <c r="BL106" i="3"/>
  <c r="BM106" i="3"/>
  <c r="BN106" i="3"/>
  <c r="BK107" i="3"/>
  <c r="BL107" i="3"/>
  <c r="BM107" i="3"/>
  <c r="BN107" i="3"/>
  <c r="BK108" i="3"/>
  <c r="BL108" i="3"/>
  <c r="BM108" i="3"/>
  <c r="BN108" i="3"/>
  <c r="BK109" i="3"/>
  <c r="BL109" i="3"/>
  <c r="BM109" i="3"/>
  <c r="BN109" i="3"/>
  <c r="BK110" i="3"/>
  <c r="BL110" i="3"/>
  <c r="BM110" i="3" s="1"/>
  <c r="BN110" i="3" s="1"/>
  <c r="BK111" i="3"/>
  <c r="BL111" i="3"/>
  <c r="BM111" i="3"/>
  <c r="BN111" i="3"/>
  <c r="BK112" i="3"/>
  <c r="BL112" i="3"/>
  <c r="BM112" i="3"/>
  <c r="BN112" i="3"/>
  <c r="BP6" i="3"/>
  <c r="BS6" i="3"/>
  <c r="BT6" i="3"/>
  <c r="BP7" i="3"/>
  <c r="BS7" i="3"/>
  <c r="BT7" i="3"/>
  <c r="BP8" i="3"/>
  <c r="BS8" i="3"/>
  <c r="BT8" i="3"/>
  <c r="BP9" i="3"/>
  <c r="BS9" i="3"/>
  <c r="BT9" i="3"/>
  <c r="BP10" i="3"/>
  <c r="BP11" i="3"/>
  <c r="BS11" i="3"/>
  <c r="BT11" i="3"/>
  <c r="BP12" i="3"/>
  <c r="BS12" i="3"/>
  <c r="BT12" i="3"/>
  <c r="BP13" i="3"/>
  <c r="BS13" i="3"/>
  <c r="BT13" i="3"/>
  <c r="BP14" i="3"/>
  <c r="BS14" i="3"/>
  <c r="BT14" i="3"/>
  <c r="BP15" i="3"/>
  <c r="BS15" i="3"/>
  <c r="BT15" i="3"/>
  <c r="BP16" i="3"/>
  <c r="BS16" i="3"/>
  <c r="BT16" i="3"/>
  <c r="BP17" i="3"/>
  <c r="BS17" i="3"/>
  <c r="BT17" i="3"/>
  <c r="BP18" i="3"/>
  <c r="BS18" i="3"/>
  <c r="BT18" i="3"/>
  <c r="BP19" i="3"/>
  <c r="BS19" i="3"/>
  <c r="BT19" i="3"/>
  <c r="BP20" i="3"/>
  <c r="BS20" i="3"/>
  <c r="BT20" i="3"/>
  <c r="BP21" i="3"/>
  <c r="BS21" i="3"/>
  <c r="BT21" i="3"/>
  <c r="BP22" i="3"/>
  <c r="BS22" i="3"/>
  <c r="BT22" i="3"/>
  <c r="BP23" i="3"/>
  <c r="BS23" i="3"/>
  <c r="BT23" i="3"/>
  <c r="BP24" i="3"/>
  <c r="BS24" i="3"/>
  <c r="BT24" i="3"/>
  <c r="BP25" i="3"/>
  <c r="BS25" i="3"/>
  <c r="BT25" i="3"/>
  <c r="BP26" i="3"/>
  <c r="BS26" i="3"/>
  <c r="BT26" i="3"/>
  <c r="BP27" i="3"/>
  <c r="BS27" i="3"/>
  <c r="BT27" i="3"/>
  <c r="BP28" i="3"/>
  <c r="BS28" i="3"/>
  <c r="BT28" i="3"/>
  <c r="BP29" i="3"/>
  <c r="BS29" i="3"/>
  <c r="BT29" i="3"/>
  <c r="BP30" i="3"/>
  <c r="BS30" i="3"/>
  <c r="BT30" i="3"/>
  <c r="BP31" i="3"/>
  <c r="BS31" i="3"/>
  <c r="BT31" i="3"/>
  <c r="BP32" i="3"/>
  <c r="BS32" i="3"/>
  <c r="BT32" i="3"/>
  <c r="BP33" i="3"/>
  <c r="BS33" i="3"/>
  <c r="BT33" i="3"/>
  <c r="BP34" i="3"/>
  <c r="BS34" i="3"/>
  <c r="BT34" i="3"/>
  <c r="BP35" i="3"/>
  <c r="BS35" i="3"/>
  <c r="BT35" i="3"/>
  <c r="BP36" i="3"/>
  <c r="BS36" i="3"/>
  <c r="BT36" i="3"/>
  <c r="BP37" i="3"/>
  <c r="BP38" i="3"/>
  <c r="BS38" i="3"/>
  <c r="BT38" i="3"/>
  <c r="BP39" i="3"/>
  <c r="BS39" i="3"/>
  <c r="BT39" i="3"/>
  <c r="BP40" i="3"/>
  <c r="BS40" i="3"/>
  <c r="BT40" i="3"/>
  <c r="BP41" i="3"/>
  <c r="BS41" i="3"/>
  <c r="BT41" i="3"/>
  <c r="BP42" i="3"/>
  <c r="BS42" i="3"/>
  <c r="BT42" i="3"/>
  <c r="BP43" i="3"/>
  <c r="BS43" i="3"/>
  <c r="BT43" i="3"/>
  <c r="BP44" i="3"/>
  <c r="BS44" i="3"/>
  <c r="BT44" i="3"/>
  <c r="BP45" i="3"/>
  <c r="BS45" i="3"/>
  <c r="BT45" i="3"/>
  <c r="BP46" i="3"/>
  <c r="BS46" i="3"/>
  <c r="BT46" i="3"/>
  <c r="BP47" i="3"/>
  <c r="BS47" i="3"/>
  <c r="BT47" i="3"/>
  <c r="BP48" i="3"/>
  <c r="BS48" i="3"/>
  <c r="BT48" i="3"/>
  <c r="BP49" i="3"/>
  <c r="BS49" i="3"/>
  <c r="BT49" i="3"/>
  <c r="BP50" i="3"/>
  <c r="BS50" i="3"/>
  <c r="BT50" i="3"/>
  <c r="BP51" i="3"/>
  <c r="BS51" i="3"/>
  <c r="BT51" i="3"/>
  <c r="BP52" i="3"/>
  <c r="BS52" i="3"/>
  <c r="BT52" i="3"/>
  <c r="BP53" i="3"/>
  <c r="BS53" i="3"/>
  <c r="BT53" i="3"/>
  <c r="BP54" i="3"/>
  <c r="BS54" i="3"/>
  <c r="BT54" i="3"/>
  <c r="BP55" i="3"/>
  <c r="BS55" i="3"/>
  <c r="BT55" i="3"/>
  <c r="BP56" i="3"/>
  <c r="BS56" i="3"/>
  <c r="BT56" i="3"/>
  <c r="BP57" i="3"/>
  <c r="BS57" i="3"/>
  <c r="BT57" i="3"/>
  <c r="BP58" i="3"/>
  <c r="BS58" i="3"/>
  <c r="BT58" i="3"/>
  <c r="BP59" i="3"/>
  <c r="BS59" i="3"/>
  <c r="BT59" i="3"/>
  <c r="BP60" i="3"/>
  <c r="BS60" i="3"/>
  <c r="BT60" i="3"/>
  <c r="BP61" i="3"/>
  <c r="BS61" i="3"/>
  <c r="BT61" i="3"/>
  <c r="BP62" i="3"/>
  <c r="BS62" i="3"/>
  <c r="BT62" i="3"/>
  <c r="BP63" i="3"/>
  <c r="BS63" i="3"/>
  <c r="BT63" i="3"/>
  <c r="BP64" i="3"/>
  <c r="BS64" i="3"/>
  <c r="BT64" i="3"/>
  <c r="BP65" i="3"/>
  <c r="BS65" i="3"/>
  <c r="BT65" i="3"/>
  <c r="BP66" i="3"/>
  <c r="BS66" i="3"/>
  <c r="BT66" i="3"/>
  <c r="BP67" i="3"/>
  <c r="BS67" i="3"/>
  <c r="BT67" i="3"/>
  <c r="BP68" i="3"/>
  <c r="BS68" i="3"/>
  <c r="BT68" i="3"/>
  <c r="BP69" i="3"/>
  <c r="BS69" i="3"/>
  <c r="BT69" i="3"/>
  <c r="BP70" i="3"/>
  <c r="BS70" i="3"/>
  <c r="BT70" i="3"/>
  <c r="BP71" i="3"/>
  <c r="BS71" i="3"/>
  <c r="BT71" i="3"/>
  <c r="BP72" i="3"/>
  <c r="BS72" i="3"/>
  <c r="BT72" i="3"/>
  <c r="BP73" i="3"/>
  <c r="BS73" i="3"/>
  <c r="BT73" i="3"/>
  <c r="BP74" i="3"/>
  <c r="BS74" i="3"/>
  <c r="BT74" i="3"/>
  <c r="BP75" i="3"/>
  <c r="BS75" i="3"/>
  <c r="BT75" i="3"/>
  <c r="BP76" i="3"/>
  <c r="BS76" i="3"/>
  <c r="BT76" i="3"/>
  <c r="BP77" i="3"/>
  <c r="BS77" i="3"/>
  <c r="BT77" i="3"/>
  <c r="BP78" i="3"/>
  <c r="BS78" i="3"/>
  <c r="BT78" i="3"/>
  <c r="BP79" i="3"/>
  <c r="BS79" i="3"/>
  <c r="BT79" i="3"/>
  <c r="BP80" i="3"/>
  <c r="BS80" i="3"/>
  <c r="BT80" i="3"/>
  <c r="BP81" i="3"/>
  <c r="BS81" i="3"/>
  <c r="BT81" i="3"/>
  <c r="BP82" i="3"/>
  <c r="BS82" i="3"/>
  <c r="BT82" i="3"/>
  <c r="BP83" i="3"/>
  <c r="BS83" i="3"/>
  <c r="BT83" i="3"/>
  <c r="BP84" i="3"/>
  <c r="BS84" i="3"/>
  <c r="BT84" i="3"/>
  <c r="BP85" i="3"/>
  <c r="BS85" i="3"/>
  <c r="BT85" i="3"/>
  <c r="BP86" i="3"/>
  <c r="BS86" i="3"/>
  <c r="BT86" i="3"/>
  <c r="BP87" i="3"/>
  <c r="BS87" i="3"/>
  <c r="BT87" i="3"/>
  <c r="BP88" i="3"/>
  <c r="BS88" i="3"/>
  <c r="BT88" i="3"/>
  <c r="BP89" i="3"/>
  <c r="BS89" i="3"/>
  <c r="BT89" i="3"/>
  <c r="BP90" i="3"/>
  <c r="BS90" i="3"/>
  <c r="BT90" i="3"/>
  <c r="BP91" i="3"/>
  <c r="BS91" i="3"/>
  <c r="BT91" i="3"/>
  <c r="BP92" i="3"/>
  <c r="BS92" i="3"/>
  <c r="BT92" i="3"/>
  <c r="BP93" i="3"/>
  <c r="BS93" i="3"/>
  <c r="BT93" i="3"/>
  <c r="BP94" i="3"/>
  <c r="BS94" i="3"/>
  <c r="BT94" i="3"/>
  <c r="BP95" i="3"/>
  <c r="BS95" i="3"/>
  <c r="BT95" i="3"/>
  <c r="BP96" i="3"/>
  <c r="BS96" i="3"/>
  <c r="BT96" i="3"/>
  <c r="BP97" i="3"/>
  <c r="BS97" i="3"/>
  <c r="BT97" i="3"/>
  <c r="BP98" i="3"/>
  <c r="BS98" i="3"/>
  <c r="BT98" i="3"/>
  <c r="BP99" i="3"/>
  <c r="BS99" i="3"/>
  <c r="BT99" i="3"/>
  <c r="BP100" i="3"/>
  <c r="BS100" i="3"/>
  <c r="BT100" i="3"/>
  <c r="BP101" i="3"/>
  <c r="BS101" i="3"/>
  <c r="BT101" i="3"/>
  <c r="BP102" i="3"/>
  <c r="BS102" i="3"/>
  <c r="BT102" i="3"/>
  <c r="BP103" i="3"/>
  <c r="BS103" i="3"/>
  <c r="BT103" i="3"/>
  <c r="BP104" i="3"/>
  <c r="BS104" i="3"/>
  <c r="BT104" i="3"/>
  <c r="BP105" i="3"/>
  <c r="BS105" i="3"/>
  <c r="BT105" i="3"/>
  <c r="BP106" i="3"/>
  <c r="BS106" i="3"/>
  <c r="BT106" i="3"/>
  <c r="BP107" i="3"/>
  <c r="BS107" i="3"/>
  <c r="BT107" i="3"/>
  <c r="BP108" i="3"/>
  <c r="BS108" i="3"/>
  <c r="BT108" i="3"/>
  <c r="BP109" i="3"/>
  <c r="BS109" i="3"/>
  <c r="BT109" i="3"/>
  <c r="BP110" i="3"/>
  <c r="BS110" i="3"/>
  <c r="BT110" i="3"/>
  <c r="BP111" i="3"/>
  <c r="BS111" i="3"/>
  <c r="BT111" i="3"/>
  <c r="BP112" i="3"/>
  <c r="BS112" i="3"/>
  <c r="BT112" i="3"/>
  <c r="BX6" i="3"/>
  <c r="BX7" i="3"/>
  <c r="BX8" i="3"/>
  <c r="BX9" i="3"/>
  <c r="BX10" i="3"/>
  <c r="BX11" i="3"/>
  <c r="BX12" i="3"/>
  <c r="BX13" i="3"/>
  <c r="BX14" i="3"/>
  <c r="BX15" i="3"/>
  <c r="BX16" i="3"/>
  <c r="BX17" i="3"/>
  <c r="BX18" i="3"/>
  <c r="BX19" i="3"/>
  <c r="BX20" i="3"/>
  <c r="BX21" i="3"/>
  <c r="BX22" i="3"/>
  <c r="BX23" i="3"/>
  <c r="BX24" i="3"/>
  <c r="BX25" i="3"/>
  <c r="BX26" i="3"/>
  <c r="BX27" i="3"/>
  <c r="BX28" i="3"/>
  <c r="BX29" i="3"/>
  <c r="BX30" i="3"/>
  <c r="BX31" i="3"/>
  <c r="BX32" i="3"/>
  <c r="BX33" i="3"/>
  <c r="BX34" i="3"/>
  <c r="BX35" i="3"/>
  <c r="BX36" i="3"/>
  <c r="BX38" i="3"/>
  <c r="BX39" i="3"/>
  <c r="BX40" i="3"/>
  <c r="BX41" i="3"/>
  <c r="BX42" i="3"/>
  <c r="BX43" i="3"/>
  <c r="BX44" i="3"/>
  <c r="BX45" i="3"/>
  <c r="BX46" i="3"/>
  <c r="BX47" i="3"/>
  <c r="BX48" i="3"/>
  <c r="BX49" i="3"/>
  <c r="BX50" i="3"/>
  <c r="BX51" i="3"/>
  <c r="BX52" i="3"/>
  <c r="BX53" i="3"/>
  <c r="BX54" i="3"/>
  <c r="BX55" i="3"/>
  <c r="BX56" i="3"/>
  <c r="BX57" i="3"/>
  <c r="BX58" i="3"/>
  <c r="BX60" i="3"/>
  <c r="BX61" i="3"/>
  <c r="BX62" i="3"/>
  <c r="BX63" i="3"/>
  <c r="BX64" i="3"/>
  <c r="BX65" i="3"/>
  <c r="BX66" i="3"/>
  <c r="BX67" i="3"/>
  <c r="BX68" i="3"/>
  <c r="BX69" i="3"/>
  <c r="BX70" i="3"/>
  <c r="BX71" i="3"/>
  <c r="BX72" i="3"/>
  <c r="BX73" i="3"/>
  <c r="BX74" i="3"/>
  <c r="BX75" i="3"/>
  <c r="BX76" i="3"/>
  <c r="BX77" i="3"/>
  <c r="BX78" i="3"/>
  <c r="BX79" i="3"/>
  <c r="BX80" i="3"/>
  <c r="BX81" i="3"/>
  <c r="BX82" i="3"/>
  <c r="BX83" i="3"/>
  <c r="BX84" i="3"/>
  <c r="BX85" i="3"/>
  <c r="BX86" i="3"/>
  <c r="BX87" i="3"/>
  <c r="BX94" i="3"/>
  <c r="BX95" i="3"/>
  <c r="BX96" i="3"/>
  <c r="BX97" i="3"/>
  <c r="BX98" i="3"/>
  <c r="BX99" i="3"/>
  <c r="BX100" i="3"/>
  <c r="BX101" i="3"/>
  <c r="BX102" i="3"/>
  <c r="BX103" i="3"/>
  <c r="BX104" i="3"/>
  <c r="BX105" i="3"/>
  <c r="BX106" i="3"/>
  <c r="BX107" i="3"/>
  <c r="BX108" i="3"/>
  <c r="BX109" i="3"/>
  <c r="BX110" i="3"/>
  <c r="BX111" i="3"/>
  <c r="BX112" i="3"/>
  <c r="BH5" i="3"/>
  <c r="BD5" i="3"/>
  <c r="AV5" i="3"/>
  <c r="AP5" i="3"/>
  <c r="AK5" i="3"/>
  <c r="AF5" i="3"/>
  <c r="AA5" i="3"/>
  <c r="V5" i="3"/>
  <c r="AZ5" i="3"/>
  <c r="BK5" i="3"/>
  <c r="BL5" i="3"/>
  <c r="BM5" i="3"/>
  <c r="Q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I54" authorId="0" shapeId="0" xr:uid="{3A158A28-2709-4A4A-BC84-9A67731E306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said 8.6</t>
        </r>
      </text>
    </comment>
    <comment ref="BI58" authorId="0" shapeId="0" xr:uid="{49CC808E-9696-401B-97ED-9C69E04D16F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said 15.5</t>
        </r>
      </text>
    </comment>
    <comment ref="BI105" authorId="0" shapeId="0" xr:uid="{FDE99DEE-5C65-4E64-BD81-E26B3F9576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said 18.99</t>
        </r>
      </text>
    </comment>
    <comment ref="BI110" authorId="0" shapeId="0" xr:uid="{85AFF0CB-6227-448E-89EB-4745ABEE055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said 16.5
</t>
        </r>
      </text>
    </comment>
  </commentList>
</comments>
</file>

<file path=xl/sharedStrings.xml><?xml version="1.0" encoding="utf-8"?>
<sst xmlns="http://schemas.openxmlformats.org/spreadsheetml/2006/main" count="5060" uniqueCount="386">
  <si>
    <t>2024 Maximizing Feed Barley Yield While Minimizing Lodging (2022F028R)</t>
  </si>
  <si>
    <t>Overall Trt #</t>
  </si>
  <si>
    <t>Trt# 23</t>
  </si>
  <si>
    <t>Trt# 20</t>
  </si>
  <si>
    <t>Trt# 27</t>
  </si>
  <si>
    <t>Trt# 25</t>
  </si>
  <si>
    <t>Trt# 24</t>
  </si>
  <si>
    <t>Trt# 22</t>
  </si>
  <si>
    <t>Trt# 19</t>
  </si>
  <si>
    <t>Trt# 26</t>
  </si>
  <si>
    <t>Trt# 21</t>
  </si>
  <si>
    <t>Trt# 7</t>
  </si>
  <si>
    <t>Trt# 9</t>
  </si>
  <si>
    <t>Trt# 6</t>
  </si>
  <si>
    <t>Trt# 4</t>
  </si>
  <si>
    <t>Trt# 8</t>
  </si>
  <si>
    <t>Trt# 5</t>
  </si>
  <si>
    <t>Trt# 3</t>
  </si>
  <si>
    <t>Trt# 2</t>
  </si>
  <si>
    <t>Trt# 1</t>
  </si>
  <si>
    <t>Trt# 13</t>
  </si>
  <si>
    <t>Trt# 10</t>
  </si>
  <si>
    <t>Trt# 16</t>
  </si>
  <si>
    <t>Trt# 14</t>
  </si>
  <si>
    <t>Trt# 15</t>
  </si>
  <si>
    <t>Trt# 12</t>
  </si>
  <si>
    <t>Trt# 11</t>
  </si>
  <si>
    <t>Trt# 17</t>
  </si>
  <si>
    <t>Trt# 18</t>
  </si>
  <si>
    <t>PGR treatment #</t>
  </si>
  <si>
    <t>PGR treatment</t>
  </si>
  <si>
    <t>M125_30-32</t>
  </si>
  <si>
    <t>M62.5_21-24</t>
  </si>
  <si>
    <t>M62.5_30-32 + M62.5_37</t>
  </si>
  <si>
    <t>M62.5_21-24 + M62.5_37</t>
  </si>
  <si>
    <t>M125_37</t>
  </si>
  <si>
    <t>M62.5_37</t>
  </si>
  <si>
    <t>No_PGR</t>
  </si>
  <si>
    <t>M62.5_21-24 + M62.5_30-32</t>
  </si>
  <si>
    <t>M62.5_30-32</t>
  </si>
  <si>
    <t>Cultivar</t>
  </si>
  <si>
    <t>Esma</t>
  </si>
  <si>
    <t>CDC_Austenson</t>
  </si>
  <si>
    <t>AB Hague</t>
  </si>
  <si>
    <t>Plot number</t>
  </si>
  <si>
    <t>Seeding date:</t>
  </si>
  <si>
    <t xml:space="preserve">Location: </t>
  </si>
  <si>
    <t xml:space="preserve">Cooperator </t>
  </si>
  <si>
    <t xml:space="preserve">Row spacing (m): </t>
  </si>
  <si>
    <t>Date:</t>
  </si>
  <si>
    <t>Head collection date:</t>
  </si>
  <si>
    <t>Plot width (m)</t>
  </si>
  <si>
    <t>~21 days after seeding</t>
  </si>
  <si>
    <t>Weekly plant heights beginning 14 days after GS 21-24 Moddus application until anthesis</t>
  </si>
  <si>
    <t>Height at physiological maturity</t>
  </si>
  <si>
    <t>Weekly rating 1 (rate weekly from soft dough stage to physiological maturity)</t>
  </si>
  <si>
    <t>Weekly rating 2 (rate weekly from soft dough stage to physiological maturity)</t>
  </si>
  <si>
    <t>Weekly rating 3 (rate weekly from soft dough stage to physiological maturity)</t>
  </si>
  <si>
    <t>Days to Maturity (collect heads at 30-40% grain moisture)</t>
  </si>
  <si>
    <t>kg/ha</t>
  </si>
  <si>
    <t>bu/ac</t>
  </si>
  <si>
    <t>g</t>
  </si>
  <si>
    <t>Year</t>
  </si>
  <si>
    <t>Location</t>
  </si>
  <si>
    <t>Plot</t>
  </si>
  <si>
    <t>Block</t>
  </si>
  <si>
    <t>PGR trt #</t>
  </si>
  <si>
    <t>PGR trt Name</t>
  </si>
  <si>
    <t>Emergence row A  (plants/1m row)</t>
  </si>
  <si>
    <t>Emergence row B (plants/1m row)</t>
  </si>
  <si>
    <t>Emerge Avg (plants/m2)</t>
  </si>
  <si>
    <t>Height 1</t>
  </si>
  <si>
    <t>Height 2</t>
  </si>
  <si>
    <t>Height 3</t>
  </si>
  <si>
    <t>Height 4</t>
  </si>
  <si>
    <t>Week 1 Height</t>
  </si>
  <si>
    <t>Week 2 Height</t>
  </si>
  <si>
    <t>Week 3 Height</t>
  </si>
  <si>
    <t>Week 4 Height</t>
  </si>
  <si>
    <t>Week 5 Height</t>
  </si>
  <si>
    <t>Week 6 Height</t>
  </si>
  <si>
    <t>Booting date of plot</t>
  </si>
  <si>
    <t>Avg Height at Phys Maturity</t>
  </si>
  <si>
    <r>
      <t>Lodging Index (% of area leaning 5-45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)</t>
    </r>
  </si>
  <si>
    <r>
      <t>Lodging Index (% of area leaning 45-85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)</t>
    </r>
  </si>
  <si>
    <r>
      <t>Lodging Index (% of area leaning 85-90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2"/>
        <color theme="1"/>
        <rFont val="Calibri"/>
        <family val="2"/>
        <scheme val="minor"/>
      </rPr>
      <t>)</t>
    </r>
  </si>
  <si>
    <t>Lodging Index 1</t>
  </si>
  <si>
    <t>Lodging Index 2</t>
  </si>
  <si>
    <t>Lodging Index 3</t>
  </si>
  <si>
    <t>Wet weight 10 heads (g)</t>
  </si>
  <si>
    <t>Dry Weight 10 heads (g)</t>
  </si>
  <si>
    <t>% moisture</t>
  </si>
  <si>
    <t>Remaining days to reach maturity</t>
  </si>
  <si>
    <t>Calendar maturity date</t>
  </si>
  <si>
    <t>DTM</t>
  </si>
  <si>
    <t>Harvested plot length (m)</t>
  </si>
  <si>
    <t>Harvested plot area (m2)</t>
  </si>
  <si>
    <t>Wet Yield (g/plot)</t>
  </si>
  <si>
    <t>Grain moisture (%)</t>
  </si>
  <si>
    <t>Yield adj to 13.5%</t>
  </si>
  <si>
    <t>Yield adj to 13.5% bu</t>
  </si>
  <si>
    <t>Test weight (kg/hL)</t>
  </si>
  <si>
    <t>TKW 1- 100 kernels</t>
  </si>
  <si>
    <t>TKW 2 -100 kernels</t>
  </si>
  <si>
    <t>TKW - Avg (adjusted to 13.5% moisture)</t>
  </si>
  <si>
    <t>Lethbridge</t>
  </si>
  <si>
    <t>AB_Hague</t>
  </si>
  <si>
    <t>Name</t>
  </si>
  <si>
    <t>TKW</t>
  </si>
  <si>
    <t>Germ</t>
  </si>
  <si>
    <t>plot Trip length</t>
  </si>
  <si>
    <t>width</t>
  </si>
  <si>
    <t>Plot Trip Area</t>
  </si>
  <si>
    <t>s/m2</t>
  </si>
  <si>
    <t>s/plot</t>
  </si>
  <si>
    <t>g/envelope</t>
  </si>
  <si>
    <t>GS 21-24</t>
  </si>
  <si>
    <t>CDC Austenson</t>
  </si>
  <si>
    <t>Mimbee</t>
  </si>
  <si>
    <t>Moddus (ml/2L)</t>
  </si>
  <si>
    <t>Axial xtreme iPak ml/2L</t>
  </si>
  <si>
    <t>25 +16.5</t>
  </si>
  <si>
    <t>rows</t>
  </si>
  <si>
    <t>Axial Xtreme iPak</t>
  </si>
  <si>
    <t>Axial Xtreme</t>
  </si>
  <si>
    <t>iPak</t>
  </si>
  <si>
    <t>row spacing</t>
  </si>
  <si>
    <t>ml/2L</t>
  </si>
  <si>
    <t>GS 30-32</t>
  </si>
  <si>
    <t>Moddus</t>
  </si>
  <si>
    <t>120 g/l</t>
  </si>
  <si>
    <t>mL/2L</t>
  </si>
  <si>
    <t>Low Rate</t>
  </si>
  <si>
    <t>62.5 gai/ha</t>
  </si>
  <si>
    <t>High Rate</t>
  </si>
  <si>
    <t>125 gai/ha</t>
  </si>
  <si>
    <t>GS 37</t>
  </si>
  <si>
    <t>Miravis Neo</t>
  </si>
  <si>
    <t>Use at GS 37</t>
  </si>
  <si>
    <t>300ml/ac</t>
  </si>
  <si>
    <t>Spray Rate (ml/2L)</t>
  </si>
  <si>
    <t>HEADING</t>
  </si>
  <si>
    <t>Prosaro</t>
  </si>
  <si>
    <t>Spray Rate</t>
  </si>
  <si>
    <t>Miravis Neo (ml/2L)</t>
  </si>
  <si>
    <t>MBY #2</t>
  </si>
  <si>
    <t>Modus</t>
  </si>
  <si>
    <t>ml/10L</t>
  </si>
  <si>
    <t>Infinity</t>
  </si>
  <si>
    <t>ml/20l</t>
  </si>
  <si>
    <t>Axial</t>
  </si>
  <si>
    <t>adigor</t>
  </si>
  <si>
    <t>Plot Information</t>
  </si>
  <si>
    <t>Location:</t>
  </si>
  <si>
    <t>Field:</t>
  </si>
  <si>
    <t>NASA</t>
  </si>
  <si>
    <t>Stubble:</t>
  </si>
  <si>
    <t>Canola</t>
  </si>
  <si>
    <t>Notes:</t>
  </si>
  <si>
    <t>Emergence</t>
  </si>
  <si>
    <t>Flower Start</t>
  </si>
  <si>
    <t>Flower End</t>
  </si>
  <si>
    <t>Seeding Information</t>
  </si>
  <si>
    <t>Seeding Date:</t>
  </si>
  <si>
    <t>Crop (variety):</t>
  </si>
  <si>
    <t>Barley</t>
  </si>
  <si>
    <t>Rate:</t>
  </si>
  <si>
    <t>300 s/m2</t>
  </si>
  <si>
    <t>Soil moisture conditions:</t>
  </si>
  <si>
    <t>GPS/Plot spacing (m):</t>
  </si>
  <si>
    <t>Seeding equipment:</t>
  </si>
  <si>
    <t>Final plot length:</t>
  </si>
  <si>
    <t>6m</t>
  </si>
  <si>
    <t>Seed treatment:</t>
  </si>
  <si>
    <t>Raxil Pro</t>
  </si>
  <si>
    <t>Rate of seed treatment</t>
  </si>
  <si>
    <t>Inoculant:</t>
  </si>
  <si>
    <t>Rate of inoculant:</t>
  </si>
  <si>
    <t>SARA Seeder</t>
  </si>
  <si>
    <t>Row spacing:</t>
  </si>
  <si>
    <t>number of rows seeded:</t>
  </si>
  <si>
    <t>Depth:</t>
  </si>
  <si>
    <t>1.5"</t>
  </si>
  <si>
    <t>Disk setting:</t>
  </si>
  <si>
    <t>FGH</t>
  </si>
  <si>
    <t>Hoe and Knife Setting</t>
  </si>
  <si>
    <t>Box # 1:</t>
  </si>
  <si>
    <t>ZM setting (rate):</t>
  </si>
  <si>
    <t xml:space="preserve">Box # 2: </t>
  </si>
  <si>
    <t>Box # 3:</t>
  </si>
  <si>
    <t>MAP</t>
  </si>
  <si>
    <t>1.4 (40lbs/ac)</t>
  </si>
  <si>
    <t>Box # 4:</t>
  </si>
  <si>
    <t>N</t>
  </si>
  <si>
    <t>3.8 (130lbs/ac)</t>
  </si>
  <si>
    <t>Flap  Settings:</t>
  </si>
  <si>
    <t>Cone (big/small):</t>
  </si>
  <si>
    <t>small</t>
  </si>
  <si>
    <t>Cone length:</t>
  </si>
  <si>
    <t>9m</t>
  </si>
  <si>
    <t>ZM setting:</t>
  </si>
  <si>
    <t>Valmar</t>
  </si>
  <si>
    <t>urea</t>
  </si>
  <si>
    <t>Rate</t>
  </si>
  <si>
    <t>50lbs/ac at 2 leaf stage</t>
  </si>
  <si>
    <t>10-34/28-0-0 mix:</t>
  </si>
  <si>
    <t>Tractor operator:</t>
  </si>
  <si>
    <t>Cone operator:</t>
  </si>
  <si>
    <t>Observers:</t>
  </si>
  <si>
    <t>Meterological Info</t>
  </si>
  <si>
    <t>Average air temp:</t>
  </si>
  <si>
    <t>Precipitation:</t>
  </si>
  <si>
    <t>Humidity:</t>
  </si>
  <si>
    <t>Wind speed:</t>
  </si>
  <si>
    <t>Soil temp:</t>
  </si>
  <si>
    <t>Spray Treatments</t>
  </si>
  <si>
    <t>Pre-seed Burn off:</t>
  </si>
  <si>
    <t>Gly + Aim</t>
  </si>
  <si>
    <t> Rate:</t>
  </si>
  <si>
    <t>0.6L/ac + 48ml/ac</t>
  </si>
  <si>
    <t>Avadex</t>
  </si>
  <si>
    <t>10.2 lbs/ac</t>
  </si>
  <si>
    <t>In-crop Treatment (s):</t>
  </si>
  <si>
    <t>Gly + Express FX</t>
  </si>
  <si>
    <t>Stage:</t>
  </si>
  <si>
    <t>pre-seed</t>
  </si>
  <si>
    <t>.66l/Ac + 45.6 gram/ac</t>
  </si>
  <si>
    <t xml:space="preserve">Axial and impact extreme </t>
  </si>
  <si>
    <t>2 leaf</t>
  </si>
  <si>
    <t>500ml/ac +15ml/ac</t>
  </si>
  <si>
    <t xml:space="preserve">Axial and infinity and moddus </t>
  </si>
  <si>
    <t>25mL/2L + 16.5 mL/2L + 10.54 mL/2L</t>
  </si>
  <si>
    <t>10.54 mL/2L and 21.08 mL/2L (two rates)</t>
  </si>
  <si>
    <t>Treatment</t>
  </si>
  <si>
    <t>Pre-harvest Burn off:</t>
  </si>
  <si>
    <t xml:space="preserve"> Spray notes:</t>
  </si>
  <si>
    <t>Harvest Data</t>
  </si>
  <si>
    <t>Harvest method:</t>
  </si>
  <si>
    <t>Winterstieger Quantum</t>
  </si>
  <si>
    <t>Harvest date:</t>
  </si>
  <si>
    <t>Notes</t>
  </si>
  <si>
    <t>Locations:</t>
  </si>
  <si>
    <t>Vermillion (LC), Falher (SARDA), Lethbridge irrigated (FS)</t>
  </si>
  <si>
    <t>Deadlines</t>
  </si>
  <si>
    <t>Years:</t>
  </si>
  <si>
    <t>2022-2024</t>
  </si>
  <si>
    <t>Planting</t>
  </si>
  <si>
    <t xml:space="preserve">If there is a delay please contact trial coordinator </t>
  </si>
  <si>
    <t>Design:</t>
  </si>
  <si>
    <t>Split plot.  Main plot = cultivar (3); Subplot = PGR treatment (9)</t>
  </si>
  <si>
    <t>Samples sent to Lori Oatway</t>
  </si>
  <si>
    <t xml:space="preserve">See Protocol for address </t>
  </si>
  <si>
    <t>Replicates:</t>
  </si>
  <si>
    <t>Field books submitted</t>
  </si>
  <si>
    <t>Treatments</t>
  </si>
  <si>
    <t>Note: at GS 21-24 and GS 37 PGR application timings, these are tank-mixed with a supplied herbicide (Axial iPak Xtreme @ GS 21-24) and fungicide (Miravis Neo @ GS 37). The treatments that do not receive a PGR during these application timings MUST receive the supplied herbicide (GS 21-24) and fungicide (GS 37) on the same date. Please see protocol</t>
  </si>
  <si>
    <t>PGR Trt Name</t>
  </si>
  <si>
    <t>PGR treatment descriptions</t>
  </si>
  <si>
    <t>Sub-plot treatments that do not require Moddus at either GS 21-24 or GS 37 (ie sub-plot treatments 1,2,3,4,5,6, 8, and 9) will receive the same herbicide (Axial Xtreme iPak) and/or fungicide (Miravis Neo) application as other plots on the respective application day in order to eliminate any confounding effects.</t>
  </si>
  <si>
    <t>Maintenance herbicide application timing at standard (~3 leaf stage). Product choice up to the individual site according to weed spectrum</t>
  </si>
  <si>
    <t>BBCH 21= first tiller detectable (first PGR application timing- tank mixed with the Axial Xtreme iPak herbicide)</t>
  </si>
  <si>
    <t>BBCH 30-32= stem elongation (2nd PGR application timing)</t>
  </si>
  <si>
    <t>BBCH 37= 3rd PGR application timing (tank-mixed with Miravis Neo fungicide)</t>
  </si>
  <si>
    <t xml:space="preserve">Maintenance fungicide application (Prosaro) when </t>
  </si>
  <si>
    <t>"For suppression of Fusarium Head Blight, apply PROSARO XTR Fungicide as a preventative spray within the time period from when at least 75% of the wheat heads on the main stem are fully emerged to when 50% of the heads on the main stem are in flower."</t>
  </si>
  <si>
    <t>=</t>
  </si>
  <si>
    <t>Date: July 2/24</t>
  </si>
  <si>
    <t>Date: July 8/24</t>
  </si>
  <si>
    <t>Date: August 6</t>
  </si>
  <si>
    <t>Row Labels</t>
  </si>
  <si>
    <t>Average of Yield adj to 13.5% bu</t>
  </si>
  <si>
    <t>StdDev of Yield adj to 13.5% bu</t>
  </si>
  <si>
    <t>Grand Total</t>
  </si>
  <si>
    <t>Average of Week 4 Height</t>
  </si>
  <si>
    <t>Average of Lodging Index 1</t>
  </si>
  <si>
    <t>Average of Lodging Index 2</t>
  </si>
  <si>
    <t>Average of Remaining days to reach maturity</t>
  </si>
  <si>
    <t>Average of TKW - Avg (adjusted to 13.5% moisture)</t>
  </si>
  <si>
    <t>Trial</t>
  </si>
  <si>
    <t>Plots deep (Y)</t>
  </si>
  <si>
    <t>Plots wide (X)</t>
  </si>
  <si>
    <t>Weight</t>
  </si>
  <si>
    <t>Moisture</t>
  </si>
  <si>
    <t>Density</t>
  </si>
  <si>
    <t>User</t>
  </si>
  <si>
    <t>Date</t>
  </si>
  <si>
    <t>Time</t>
  </si>
  <si>
    <t>Sequence number</t>
  </si>
  <si>
    <t>Note</t>
  </si>
  <si>
    <t>Moisture raw data</t>
  </si>
  <si>
    <t>Temperature</t>
  </si>
  <si>
    <t>Nasa - MIMBEE</t>
  </si>
  <si>
    <t>admin</t>
  </si>
  <si>
    <t/>
  </si>
  <si>
    <t xml:space="preserve">cycled too early no bag or weight 106 maybe alsp bad
</t>
  </si>
  <si>
    <t>Austenson</t>
  </si>
  <si>
    <t>No PGR</t>
  </si>
  <si>
    <t>M62.5 21-24</t>
  </si>
  <si>
    <t>M62.5 30-32</t>
  </si>
  <si>
    <t>M62.5 37</t>
  </si>
  <si>
    <t>M125 30-32</t>
  </si>
  <si>
    <t>M125 37</t>
  </si>
  <si>
    <t>M62.5 21-24 + M62.5 37</t>
  </si>
  <si>
    <t>M62.5 21-24 + M62.5 30-32</t>
  </si>
  <si>
    <t>M62.5 30-32 + M62.5 37</t>
  </si>
  <si>
    <t>Hague</t>
  </si>
  <si>
    <t>2022F028R Maximizing Feed Barley Yield While Minimizing Lodging- Field Notes- 2024 Season</t>
  </si>
  <si>
    <t>Event</t>
  </si>
  <si>
    <t>Growth Stage</t>
  </si>
  <si>
    <t>Details</t>
  </si>
  <si>
    <t xml:space="preserve">GPS Coordinates </t>
  </si>
  <si>
    <t>n/a</t>
  </si>
  <si>
    <t>Pre-seed composite soil test 0-6" and 12-24" (macro, CEC, OM, pH, soil texture)</t>
  </si>
  <si>
    <t>Pre-seed burn-off</t>
  </si>
  <si>
    <t>Products:</t>
  </si>
  <si>
    <t>Soil moisture and temperature at seeding</t>
  </si>
  <si>
    <t>Soil moisture:_____________   Soil temperature:________________</t>
  </si>
  <si>
    <t>Seeding Date</t>
  </si>
  <si>
    <t>Emergence Counts (21 days after seeding)</t>
  </si>
  <si>
    <t>Maintenance herbicide application</t>
  </si>
  <si>
    <t>GS 21-24 PGR/Herbicide treatment application (trts 2, 7 and 8)</t>
  </si>
  <si>
    <t>Weekly plant heights beginning 14 days after GS 21-24 Moddus application until Anthesis</t>
  </si>
  <si>
    <t xml:space="preserve">Please record dates of all height measurements </t>
  </si>
  <si>
    <t>GS 30-32 PGR application (trts 3, 5, 8, 9)</t>
  </si>
  <si>
    <t>GS 37 PGR/Fungicide trt application (trts 4, 6, 7, 9)</t>
  </si>
  <si>
    <t>Maintenance fungicide application (Prosaro)</t>
  </si>
  <si>
    <t>Days to Maturity head collection date</t>
  </si>
  <si>
    <t>Lodging ratings</t>
  </si>
  <si>
    <t>Please record dates of weekly ratings</t>
  </si>
  <si>
    <t>Plot Lengths</t>
  </si>
  <si>
    <t>Please measure harvested plot lengths</t>
  </si>
  <si>
    <t>Harvest</t>
  </si>
  <si>
    <t>NIR</t>
  </si>
  <si>
    <t>Please ship NIR samples to Lori Oatway at Olds College (notify Lori Oatway and Lakeland College that samples have been submitted)</t>
  </si>
  <si>
    <t>Growing season rainfall distribution (daily if possible- minimum Monthly)</t>
  </si>
  <si>
    <t>Lethbridge- Irrigation distribution</t>
  </si>
  <si>
    <t>at harvest</t>
  </si>
  <si>
    <t>Harvest Date</t>
  </si>
  <si>
    <t>Station Name</t>
  </si>
  <si>
    <t>Date (Local Standard Time)</t>
  </si>
  <si>
    <t>Air Temp. Min. (°C)</t>
  </si>
  <si>
    <t>Air Temp. Max. (°C)</t>
  </si>
  <si>
    <t>Air Temp. Avg. (°C)</t>
  </si>
  <si>
    <t>Air Temp. Avg. Record Completeness (%)</t>
  </si>
  <si>
    <t>Precip. (mm)</t>
  </si>
  <si>
    <t>Precip. Source Flag</t>
  </si>
  <si>
    <t>Precip. Comment</t>
  </si>
  <si>
    <t>Lethbridge Demo Farm IMCIN</t>
  </si>
  <si>
    <t>AGGREGATED</t>
  </si>
  <si>
    <t>using element [Precip. Weighing]</t>
  </si>
  <si>
    <t>Barons</t>
  </si>
  <si>
    <t>Stirling</t>
  </si>
  <si>
    <t>Corn/Potatoes</t>
  </si>
  <si>
    <t>LPC Variety</t>
  </si>
  <si>
    <t>NASA North</t>
  </si>
  <si>
    <t>Keystone Corn</t>
  </si>
  <si>
    <t>NASA South</t>
  </si>
  <si>
    <t>Church all</t>
  </si>
  <si>
    <t>College</t>
  </si>
  <si>
    <t>Inches</t>
  </si>
  <si>
    <t>Site</t>
  </si>
  <si>
    <t>Corn</t>
  </si>
  <si>
    <t>.6</t>
  </si>
  <si>
    <t>;</t>
  </si>
  <si>
    <t>Carlo Van Herk</t>
  </si>
  <si>
    <t>carlo@farmingsmarter.com</t>
  </si>
  <si>
    <t>Corn potatoes, not lpc</t>
  </si>
  <si>
    <t>NASA North;</t>
  </si>
  <si>
    <t>Keystone corn</t>
  </si>
  <si>
    <t>Haven't watered flax for 1.5 weeks</t>
  </si>
  <si>
    <t>NASA South;</t>
  </si>
  <si>
    <t>Church Triangle;Church South;</t>
  </si>
  <si>
    <t>NASA South;NASA North;</t>
  </si>
  <si>
    <t>All blocks got irrigated only this one time</t>
  </si>
  <si>
    <t>College;Church Triangle;Church South;</t>
  </si>
  <si>
    <t>Brooks</t>
  </si>
  <si>
    <t>Bow island Ben irrigated 1 inch for us</t>
  </si>
  <si>
    <t>1 inch</t>
  </si>
  <si>
    <t>Trevor Deering</t>
  </si>
  <si>
    <t>trevor@farmingsmarter.com</t>
  </si>
  <si>
    <t>mm</t>
  </si>
  <si>
    <t>Amount of water in Inches</t>
  </si>
  <si>
    <t>Email</t>
  </si>
  <si>
    <t>Completion time</t>
  </si>
  <si>
    <t>Start time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</si>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</sst>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[$-1009]d/mmm/yy;@"/>
    <numFmt numFmtId="166" formatCode="[$-409]mmmm\ d\,\ yyyy;@"/>
    <numFmt numFmtId="167" formatCode="yyyy\-m\-d\ hh:mm"/>
    <numFmt numFmtId="168" formatCode="[$-409]d\-mmm\-yyyy;@"/>
    <numFmt numFmtId="169" formatCode="_(* #,##0.0_);_(* \(#,##0.0\);_(* &quot;-&quot;??_);_(@_)"/>
    <numFmt numFmtId="170" formatCode="m/d/yy\ h:mm:ss"/>
  </numFmts>
  <fonts count="2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23130"/>
      <name val="Calibri"/>
      <family val="2"/>
    </font>
    <font>
      <b/>
      <sz val="11"/>
      <color rgb="FF323130"/>
      <name val="Calibri"/>
      <family val="2"/>
    </font>
    <font>
      <sz val="6"/>
      <name val="Yu Gothic"/>
      <family val="2"/>
      <charset val="128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9.9978637043366805E-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4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6" fillId="7" borderId="15" applyNumberFormat="0" applyAlignment="0" applyProtection="0"/>
    <xf numFmtId="0" fontId="3" fillId="0" borderId="0"/>
    <xf numFmtId="43" fontId="25" fillId="0" borderId="0" applyFont="0" applyFill="0" applyBorder="0" applyAlignment="0" applyProtection="0"/>
    <xf numFmtId="0" fontId="1" fillId="0" borderId="0"/>
  </cellStyleXfs>
  <cellXfs count="198">
    <xf numFmtId="0" fontId="0" fillId="0" borderId="0" xfId="0"/>
    <xf numFmtId="0" fontId="0" fillId="0" borderId="0" xfId="0" applyAlignment="1">
      <alignment horizont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0" fillId="0" borderId="1" xfId="0" applyFont="1" applyBorder="1" applyAlignment="1">
      <alignment horizontal="left" vertical="center" wrapText="1"/>
    </xf>
    <xf numFmtId="0" fontId="10" fillId="0" borderId="0" xfId="0" applyFont="1"/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64" fontId="5" fillId="0" borderId="0" xfId="0" applyNumberFormat="1" applyFont="1"/>
    <xf numFmtId="165" fontId="5" fillId="0" borderId="0" xfId="0" applyNumberFormat="1" applyFont="1"/>
    <xf numFmtId="0" fontId="10" fillId="0" borderId="2" xfId="0" applyFont="1" applyBorder="1" applyAlignment="1">
      <alignment horizontal="left" wrapText="1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left"/>
    </xf>
    <xf numFmtId="0" fontId="4" fillId="0" borderId="2" xfId="0" applyFont="1" applyBorder="1" applyAlignment="1">
      <alignment horizontal="left" wrapText="1"/>
    </xf>
    <xf numFmtId="0" fontId="13" fillId="0" borderId="0" xfId="0" applyFont="1"/>
    <xf numFmtId="0" fontId="13" fillId="0" borderId="0" xfId="0" applyFont="1" applyAlignment="1">
      <alignment horizontal="left" vertical="center" indent="8"/>
    </xf>
    <xf numFmtId="0" fontId="4" fillId="0" borderId="1" xfId="0" applyFont="1" applyBorder="1" applyAlignment="1">
      <alignment horizontal="left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3" xfId="0" applyBorder="1"/>
    <xf numFmtId="0" fontId="13" fillId="0" borderId="3" xfId="0" applyFont="1" applyBorder="1" applyAlignment="1">
      <alignment horizontal="left" vertical="center" indent="8"/>
    </xf>
    <xf numFmtId="0" fontId="0" fillId="0" borderId="4" xfId="0" applyBorder="1"/>
    <xf numFmtId="0" fontId="5" fillId="0" borderId="0" xfId="0" applyFont="1" applyAlignment="1">
      <alignment horizontal="left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wrapText="1"/>
    </xf>
    <xf numFmtId="0" fontId="15" fillId="0" borderId="0" xfId="0" applyFont="1"/>
    <xf numFmtId="0" fontId="5" fillId="5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0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16" fontId="0" fillId="5" borderId="1" xfId="0" applyNumberFormat="1" applyFill="1" applyBorder="1"/>
    <xf numFmtId="0" fontId="0" fillId="0" borderId="6" xfId="0" applyBorder="1"/>
    <xf numFmtId="16" fontId="0" fillId="5" borderId="6" xfId="0" applyNumberFormat="1" applyFill="1" applyBorder="1"/>
    <xf numFmtId="0" fontId="0" fillId="5" borderId="1" xfId="0" applyFill="1" applyBorder="1"/>
    <xf numFmtId="0" fontId="4" fillId="0" borderId="4" xfId="0" applyFont="1" applyBorder="1" applyAlignment="1">
      <alignment horizontal="center" wrapText="1"/>
    </xf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5" borderId="10" xfId="0" applyFill="1" applyBorder="1"/>
    <xf numFmtId="0" fontId="10" fillId="0" borderId="0" xfId="0" applyFont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0" fillId="2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4" fillId="0" borderId="14" xfId="0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vertical="center"/>
    </xf>
    <xf numFmtId="166" fontId="0" fillId="0" borderId="0" xfId="0" applyNumberFormat="1"/>
    <xf numFmtId="0" fontId="17" fillId="8" borderId="0" xfId="338" applyFont="1" applyFill="1" applyAlignment="1">
      <alignment horizontal="right" vertical="center"/>
    </xf>
    <xf numFmtId="0" fontId="17" fillId="8" borderId="0" xfId="338" applyFont="1" applyFill="1" applyAlignment="1">
      <alignment horizontal="left" vertical="center"/>
    </xf>
    <xf numFmtId="0" fontId="17" fillId="0" borderId="0" xfId="338" applyFont="1" applyAlignment="1">
      <alignment horizontal="left" vertical="center"/>
    </xf>
    <xf numFmtId="0" fontId="3" fillId="0" borderId="0" xfId="338"/>
    <xf numFmtId="0" fontId="5" fillId="0" borderId="0" xfId="338" applyFont="1" applyAlignment="1">
      <alignment horizontal="right" vertical="center"/>
    </xf>
    <xf numFmtId="0" fontId="5" fillId="0" borderId="0" xfId="338" applyFont="1" applyAlignment="1">
      <alignment horizontal="left" vertical="center"/>
    </xf>
    <xf numFmtId="15" fontId="5" fillId="0" borderId="0" xfId="338" applyNumberFormat="1" applyFont="1" applyAlignment="1">
      <alignment horizontal="left" vertical="center"/>
    </xf>
    <xf numFmtId="0" fontId="3" fillId="0" borderId="0" xfId="338" applyAlignment="1">
      <alignment horizontal="right"/>
    </xf>
    <xf numFmtId="16" fontId="3" fillId="0" borderId="0" xfId="338" applyNumberFormat="1" applyAlignment="1">
      <alignment horizontal="left"/>
    </xf>
    <xf numFmtId="0" fontId="3" fillId="0" borderId="0" xfId="338" applyAlignment="1">
      <alignment horizontal="left"/>
    </xf>
    <xf numFmtId="0" fontId="10" fillId="0" borderId="0" xfId="338" applyFont="1"/>
    <xf numFmtId="0" fontId="18" fillId="0" borderId="0" xfId="338" applyFont="1" applyAlignment="1">
      <alignment horizontal="left" vertical="center"/>
    </xf>
    <xf numFmtId="16" fontId="5" fillId="0" borderId="0" xfId="338" applyNumberFormat="1" applyFont="1" applyAlignment="1">
      <alignment horizontal="left" vertical="center"/>
    </xf>
    <xf numFmtId="0" fontId="3" fillId="0" borderId="0" xfId="338" applyAlignment="1">
      <alignment horizontal="center"/>
    </xf>
    <xf numFmtId="0" fontId="19" fillId="8" borderId="0" xfId="338" applyFont="1" applyFill="1" applyAlignment="1">
      <alignment horizontal="right" vertical="center"/>
    </xf>
    <xf numFmtId="0" fontId="19" fillId="8" borderId="0" xfId="338" applyFont="1" applyFill="1" applyAlignment="1">
      <alignment horizontal="left" vertical="center"/>
    </xf>
    <xf numFmtId="0" fontId="20" fillId="9" borderId="9" xfId="338" applyFont="1" applyFill="1" applyBorder="1" applyAlignment="1">
      <alignment vertical="center" wrapText="1"/>
    </xf>
    <xf numFmtId="0" fontId="20" fillId="9" borderId="10" xfId="338" applyFont="1" applyFill="1" applyBorder="1" applyAlignment="1">
      <alignment vertical="center" wrapText="1"/>
    </xf>
    <xf numFmtId="0" fontId="21" fillId="9" borderId="16" xfId="338" applyFont="1" applyFill="1" applyBorder="1" applyAlignment="1">
      <alignment vertical="center" wrapText="1"/>
    </xf>
    <xf numFmtId="0" fontId="20" fillId="9" borderId="18" xfId="338" applyFont="1" applyFill="1" applyBorder="1" applyAlignment="1">
      <alignment vertical="center" wrapText="1"/>
    </xf>
    <xf numFmtId="0" fontId="10" fillId="0" borderId="22" xfId="338" applyFont="1" applyBorder="1"/>
    <xf numFmtId="0" fontId="3" fillId="0" borderId="23" xfId="338" applyBorder="1" applyAlignment="1">
      <alignment horizontal="center" vertical="center"/>
    </xf>
    <xf numFmtId="0" fontId="3" fillId="0" borderId="24" xfId="338" applyBorder="1" applyAlignment="1">
      <alignment horizontal="center" vertical="center"/>
    </xf>
    <xf numFmtId="0" fontId="3" fillId="0" borderId="25" xfId="338" applyBorder="1"/>
    <xf numFmtId="0" fontId="3" fillId="0" borderId="7" xfId="338" applyBorder="1" applyAlignment="1">
      <alignment horizontal="center" vertical="center"/>
    </xf>
    <xf numFmtId="0" fontId="3" fillId="0" borderId="26" xfId="338" applyBorder="1" applyAlignment="1">
      <alignment horizontal="center" vertical="center"/>
    </xf>
    <xf numFmtId="0" fontId="20" fillId="9" borderId="27" xfId="338" applyFont="1" applyFill="1" applyBorder="1" applyAlignment="1">
      <alignment vertical="center" wrapText="1"/>
    </xf>
    <xf numFmtId="0" fontId="3" fillId="0" borderId="21" xfId="338" applyBorder="1"/>
    <xf numFmtId="0" fontId="3" fillId="5" borderId="28" xfId="338" applyFill="1" applyBorder="1"/>
    <xf numFmtId="2" fontId="3" fillId="5" borderId="2" xfId="338" applyNumberFormat="1" applyFill="1" applyBorder="1" applyAlignment="1">
      <alignment horizontal="center" vertical="center"/>
    </xf>
    <xf numFmtId="0" fontId="3" fillId="5" borderId="26" xfId="338" applyFill="1" applyBorder="1" applyAlignment="1">
      <alignment horizontal="center" vertical="center"/>
    </xf>
    <xf numFmtId="0" fontId="3" fillId="0" borderId="28" xfId="338" applyBorder="1"/>
    <xf numFmtId="2" fontId="3" fillId="0" borderId="2" xfId="338" applyNumberFormat="1" applyBorder="1" applyAlignment="1">
      <alignment horizontal="center" vertical="center"/>
    </xf>
    <xf numFmtId="0" fontId="3" fillId="10" borderId="1" xfId="338" applyFill="1" applyBorder="1"/>
    <xf numFmtId="0" fontId="3" fillId="11" borderId="1" xfId="338" applyFill="1" applyBorder="1"/>
    <xf numFmtId="0" fontId="3" fillId="0" borderId="29" xfId="338" applyBorder="1"/>
    <xf numFmtId="2" fontId="3" fillId="0" borderId="30" xfId="338" applyNumberFormat="1" applyBorder="1" applyAlignment="1">
      <alignment horizontal="center" vertical="center"/>
    </xf>
    <xf numFmtId="0" fontId="3" fillId="0" borderId="31" xfId="338" applyBorder="1" applyAlignment="1">
      <alignment horizontal="center" vertical="center"/>
    </xf>
    <xf numFmtId="0" fontId="3" fillId="12" borderId="2" xfId="338" applyFill="1" applyBorder="1"/>
    <xf numFmtId="0" fontId="3" fillId="13" borderId="1" xfId="338" applyFill="1" applyBorder="1"/>
    <xf numFmtId="0" fontId="10" fillId="13" borderId="1" xfId="338" applyFont="1" applyFill="1" applyBorder="1"/>
    <xf numFmtId="0" fontId="3" fillId="13" borderId="32" xfId="338" applyFill="1" applyBorder="1"/>
    <xf numFmtId="0" fontId="3" fillId="13" borderId="33" xfId="338" applyFill="1" applyBorder="1"/>
    <xf numFmtId="2" fontId="10" fillId="13" borderId="33" xfId="338" applyNumberFormat="1" applyFont="1" applyFill="1" applyBorder="1"/>
    <xf numFmtId="2" fontId="3" fillId="0" borderId="0" xfId="338" applyNumberFormat="1"/>
    <xf numFmtId="0" fontId="3" fillId="13" borderId="7" xfId="338" applyFill="1" applyBorder="1"/>
    <xf numFmtId="0" fontId="3" fillId="13" borderId="34" xfId="338" applyFill="1" applyBorder="1"/>
    <xf numFmtId="2" fontId="10" fillId="13" borderId="34" xfId="338" applyNumberFormat="1" applyFont="1" applyFill="1" applyBorder="1"/>
    <xf numFmtId="0" fontId="3" fillId="0" borderId="35" xfId="338" applyBorder="1" applyAlignment="1">
      <alignment horizontal="center" vertical="center"/>
    </xf>
    <xf numFmtId="2" fontId="3" fillId="0" borderId="26" xfId="338" applyNumberFormat="1" applyBorder="1" applyAlignment="1">
      <alignment horizontal="center" vertical="center"/>
    </xf>
    <xf numFmtId="0" fontId="3" fillId="14" borderId="1" xfId="338" applyFill="1" applyBorder="1"/>
    <xf numFmtId="0" fontId="3" fillId="2" borderId="1" xfId="338" applyFill="1" applyBorder="1"/>
    <xf numFmtId="2" fontId="3" fillId="5" borderId="26" xfId="338" applyNumberFormat="1" applyFill="1" applyBorder="1" applyAlignment="1">
      <alignment horizontal="center" vertical="center"/>
    </xf>
    <xf numFmtId="0" fontId="3" fillId="15" borderId="2" xfId="338" applyFill="1" applyBorder="1"/>
    <xf numFmtId="0" fontId="3" fillId="3" borderId="1" xfId="338" applyFill="1" applyBorder="1"/>
    <xf numFmtId="0" fontId="3" fillId="3" borderId="4" xfId="338" applyFill="1" applyBorder="1"/>
    <xf numFmtId="0" fontId="3" fillId="3" borderId="7" xfId="338" applyFill="1" applyBorder="1"/>
    <xf numFmtId="0" fontId="3" fillId="3" borderId="34" xfId="338" applyFill="1" applyBorder="1"/>
    <xf numFmtId="0" fontId="3" fillId="3" borderId="8" xfId="338" applyFill="1" applyBorder="1"/>
    <xf numFmtId="0" fontId="3" fillId="5" borderId="29" xfId="338" applyFill="1" applyBorder="1"/>
    <xf numFmtId="2" fontId="3" fillId="5" borderId="31" xfId="338" applyNumberFormat="1" applyFill="1" applyBorder="1" applyAlignment="1">
      <alignment horizontal="center" vertical="center"/>
    </xf>
    <xf numFmtId="2" fontId="3" fillId="5" borderId="30" xfId="338" applyNumberFormat="1" applyFill="1" applyBorder="1" applyAlignment="1">
      <alignment horizontal="center" vertical="center"/>
    </xf>
    <xf numFmtId="0" fontId="3" fillId="5" borderId="31" xfId="338" applyFill="1" applyBorder="1" applyAlignment="1">
      <alignment horizontal="center" vertical="center"/>
    </xf>
    <xf numFmtId="0" fontId="16" fillId="7" borderId="15" xfId="337" applyAlignment="1">
      <alignment vertical="center" wrapText="1"/>
    </xf>
    <xf numFmtId="9" fontId="16" fillId="7" borderId="15" xfId="337" applyNumberFormat="1" applyAlignment="1">
      <alignment vertical="center" wrapText="1"/>
    </xf>
    <xf numFmtId="0" fontId="16" fillId="7" borderId="36" xfId="337" applyBorder="1" applyAlignment="1">
      <alignment vertical="center" wrapText="1"/>
    </xf>
    <xf numFmtId="9" fontId="16" fillId="7" borderId="36" xfId="337" applyNumberFormat="1" applyBorder="1" applyAlignment="1">
      <alignment vertical="center" wrapText="1"/>
    </xf>
    <xf numFmtId="1" fontId="10" fillId="0" borderId="19" xfId="338" applyNumberFormat="1" applyFont="1" applyBorder="1"/>
    <xf numFmtId="1" fontId="10" fillId="0" borderId="20" xfId="338" applyNumberFormat="1" applyFont="1" applyBorder="1"/>
    <xf numFmtId="0" fontId="4" fillId="5" borderId="11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2" xfId="0" applyFill="1" applyBorder="1" applyAlignment="1">
      <alignment horizontal="center" wrapText="1"/>
    </xf>
    <xf numFmtId="0" fontId="4" fillId="5" borderId="13" xfId="0" applyFont="1" applyFill="1" applyBorder="1" applyAlignment="1">
      <alignment horizontal="center"/>
    </xf>
    <xf numFmtId="0" fontId="4" fillId="16" borderId="11" xfId="0" applyFont="1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0" fillId="16" borderId="12" xfId="0" applyFill="1" applyBorder="1" applyAlignment="1">
      <alignment horizontal="center" wrapText="1"/>
    </xf>
    <xf numFmtId="0" fontId="4" fillId="16" borderId="13" xfId="0" applyFont="1" applyFill="1" applyBorder="1" applyAlignment="1">
      <alignment horizontal="center"/>
    </xf>
    <xf numFmtId="0" fontId="4" fillId="17" borderId="11" xfId="0" applyFont="1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 applyAlignment="1">
      <alignment horizontal="center" wrapText="1"/>
    </xf>
    <xf numFmtId="0" fontId="4" fillId="17" borderId="13" xfId="0" applyFont="1" applyFill="1" applyBorder="1" applyAlignment="1">
      <alignment horizontal="center"/>
    </xf>
    <xf numFmtId="16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164" fontId="0" fillId="5" borderId="0" xfId="0" applyNumberFormat="1" applyFill="1"/>
    <xf numFmtId="0" fontId="0" fillId="0" borderId="0" xfId="0" pivotButton="1"/>
    <xf numFmtId="0" fontId="0" fillId="0" borderId="0" xfId="0" applyAlignment="1">
      <alignment horizontal="left" indent="1"/>
    </xf>
    <xf numFmtId="1" fontId="0" fillId="5" borderId="0" xfId="0" applyNumberFormat="1" applyFill="1"/>
    <xf numFmtId="2" fontId="0" fillId="18" borderId="0" xfId="0" applyNumberFormat="1" applyFill="1"/>
    <xf numFmtId="15" fontId="0" fillId="0" borderId="4" xfId="0" applyNumberFormat="1" applyBorder="1"/>
    <xf numFmtId="168" fontId="5" fillId="0" borderId="0" xfId="338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14" fontId="5" fillId="0" borderId="0" xfId="338" applyNumberFormat="1" applyFont="1" applyAlignment="1">
      <alignment horizontal="left" vertical="center"/>
    </xf>
    <xf numFmtId="14" fontId="3" fillId="0" borderId="0" xfId="338" applyNumberFormat="1" applyAlignment="1">
      <alignment horizontal="left"/>
    </xf>
    <xf numFmtId="0" fontId="2" fillId="0" borderId="0" xfId="338" applyFont="1" applyAlignment="1">
      <alignment horizontal="left"/>
    </xf>
    <xf numFmtId="0" fontId="2" fillId="5" borderId="26" xfId="338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15" fontId="0" fillId="5" borderId="4" xfId="0" applyNumberFormat="1" applyFill="1" applyBorder="1"/>
    <xf numFmtId="0" fontId="10" fillId="5" borderId="4" xfId="0" applyFont="1" applyFill="1" applyBorder="1" applyAlignment="1">
      <alignment horizontal="left" wrapText="1"/>
    </xf>
    <xf numFmtId="169" fontId="5" fillId="5" borderId="0" xfId="339" applyNumberFormat="1" applyFont="1" applyFill="1"/>
    <xf numFmtId="0" fontId="1" fillId="0" borderId="0" xfId="340"/>
    <xf numFmtId="15" fontId="1" fillId="0" borderId="0" xfId="340" applyNumberFormat="1"/>
    <xf numFmtId="14" fontId="1" fillId="0" borderId="0" xfId="340" applyNumberFormat="1"/>
    <xf numFmtId="0" fontId="1" fillId="5" borderId="0" xfId="340" applyFill="1"/>
    <xf numFmtId="0" fontId="10" fillId="0" borderId="0" xfId="340" applyFont="1"/>
    <xf numFmtId="0" fontId="1" fillId="0" borderId="0" xfId="340" quotePrefix="1"/>
    <xf numFmtId="170" fontId="1" fillId="0" borderId="0" xfId="340" applyNumberFormat="1"/>
    <xf numFmtId="0" fontId="26" fillId="0" borderId="0" xfId="340" applyFont="1"/>
    <xf numFmtId="0" fontId="26" fillId="5" borderId="0" xfId="340" applyFont="1" applyFill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9" xfId="338" applyBorder="1" applyAlignment="1">
      <alignment horizontal="center"/>
    </xf>
    <xf numFmtId="0" fontId="3" fillId="0" borderId="10" xfId="338" applyBorder="1" applyAlignment="1">
      <alignment horizontal="center"/>
    </xf>
    <xf numFmtId="0" fontId="3" fillId="0" borderId="17" xfId="338" applyBorder="1" applyAlignment="1">
      <alignment horizontal="center"/>
    </xf>
    <xf numFmtId="0" fontId="8" fillId="0" borderId="0" xfId="0" applyFont="1" applyAlignment="1">
      <alignment horizontal="center"/>
    </xf>
  </cellXfs>
  <cellStyles count="341">
    <cellStyle name="Comma" xfId="339" builtinId="3"/>
    <cellStyle name="Followed Hyperlink" xfId="38" builtinId="9" hidden="1"/>
    <cellStyle name="Followed Hyperlink" xfId="188" builtinId="9" hidden="1"/>
    <cellStyle name="Followed Hyperlink" xfId="78" builtinId="9" hidden="1"/>
    <cellStyle name="Followed Hyperlink" xfId="300" builtinId="9" hidden="1"/>
    <cellStyle name="Followed Hyperlink" xfId="146" builtinId="9" hidden="1"/>
    <cellStyle name="Followed Hyperlink" xfId="154" builtinId="9" hidden="1"/>
    <cellStyle name="Followed Hyperlink" xfId="166" builtinId="9" hidden="1"/>
    <cellStyle name="Followed Hyperlink" xfId="336" builtinId="9" hidden="1"/>
    <cellStyle name="Followed Hyperlink" xfId="126" builtinId="9" hidden="1"/>
    <cellStyle name="Followed Hyperlink" xfId="14" builtinId="9" hidden="1"/>
    <cellStyle name="Followed Hyperlink" xfId="324" builtinId="9" hidden="1"/>
    <cellStyle name="Followed Hyperlink" xfId="16" builtinId="9" hidden="1"/>
    <cellStyle name="Followed Hyperlink" xfId="224" builtinId="9" hidden="1"/>
    <cellStyle name="Followed Hyperlink" xfId="66" builtinId="9" hidden="1"/>
    <cellStyle name="Followed Hyperlink" xfId="244" builtinId="9" hidden="1"/>
    <cellStyle name="Followed Hyperlink" xfId="264" builtinId="9" hidden="1"/>
    <cellStyle name="Followed Hyperlink" xfId="208" builtinId="9" hidden="1"/>
    <cellStyle name="Followed Hyperlink" xfId="30" builtinId="9" hidden="1"/>
    <cellStyle name="Followed Hyperlink" xfId="54" builtinId="9" hidden="1"/>
    <cellStyle name="Followed Hyperlink" xfId="284" builtinId="9" hidden="1"/>
    <cellStyle name="Followed Hyperlink" xfId="98" builtinId="9" hidden="1"/>
    <cellStyle name="Followed Hyperlink" xfId="158" builtinId="9" hidden="1"/>
    <cellStyle name="Followed Hyperlink" xfId="102" builtinId="9" hidden="1"/>
    <cellStyle name="Followed Hyperlink" xfId="64" builtinId="9" hidden="1"/>
    <cellStyle name="Followed Hyperlink" xfId="334" builtinId="9" hidden="1"/>
    <cellStyle name="Followed Hyperlink" xfId="40" builtinId="9" hidden="1"/>
    <cellStyle name="Followed Hyperlink" xfId="46" builtinId="9" hidden="1"/>
    <cellStyle name="Followed Hyperlink" xfId="212" builtinId="9" hidden="1"/>
    <cellStyle name="Followed Hyperlink" xfId="112" builtinId="9" hidden="1"/>
    <cellStyle name="Followed Hyperlink" xfId="320" builtinId="9" hidden="1"/>
    <cellStyle name="Followed Hyperlink" xfId="164" builtinId="9" hidden="1"/>
    <cellStyle name="Followed Hyperlink" xfId="174" builtinId="9" hidden="1"/>
    <cellStyle name="Followed Hyperlink" xfId="114" builtinId="9" hidden="1"/>
    <cellStyle name="Followed Hyperlink" xfId="140" builtinId="9" hidden="1"/>
    <cellStyle name="Followed Hyperlink" xfId="252" builtinId="9" hidden="1"/>
    <cellStyle name="Followed Hyperlink" xfId="234" builtinId="9" hidden="1"/>
    <cellStyle name="Followed Hyperlink" xfId="206" builtinId="9" hidden="1"/>
    <cellStyle name="Followed Hyperlink" xfId="220" builtinId="9" hidden="1"/>
    <cellStyle name="Followed Hyperlink" xfId="56" builtinId="9" hidden="1"/>
    <cellStyle name="Followed Hyperlink" xfId="58" builtinId="9" hidden="1"/>
    <cellStyle name="Followed Hyperlink" xfId="108" builtinId="9" hidden="1"/>
    <cellStyle name="Followed Hyperlink" xfId="318" builtinId="9" hidden="1"/>
    <cellStyle name="Followed Hyperlink" xfId="44" builtinId="9" hidden="1"/>
    <cellStyle name="Followed Hyperlink" xfId="302" builtinId="9" hidden="1"/>
    <cellStyle name="Followed Hyperlink" xfId="190" builtinId="9" hidden="1"/>
    <cellStyle name="Followed Hyperlink" xfId="278" builtinId="9" hidden="1"/>
    <cellStyle name="Followed Hyperlink" xfId="134" builtinId="9" hidden="1"/>
    <cellStyle name="Followed Hyperlink" xfId="2" builtinId="9" hidden="1"/>
    <cellStyle name="Followed Hyperlink" xfId="200" builtinId="9" hidden="1"/>
    <cellStyle name="Followed Hyperlink" xfId="316" builtinId="9" hidden="1"/>
    <cellStyle name="Followed Hyperlink" xfId="204" builtinId="9" hidden="1"/>
    <cellStyle name="Followed Hyperlink" xfId="92" builtinId="9" hidden="1"/>
    <cellStyle name="Followed Hyperlink" xfId="8" builtinId="9" hidden="1"/>
    <cellStyle name="Followed Hyperlink" xfId="18" builtinId="9" hidden="1"/>
    <cellStyle name="Followed Hyperlink" xfId="148" builtinId="9" hidden="1"/>
    <cellStyle name="Followed Hyperlink" xfId="96" builtinId="9" hidden="1"/>
    <cellStyle name="Followed Hyperlink" xfId="120" builtinId="9" hidden="1"/>
    <cellStyle name="Followed Hyperlink" xfId="162" builtinId="9" hidden="1"/>
    <cellStyle name="Followed Hyperlink" xfId="274" builtinId="9" hidden="1"/>
    <cellStyle name="Followed Hyperlink" xfId="196" builtinId="9" hidden="1"/>
    <cellStyle name="Followed Hyperlink" xfId="150" builtinId="9" hidden="1"/>
    <cellStyle name="Followed Hyperlink" xfId="122" builtinId="9" hidden="1"/>
    <cellStyle name="Followed Hyperlink" xfId="240" builtinId="9" hidden="1"/>
    <cellStyle name="Followed Hyperlink" xfId="82" builtinId="9" hidden="1"/>
    <cellStyle name="Followed Hyperlink" xfId="184" builtinId="9" hidden="1"/>
    <cellStyle name="Followed Hyperlink" xfId="194" builtinId="9" hidden="1"/>
    <cellStyle name="Followed Hyperlink" xfId="246" builtinId="9" hidden="1"/>
    <cellStyle name="Followed Hyperlink" xfId="124" builtinId="9" hidden="1"/>
    <cellStyle name="Followed Hyperlink" xfId="306" builtinId="9" hidden="1"/>
    <cellStyle name="Followed Hyperlink" xfId="172" builtinId="9" hidden="1"/>
    <cellStyle name="Followed Hyperlink" xfId="132" builtinId="9" hidden="1"/>
    <cellStyle name="Followed Hyperlink" xfId="36" builtinId="9" hidden="1"/>
    <cellStyle name="Followed Hyperlink" xfId="84" builtinId="9" hidden="1"/>
    <cellStyle name="Followed Hyperlink" xfId="260" builtinId="9" hidden="1"/>
    <cellStyle name="Followed Hyperlink" xfId="178" builtinId="9" hidden="1"/>
    <cellStyle name="Followed Hyperlink" xfId="294" builtinId="9" hidden="1"/>
    <cellStyle name="Followed Hyperlink" xfId="32" builtinId="9" hidden="1"/>
    <cellStyle name="Followed Hyperlink" xfId="268" builtinId="9" hidden="1"/>
    <cellStyle name="Followed Hyperlink" xfId="236" builtinId="9" hidden="1"/>
    <cellStyle name="Followed Hyperlink" xfId="192" builtinId="9" hidden="1"/>
    <cellStyle name="Followed Hyperlink" xfId="250" builtinId="9" hidden="1"/>
    <cellStyle name="Followed Hyperlink" xfId="4" builtinId="9" hidden="1"/>
    <cellStyle name="Followed Hyperlink" xfId="104" builtinId="9" hidden="1"/>
    <cellStyle name="Followed Hyperlink" xfId="144" builtinId="9" hidden="1"/>
    <cellStyle name="Followed Hyperlink" xfId="258" builtinId="9" hidden="1"/>
    <cellStyle name="Followed Hyperlink" xfId="156" builtinId="9" hidden="1"/>
    <cellStyle name="Followed Hyperlink" xfId="160" builtinId="9" hidden="1"/>
    <cellStyle name="Followed Hyperlink" xfId="186" builtinId="9" hidden="1"/>
    <cellStyle name="Followed Hyperlink" xfId="270" builtinId="9" hidden="1"/>
    <cellStyle name="Followed Hyperlink" xfId="288" builtinId="9" hidden="1"/>
    <cellStyle name="Followed Hyperlink" xfId="52" builtinId="9" hidden="1"/>
    <cellStyle name="Followed Hyperlink" xfId="12" builtinId="9" hidden="1"/>
    <cellStyle name="Followed Hyperlink" xfId="214" builtinId="9" hidden="1"/>
    <cellStyle name="Followed Hyperlink" xfId="282" builtinId="9" hidden="1"/>
    <cellStyle name="Followed Hyperlink" xfId="76" builtinId="9" hidden="1"/>
    <cellStyle name="Followed Hyperlink" xfId="262" builtinId="9" hidden="1"/>
    <cellStyle name="Followed Hyperlink" xfId="326" builtinId="9" hidden="1"/>
    <cellStyle name="Followed Hyperlink" xfId="292" builtinId="9" hidden="1"/>
    <cellStyle name="Followed Hyperlink" xfId="116" builtinId="9" hidden="1"/>
    <cellStyle name="Followed Hyperlink" xfId="330" builtinId="9" hidden="1"/>
    <cellStyle name="Followed Hyperlink" xfId="276" builtinId="9" hidden="1"/>
    <cellStyle name="Followed Hyperlink" xfId="106" builtinId="9" hidden="1"/>
    <cellStyle name="Followed Hyperlink" xfId="26" builtinId="9" hidden="1"/>
    <cellStyle name="Followed Hyperlink" xfId="142" builtinId="9" hidden="1"/>
    <cellStyle name="Followed Hyperlink" xfId="6" builtinId="9" hidden="1"/>
    <cellStyle name="Followed Hyperlink" xfId="198" builtinId="9" hidden="1"/>
    <cellStyle name="Followed Hyperlink" xfId="296" builtinId="9" hidden="1"/>
    <cellStyle name="Followed Hyperlink" xfId="170" builtinId="9" hidden="1"/>
    <cellStyle name="Followed Hyperlink" xfId="48" builtinId="9" hidden="1"/>
    <cellStyle name="Followed Hyperlink" xfId="176" builtinId="9" hidden="1"/>
    <cellStyle name="Followed Hyperlink" xfId="20" builtinId="9" hidden="1"/>
    <cellStyle name="Followed Hyperlink" xfId="180" builtinId="9" hidden="1"/>
    <cellStyle name="Followed Hyperlink" xfId="86" builtinId="9" hidden="1"/>
    <cellStyle name="Followed Hyperlink" xfId="280" builtinId="9" hidden="1"/>
    <cellStyle name="Followed Hyperlink" xfId="216" builtinId="9" hidden="1"/>
    <cellStyle name="Followed Hyperlink" xfId="10" builtinId="9" hidden="1"/>
    <cellStyle name="Followed Hyperlink" xfId="34" builtinId="9" hidden="1"/>
    <cellStyle name="Followed Hyperlink" xfId="152" builtinId="9" hidden="1"/>
    <cellStyle name="Followed Hyperlink" xfId="182" builtinId="9" hidden="1"/>
    <cellStyle name="Followed Hyperlink" xfId="60" builtinId="9" hidden="1"/>
    <cellStyle name="Followed Hyperlink" xfId="88" builtinId="9" hidden="1"/>
    <cellStyle name="Followed Hyperlink" xfId="230" builtinId="9" hidden="1"/>
    <cellStyle name="Followed Hyperlink" xfId="168" builtinId="9" hidden="1"/>
    <cellStyle name="Followed Hyperlink" xfId="28" builtinId="9" hidden="1"/>
    <cellStyle name="Followed Hyperlink" xfId="42" builtinId="9" hidden="1"/>
    <cellStyle name="Followed Hyperlink" xfId="332" builtinId="9" hidden="1"/>
    <cellStyle name="Followed Hyperlink" xfId="70" builtinId="9" hidden="1"/>
    <cellStyle name="Followed Hyperlink" xfId="68" builtinId="9" hidden="1"/>
    <cellStyle name="Followed Hyperlink" xfId="238" builtinId="9" hidden="1"/>
    <cellStyle name="Followed Hyperlink" xfId="210" builtinId="9" hidden="1"/>
    <cellStyle name="Followed Hyperlink" xfId="290" builtinId="9" hidden="1"/>
    <cellStyle name="Followed Hyperlink" xfId="22" builtinId="9" hidden="1"/>
    <cellStyle name="Followed Hyperlink" xfId="298" builtinId="9" hidden="1"/>
    <cellStyle name="Followed Hyperlink" xfId="202" builtinId="9" hidden="1"/>
    <cellStyle name="Followed Hyperlink" xfId="94" builtinId="9" hidden="1"/>
    <cellStyle name="Followed Hyperlink" xfId="248" builtinId="9" hidden="1"/>
    <cellStyle name="Followed Hyperlink" xfId="322" builtinId="9" hidden="1"/>
    <cellStyle name="Followed Hyperlink" xfId="80" builtinId="9" hidden="1"/>
    <cellStyle name="Followed Hyperlink" xfId="272" builtinId="9" hidden="1"/>
    <cellStyle name="Followed Hyperlink" xfId="100" builtinId="9" hidden="1"/>
    <cellStyle name="Followed Hyperlink" xfId="72" builtinId="9" hidden="1"/>
    <cellStyle name="Followed Hyperlink" xfId="314" builtinId="9" hidden="1"/>
    <cellStyle name="Followed Hyperlink" xfId="110" builtinId="9" hidden="1"/>
    <cellStyle name="Followed Hyperlink" xfId="256" builtinId="9" hidden="1"/>
    <cellStyle name="Followed Hyperlink" xfId="226" builtinId="9" hidden="1"/>
    <cellStyle name="Followed Hyperlink" xfId="304" builtinId="9" hidden="1"/>
    <cellStyle name="Followed Hyperlink" xfId="138" builtinId="9" hidden="1"/>
    <cellStyle name="Followed Hyperlink" xfId="286" builtinId="9" hidden="1"/>
    <cellStyle name="Followed Hyperlink" xfId="74" builtinId="9" hidden="1"/>
    <cellStyle name="Followed Hyperlink" xfId="24" builtinId="9" hidden="1"/>
    <cellStyle name="Followed Hyperlink" xfId="128" builtinId="9" hidden="1"/>
    <cellStyle name="Followed Hyperlink" xfId="218" builtinId="9" hidden="1"/>
    <cellStyle name="Followed Hyperlink" xfId="50" builtinId="9" hidden="1"/>
    <cellStyle name="Followed Hyperlink" xfId="310" builtinId="9" hidden="1"/>
    <cellStyle name="Followed Hyperlink" xfId="254" builtinId="9" hidden="1"/>
    <cellStyle name="Followed Hyperlink" xfId="308" builtinId="9" hidden="1"/>
    <cellStyle name="Followed Hyperlink" xfId="90" builtinId="9" hidden="1"/>
    <cellStyle name="Followed Hyperlink" xfId="130" builtinId="9" hidden="1"/>
    <cellStyle name="Followed Hyperlink" xfId="232" builtinId="9" hidden="1"/>
    <cellStyle name="Followed Hyperlink" xfId="228" builtinId="9" hidden="1"/>
    <cellStyle name="Followed Hyperlink" xfId="136" builtinId="9" hidden="1"/>
    <cellStyle name="Followed Hyperlink" xfId="242" builtinId="9" hidden="1"/>
    <cellStyle name="Followed Hyperlink" xfId="328" builtinId="9" hidden="1"/>
    <cellStyle name="Followed Hyperlink" xfId="222" builtinId="9" hidden="1"/>
    <cellStyle name="Followed Hyperlink" xfId="266" builtinId="9" hidden="1"/>
    <cellStyle name="Followed Hyperlink" xfId="118" builtinId="9" hidden="1"/>
    <cellStyle name="Followed Hyperlink" xfId="62" builtinId="9" hidden="1"/>
    <cellStyle name="Followed Hyperlink" xfId="312" builtinId="9" hidden="1"/>
    <cellStyle name="Hyperlink" xfId="115" builtinId="8" hidden="1"/>
    <cellStyle name="Hyperlink" xfId="11" builtinId="8" hidden="1"/>
    <cellStyle name="Hyperlink" xfId="51" builtinId="8" hidden="1"/>
    <cellStyle name="Hyperlink" xfId="245" builtinId="8" hidden="1"/>
    <cellStyle name="Hyperlink" xfId="201" builtinId="8" hidden="1"/>
    <cellStyle name="Hyperlink" xfId="7" builtinId="8" hidden="1"/>
    <cellStyle name="Hyperlink" xfId="279" builtinId="8" hidden="1"/>
    <cellStyle name="Hyperlink" xfId="327" builtinId="8" hidden="1"/>
    <cellStyle name="Hyperlink" xfId="159" builtinId="8" hidden="1"/>
    <cellStyle name="Hyperlink" xfId="295" builtinId="8" hidden="1"/>
    <cellStyle name="Hyperlink" xfId="321" builtinId="8" hidden="1"/>
    <cellStyle name="Hyperlink" xfId="247" builtinId="8" hidden="1"/>
    <cellStyle name="Hyperlink" xfId="243" builtinId="8" hidden="1"/>
    <cellStyle name="Hyperlink" xfId="253" builtinId="8" hidden="1"/>
    <cellStyle name="Hyperlink" xfId="15" builtinId="8" hidden="1"/>
    <cellStyle name="Hyperlink" xfId="35" builtinId="8" hidden="1"/>
    <cellStyle name="Hyperlink" xfId="301" builtinId="8" hidden="1"/>
    <cellStyle name="Hyperlink" xfId="97" builtinId="8" hidden="1"/>
    <cellStyle name="Hyperlink" xfId="277" builtinId="8" hidden="1"/>
    <cellStyle name="Hyperlink" xfId="195" builtinId="8" hidden="1"/>
    <cellStyle name="Hyperlink" xfId="77" builtinId="8" hidden="1"/>
    <cellStyle name="Hyperlink" xfId="145" builtinId="8" hidden="1"/>
    <cellStyle name="Hyperlink" xfId="91" builtinId="8" hidden="1"/>
    <cellStyle name="Hyperlink" xfId="213" builtinId="8" hidden="1"/>
    <cellStyle name="Hyperlink" xfId="17" builtinId="8" hidden="1"/>
    <cellStyle name="Hyperlink" xfId="95" builtinId="8" hidden="1"/>
    <cellStyle name="Hyperlink" xfId="167" builtinId="8" hidden="1"/>
    <cellStyle name="Hyperlink" xfId="187" builtinId="8" hidden="1"/>
    <cellStyle name="Hyperlink" xfId="85" builtinId="8" hidden="1"/>
    <cellStyle name="Hyperlink" xfId="139" builtinId="8" hidden="1"/>
    <cellStyle name="Hyperlink" xfId="155" builtinId="8" hidden="1"/>
    <cellStyle name="Hyperlink" xfId="79" builtinId="8" hidden="1"/>
    <cellStyle name="Hyperlink" xfId="133" builtinId="8" hidden="1"/>
    <cellStyle name="Hyperlink" xfId="87" builtinId="8" hidden="1"/>
    <cellStyle name="Hyperlink" xfId="157" builtinId="8" hidden="1"/>
    <cellStyle name="Hyperlink" xfId="23" builtinId="8" hidden="1"/>
    <cellStyle name="Hyperlink" xfId="199" builtinId="8" hidden="1"/>
    <cellStyle name="Hyperlink" xfId="287" builtinId="8" hidden="1"/>
    <cellStyle name="Hyperlink" xfId="269" builtinId="8" hidden="1"/>
    <cellStyle name="Hyperlink" xfId="333" builtinId="8" hidden="1"/>
    <cellStyle name="Hyperlink" xfId="129" builtinId="8" hidden="1"/>
    <cellStyle name="Hyperlink" xfId="267" builtinId="8" hidden="1"/>
    <cellStyle name="Hyperlink" xfId="319" builtinId="8" hidden="1"/>
    <cellStyle name="Hyperlink" xfId="55" builtinId="8" hidden="1"/>
    <cellStyle name="Hyperlink" xfId="65" builtinId="8" hidden="1"/>
    <cellStyle name="Hyperlink" xfId="163" builtinId="8" hidden="1"/>
    <cellStyle name="Hyperlink" xfId="297" builtinId="8" hidden="1"/>
    <cellStyle name="Hyperlink" xfId="117" builtinId="8" hidden="1"/>
    <cellStyle name="Hyperlink" xfId="75" builtinId="8" hidden="1"/>
    <cellStyle name="Hyperlink" xfId="235" builtinId="8" hidden="1"/>
    <cellStyle name="Hyperlink" xfId="173" builtinId="8" hidden="1"/>
    <cellStyle name="Hyperlink" xfId="209" builtinId="8" hidden="1"/>
    <cellStyle name="Hyperlink" xfId="93" builtinId="8" hidden="1"/>
    <cellStyle name="Hyperlink" xfId="273" builtinId="8" hidden="1"/>
    <cellStyle name="Hyperlink" xfId="225" builtinId="8" hidden="1"/>
    <cellStyle name="Hyperlink" xfId="315" builtinId="8" hidden="1"/>
    <cellStyle name="Hyperlink" xfId="107" builtinId="8" hidden="1"/>
    <cellStyle name="Hyperlink" xfId="47" builtinId="8" hidden="1"/>
    <cellStyle name="Hyperlink" xfId="67" builtinId="8" hidden="1"/>
    <cellStyle name="Hyperlink" xfId="69" builtinId="8" hidden="1"/>
    <cellStyle name="Hyperlink" xfId="135" builtinId="8" hidden="1"/>
    <cellStyle name="Hyperlink" xfId="255" builtinId="8" hidden="1"/>
    <cellStyle name="Hyperlink" xfId="293" builtinId="8" hidden="1"/>
    <cellStyle name="Hyperlink" xfId="227" builtinId="8" hidden="1"/>
    <cellStyle name="Hyperlink" xfId="193" builtinId="8" hidden="1"/>
    <cellStyle name="Hyperlink" xfId="251" builtinId="8" hidden="1"/>
    <cellStyle name="Hyperlink" xfId="5" builtinId="8" hidden="1"/>
    <cellStyle name="Hyperlink" xfId="189" builtinId="8" hidden="1"/>
    <cellStyle name="Hyperlink" xfId="221" builtinId="8" hidden="1"/>
    <cellStyle name="Hyperlink" xfId="111" builtinId="8" hidden="1"/>
    <cellStyle name="Hyperlink" xfId="165" builtinId="8" hidden="1"/>
    <cellStyle name="Hyperlink" xfId="205" builtinId="8" hidden="1"/>
    <cellStyle name="Hyperlink" xfId="147" builtinId="8" hidden="1"/>
    <cellStyle name="Hyperlink" xfId="45" builtinId="8" hidden="1"/>
    <cellStyle name="Hyperlink" xfId="83" builtinId="8" hidden="1"/>
    <cellStyle name="Hyperlink" xfId="239" builtinId="8" hidden="1"/>
    <cellStyle name="Hyperlink" xfId="335" builtinId="8" hidden="1"/>
    <cellStyle name="Hyperlink" xfId="127" builtinId="8" hidden="1"/>
    <cellStyle name="Hyperlink" xfId="19" builtinId="8" hidden="1"/>
    <cellStyle name="Hyperlink" xfId="101" builtinId="8" hidden="1"/>
    <cellStyle name="Hyperlink" xfId="317" builtinId="8" hidden="1"/>
    <cellStyle name="Hyperlink" xfId="13" builtinId="8" hidden="1"/>
    <cellStyle name="Hyperlink" xfId="215" builtinId="8" hidden="1"/>
    <cellStyle name="Hyperlink" xfId="257" builtinId="8" hidden="1"/>
    <cellStyle name="Hyperlink" xfId="223" builtinId="8" hidden="1"/>
    <cellStyle name="Hyperlink" xfId="179" builtinId="8" hidden="1"/>
    <cellStyle name="Hyperlink" xfId="169" builtinId="8" hidden="1"/>
    <cellStyle name="Hyperlink" xfId="249" builtinId="8" hidden="1"/>
    <cellStyle name="Hyperlink" xfId="203" builtinId="8" hidden="1"/>
    <cellStyle name="Hyperlink" xfId="185" builtinId="8" hidden="1"/>
    <cellStyle name="Hyperlink" xfId="309" builtinId="8" hidden="1"/>
    <cellStyle name="Hyperlink" xfId="37" builtinId="8" hidden="1"/>
    <cellStyle name="Hyperlink" xfId="323" builtinId="8" hidden="1"/>
    <cellStyle name="Hyperlink" xfId="275" builtinId="8" hidden="1"/>
    <cellStyle name="Hyperlink" xfId="123" builtinId="8" hidden="1"/>
    <cellStyle name="Hyperlink" xfId="177" builtinId="8" hidden="1"/>
    <cellStyle name="Hyperlink" xfId="191" builtinId="8" hidden="1"/>
    <cellStyle name="Hyperlink" xfId="291" builtinId="8" hidden="1"/>
    <cellStyle name="Hyperlink" xfId="3" builtinId="8" hidden="1"/>
    <cellStyle name="Hyperlink" xfId="109" builtinId="8" hidden="1"/>
    <cellStyle name="Hyperlink" xfId="1" builtinId="8" hidden="1"/>
    <cellStyle name="Hyperlink" xfId="207" builtinId="8" hidden="1"/>
    <cellStyle name="Hyperlink" xfId="125" builtinId="8" hidden="1"/>
    <cellStyle name="Hyperlink" xfId="149" builtinId="8" hidden="1"/>
    <cellStyle name="Hyperlink" xfId="113" builtinId="8" hidden="1"/>
    <cellStyle name="Hyperlink" xfId="41" builtinId="8" hidden="1"/>
    <cellStyle name="Hyperlink" xfId="25" builtinId="8" hidden="1"/>
    <cellStyle name="Hyperlink" xfId="131" builtinId="8" hidden="1"/>
    <cellStyle name="Hyperlink" xfId="89" builtinId="8" hidden="1"/>
    <cellStyle name="Hyperlink" xfId="233" builtinId="8" hidden="1"/>
    <cellStyle name="Hyperlink" xfId="99" builtinId="8" hidden="1"/>
    <cellStyle name="Hyperlink" xfId="229" builtinId="8" hidden="1"/>
    <cellStyle name="Hyperlink" xfId="183" builtinId="8" hidden="1"/>
    <cellStyle name="Hyperlink" xfId="299" builtinId="8" hidden="1"/>
    <cellStyle name="Hyperlink" xfId="61" builtinId="8" hidden="1"/>
    <cellStyle name="Hyperlink" xfId="59" builtinId="8" hidden="1"/>
    <cellStyle name="Hyperlink" xfId="21" builtinId="8" hidden="1"/>
    <cellStyle name="Hyperlink" xfId="53" builtinId="8" hidden="1"/>
    <cellStyle name="Hyperlink" xfId="151" builtinId="8" hidden="1"/>
    <cellStyle name="Hyperlink" xfId="303" builtinId="8" hidden="1"/>
    <cellStyle name="Hyperlink" xfId="231" builtinId="8" hidden="1"/>
    <cellStyle name="Hyperlink" xfId="27" builtinId="8" hidden="1"/>
    <cellStyle name="Hyperlink" xfId="73" builtinId="8" hidden="1"/>
    <cellStyle name="Hyperlink" xfId="121" builtinId="8" hidden="1"/>
    <cellStyle name="Hyperlink" xfId="81" builtinId="8" hidden="1"/>
    <cellStyle name="Hyperlink" xfId="285" builtinId="8" hidden="1"/>
    <cellStyle name="Hyperlink" xfId="211" builtinId="8" hidden="1"/>
    <cellStyle name="Hyperlink" xfId="161" builtinId="8" hidden="1"/>
    <cellStyle name="Hyperlink" xfId="171" builtinId="8" hidden="1"/>
    <cellStyle name="Hyperlink" xfId="141" builtinId="8" hidden="1"/>
    <cellStyle name="Hyperlink" xfId="103" builtinId="8" hidden="1"/>
    <cellStyle name="Hyperlink" xfId="137" builtinId="8" hidden="1"/>
    <cellStyle name="Hyperlink" xfId="271" builtinId="8" hidden="1"/>
    <cellStyle name="Hyperlink" xfId="181" builtinId="8" hidden="1"/>
    <cellStyle name="Hyperlink" xfId="175" builtinId="8" hidden="1"/>
    <cellStyle name="Hyperlink" xfId="119" builtinId="8" hidden="1"/>
    <cellStyle name="Hyperlink" xfId="219" builtinId="8" hidden="1"/>
    <cellStyle name="Hyperlink" xfId="197" builtinId="8" hidden="1"/>
    <cellStyle name="Hyperlink" xfId="71" builtinId="8" hidden="1"/>
    <cellStyle name="Hyperlink" xfId="241" builtinId="8" hidden="1"/>
    <cellStyle name="Hyperlink" xfId="217" builtinId="8" hidden="1"/>
    <cellStyle name="Hyperlink" xfId="49" builtinId="8" hidden="1"/>
    <cellStyle name="Hyperlink" xfId="63" builtinId="8" hidden="1"/>
    <cellStyle name="Hyperlink" xfId="265" builtinId="8" hidden="1"/>
    <cellStyle name="Hyperlink" xfId="39" builtinId="8" hidden="1"/>
    <cellStyle name="Hyperlink" xfId="237" builtinId="8" hidden="1"/>
    <cellStyle name="Hyperlink" xfId="153" builtinId="8" hidden="1"/>
    <cellStyle name="Hyperlink" xfId="311" builtinId="8" hidden="1"/>
    <cellStyle name="Hyperlink" xfId="31" builtinId="8" hidden="1"/>
    <cellStyle name="Hyperlink" xfId="313" builtinId="8" hidden="1"/>
    <cellStyle name="Hyperlink" xfId="261" builtinId="8" hidden="1"/>
    <cellStyle name="Hyperlink" xfId="105" builtinId="8" hidden="1"/>
    <cellStyle name="Hyperlink" xfId="43" builtinId="8" hidden="1"/>
    <cellStyle name="Hyperlink" xfId="283" builtinId="8" hidden="1"/>
    <cellStyle name="Hyperlink" xfId="305" builtinId="8" hidden="1"/>
    <cellStyle name="Hyperlink" xfId="33" builtinId="8" hidden="1"/>
    <cellStyle name="Hyperlink" xfId="259" builtinId="8" hidden="1"/>
    <cellStyle name="Hyperlink" xfId="143" builtinId="8" hidden="1"/>
    <cellStyle name="Hyperlink" xfId="57" builtinId="8" hidden="1"/>
    <cellStyle name="Hyperlink" xfId="29" builtinId="8" hidden="1"/>
    <cellStyle name="Hyperlink" xfId="9" builtinId="8" hidden="1"/>
    <cellStyle name="Hyperlink" xfId="289" builtinId="8" hidden="1"/>
    <cellStyle name="Hyperlink" xfId="331" builtinId="8" hidden="1"/>
    <cellStyle name="Hyperlink" xfId="281" builtinId="8" hidden="1"/>
    <cellStyle name="Hyperlink" xfId="325" builtinId="8" hidden="1"/>
    <cellStyle name="Hyperlink" xfId="329" builtinId="8" hidden="1"/>
    <cellStyle name="Hyperlink" xfId="307" builtinId="8" hidden="1"/>
    <cellStyle name="Hyperlink" xfId="263" builtinId="8" hidden="1"/>
    <cellStyle name="Input" xfId="337" builtinId="20"/>
    <cellStyle name="Normal" xfId="0" builtinId="0"/>
    <cellStyle name="Normal 2" xfId="338" xr:uid="{33788273-415D-4730-9175-66ECC22F137D}"/>
    <cellStyle name="Normal 3" xfId="340" xr:uid="{556C1A6B-3C8E-42D1-A668-015F1346F12F}"/>
  </cellStyles>
  <dxfs count="42"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70" formatCode="m/d/yy\ h:mm:ss"/>
    </dxf>
    <dxf>
      <numFmt numFmtId="170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70" formatCode="m/d/yy\ h:mm:ss"/>
    </dxf>
    <dxf>
      <numFmt numFmtId="170" formatCode="m/d/yy\ h:mm:ss"/>
    </dxf>
    <dxf>
      <numFmt numFmtId="0" formatCode="General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109542</xdr:colOff>
      <xdr:row>11</xdr:row>
      <xdr:rowOff>60961</xdr:rowOff>
    </xdr:from>
    <xdr:to>
      <xdr:col>7</xdr:col>
      <xdr:colOff>2187769</xdr:colOff>
      <xdr:row>25</xdr:row>
      <xdr:rowOff>129541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BEE5A-9F70-4C38-B29B-59FA89B7FD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32" t="1000"/>
        <a:stretch/>
      </xdr:blipFill>
      <xdr:spPr>
        <a:xfrm>
          <a:off x="6937062" y="2567941"/>
          <a:ext cx="5253862" cy="28422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2</xdr:row>
      <xdr:rowOff>0</xdr:rowOff>
    </xdr:from>
    <xdr:to>
      <xdr:col>6</xdr:col>
      <xdr:colOff>668142</xdr:colOff>
      <xdr:row>33</xdr:row>
      <xdr:rowOff>58280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6A18C0-FBAB-412A-B233-26EC0CD4E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396240"/>
          <a:ext cx="4104762" cy="6200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ract" refreshedDate="45527.461890393519" createdVersion="8" refreshedVersion="8" minRefreshableVersion="3" recordCount="108" xr:uid="{2E111F5D-A823-4CC1-B091-527A0A0CFC17}">
  <cacheSource type="worksheet">
    <worksheetSource ref="D4:V112" sheet="Harvest"/>
  </cacheSource>
  <cacheFields count="19">
    <cacheField name="Plot" numFmtId="0">
      <sharedItems containsSemiMixedTypes="0" containsString="0" containsNumber="1" containsInteger="1" minValue="101" maxValue="427"/>
    </cacheField>
    <cacheField name="Block" numFmtId="0">
      <sharedItems containsSemiMixedTypes="0" containsString="0" containsNumber="1" containsInteger="1" minValue="1" maxValue="4"/>
    </cacheField>
    <cacheField name="Overall Trt #" numFmtId="0">
      <sharedItems containsSemiMixedTypes="0" containsString="0" containsNumber="1" containsInteger="1" minValue="1" maxValue="27"/>
    </cacheField>
    <cacheField name="Cultivar" numFmtId="0">
      <sharedItems/>
    </cacheField>
    <cacheField name="PGR trt #" numFmtId="0">
      <sharedItems containsSemiMixedTypes="0" containsString="0" containsNumber="1" containsInteger="1" minValue="1" maxValue="9"/>
    </cacheField>
    <cacheField name="PGR trt Name" numFmtId="0">
      <sharedItems/>
    </cacheField>
    <cacheField name="Trial" numFmtId="0">
      <sharedItems/>
    </cacheField>
    <cacheField name="Plots deep (Y)" numFmtId="0">
      <sharedItems containsSemiMixedTypes="0" containsString="0" containsNumber="1" containsInteger="1" minValue="1" maxValue="4"/>
    </cacheField>
    <cacheField name="Plots wide (X)" numFmtId="0">
      <sharedItems containsSemiMixedTypes="0" containsString="0" containsNumber="1" containsInteger="1" minValue="1" maxValue="27"/>
    </cacheField>
    <cacheField name="Weight" numFmtId="0">
      <sharedItems containsString="0" containsBlank="1" containsNumber="1" minValue="7.55" maxValue="16.739999999999998"/>
    </cacheField>
    <cacheField name="Moisture" numFmtId="0">
      <sharedItems containsString="0" containsBlank="1" containsNumber="1" minValue="2.2000000000000002" maxValue="19.2"/>
    </cacheField>
    <cacheField name="Density" numFmtId="0">
      <sharedItems containsString="0" containsBlank="1" containsNumber="1" minValue="16.2" maxValue="69.8"/>
    </cacheField>
    <cacheField name="User" numFmtId="0">
      <sharedItems/>
    </cacheField>
    <cacheField name="Date" numFmtId="167">
      <sharedItems containsSemiMixedTypes="0" containsNonDate="0" containsDate="1" containsString="0" minDate="2024-08-21T00:00:00" maxDate="2024-08-22T00:00:00"/>
    </cacheField>
    <cacheField name="Time" numFmtId="167">
      <sharedItems containsSemiMixedTypes="0" containsNonDate="0" containsDate="1" containsString="0" minDate="1899-12-30T12:34:32" maxDate="1899-12-30T14:30:55"/>
    </cacheField>
    <cacheField name="Sequence number" numFmtId="0">
      <sharedItems containsSemiMixedTypes="0" containsString="0" containsNumber="1" containsInteger="1" minValue="4" maxValue="112"/>
    </cacheField>
    <cacheField name="Note" numFmtId="0">
      <sharedItems/>
    </cacheField>
    <cacheField name="Moisture raw data" numFmtId="0">
      <sharedItems containsSemiMixedTypes="0" containsString="0" containsNumber="1" containsInteger="1" minValue="0" maxValue="0"/>
    </cacheField>
    <cacheField name="Temperature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ract" refreshedDate="45527.466155324073" createdVersion="8" refreshedVersion="8" minRefreshableVersion="3" recordCount="108" xr:uid="{E2FB7DE8-8461-45FF-852B-C2DA95476B77}">
  <cacheSource type="worksheet">
    <worksheetSource ref="B4:BX112" sheet="Data "/>
  </cacheSource>
  <cacheFields count="75">
    <cacheField name="Year" numFmtId="0">
      <sharedItems containsSemiMixedTypes="0" containsString="0" containsNumber="1" containsInteger="1" minValue="2024" maxValue="2024"/>
    </cacheField>
    <cacheField name="Location" numFmtId="0">
      <sharedItems/>
    </cacheField>
    <cacheField name="Plot" numFmtId="0">
      <sharedItems containsSemiMixedTypes="0" containsString="0" containsNumber="1" containsInteger="1" minValue="101" maxValue="427"/>
    </cacheField>
    <cacheField name="Block" numFmtId="0">
      <sharedItems containsSemiMixedTypes="0" containsString="0" containsNumber="1" containsInteger="1" minValue="1" maxValue="4"/>
    </cacheField>
    <cacheField name="Overall Trt #" numFmtId="0">
      <sharedItems containsSemiMixedTypes="0" containsString="0" containsNumber="1" containsInteger="1" minValue="1" maxValue="27"/>
    </cacheField>
    <cacheField name="Cultivar" numFmtId="0">
      <sharedItems count="3">
        <s v="CDC_Austenson"/>
        <s v="AB_Hague"/>
        <s v="Esma"/>
      </sharedItems>
    </cacheField>
    <cacheField name="PGR trt #" numFmtId="0">
      <sharedItems containsSemiMixedTypes="0" containsString="0" containsNumber="1" containsInteger="1" minValue="1" maxValue="9"/>
    </cacheField>
    <cacheField name="PGR trt Name" numFmtId="0">
      <sharedItems count="9">
        <s v="No_PGR"/>
        <s v="M62.5_21-24"/>
        <s v="M62.5_30-32"/>
        <s v="M62.5_37"/>
        <s v="M125_30-32"/>
        <s v="M125_37"/>
        <s v="M62.5_21-24 + M62.5_37"/>
        <s v="M62.5_21-24 + M62.5_30-32"/>
        <s v="M62.5_30-32 + M62.5_37"/>
      </sharedItems>
    </cacheField>
    <cacheField name="Emergence row A  (plants/1m row)" numFmtId="0">
      <sharedItems containsSemiMixedTypes="0" containsString="0" containsNumber="1" containsInteger="1" minValue="21" maxValue="64"/>
    </cacheField>
    <cacheField name="Emergence row B (plants/1m row)" numFmtId="0">
      <sharedItems containsSemiMixedTypes="0" containsString="0" containsNumber="1" containsInteger="1" minValue="23" maxValue="67"/>
    </cacheField>
    <cacheField name="Emerge Avg (plants/m2)" numFmtId="1">
      <sharedItems/>
    </cacheField>
    <cacheField name="Height 1" numFmtId="0">
      <sharedItems containsSemiMixedTypes="0" containsString="0" containsNumber="1" containsInteger="1" minValue="45" maxValue="89"/>
    </cacheField>
    <cacheField name="Height 2" numFmtId="0">
      <sharedItems containsSemiMixedTypes="0" containsString="0" containsNumber="1" containsInteger="1" minValue="35" maxValue="84"/>
    </cacheField>
    <cacheField name="Height 3" numFmtId="0">
      <sharedItems containsSemiMixedTypes="0" containsString="0" containsNumber="1" containsInteger="1" minValue="45" maxValue="86"/>
    </cacheField>
    <cacheField name="Height 4" numFmtId="0">
      <sharedItems containsSemiMixedTypes="0" containsString="0" containsNumber="1" containsInteger="1" minValue="44" maxValue="80"/>
    </cacheField>
    <cacheField name="Week 1 Height" numFmtId="164">
      <sharedItems containsSemiMixedTypes="0" containsString="0" containsNumber="1" minValue="49" maxValue="82.75"/>
    </cacheField>
    <cacheField name="Height 12" numFmtId="0">
      <sharedItems containsSemiMixedTypes="0" containsString="0" containsNumber="1" containsInteger="1" minValue="60" maxValue="107"/>
    </cacheField>
    <cacheField name="Height 22" numFmtId="0">
      <sharedItems containsSemiMixedTypes="0" containsString="0" containsNumber="1" containsInteger="1" minValue="60" maxValue="105"/>
    </cacheField>
    <cacheField name="Height 32" numFmtId="0">
      <sharedItems containsSemiMixedTypes="0" containsString="0" containsNumber="1" containsInteger="1" minValue="62" maxValue="110"/>
    </cacheField>
    <cacheField name="Height 42" numFmtId="0">
      <sharedItems containsSemiMixedTypes="0" containsString="0" containsNumber="1" containsInteger="1" minValue="57" maxValue="103"/>
    </cacheField>
    <cacheField name="Week 2 Height" numFmtId="164">
      <sharedItems containsSemiMixedTypes="0" containsString="0" containsNumber="1" minValue="67.25" maxValue="104"/>
    </cacheField>
    <cacheField name="Height 13" numFmtId="0">
      <sharedItems containsDate="1" containsString="0" containsBlank="1" containsMixedTypes="1" minDate="1900-01-08T01:22:04" maxDate="1899-12-31T01:31:04"/>
    </cacheField>
    <cacheField name="Height 23" numFmtId="0">
      <sharedItems containsDate="1" containsString="0" containsBlank="1" containsMixedTypes="1" minDate="1899-12-31T01:24:04" maxDate="1900-01-08T01:31:04"/>
    </cacheField>
    <cacheField name="Height 33" numFmtId="0">
      <sharedItems containsSemiMixedTypes="0" containsDate="1" containsString="0" containsMixedTypes="1" minDate="1900-01-05T09:22:04" maxDate="1900-01-02T17:32:04"/>
    </cacheField>
    <cacheField name="Height 43" numFmtId="0">
      <sharedItems containsSemiMixedTypes="0" containsDate="1" containsString="0" containsMixedTypes="1" minDate="1899-12-31T01:23:04" maxDate="1900-01-05T09:32:04"/>
    </cacheField>
    <cacheField name="Week 3 Height" numFmtId="164">
      <sharedItems containsSemiMixedTypes="0" containsString="0" containsNumber="1" minValue="73.5" maxValue="107.5"/>
    </cacheField>
    <cacheField name="Height 14" numFmtId="0">
      <sharedItems containsSemiMixedTypes="0" containsDate="1" containsString="0" containsMixedTypes="1" minDate="1900-01-05T09:22:04" maxDate="1900-01-08T01:33:04"/>
    </cacheField>
    <cacheField name="Height 24" numFmtId="0">
      <sharedItems containsSemiMixedTypes="0" containsDate="1" containsString="0" containsMixedTypes="1" minDate="1900-01-08T01:23:04" maxDate="1900-01-05T09:33:04"/>
    </cacheField>
    <cacheField name="Height 34" numFmtId="0">
      <sharedItems containsSemiMixedTypes="0" containsDate="1" containsString="0" containsMixedTypes="1" minDate="1900-01-05T09:22:04" maxDate="1900-01-08T01:33:04"/>
    </cacheField>
    <cacheField name="Height 44" numFmtId="0">
      <sharedItems containsSemiMixedTypes="0" containsDate="1" containsString="0" containsMixedTypes="1" minDate="1900-01-08T01:23:04" maxDate="1899-12-31T01:34:04"/>
    </cacheField>
    <cacheField name="Week 4 Height" numFmtId="164">
      <sharedItems containsSemiMixedTypes="0" containsString="0" containsNumber="1" minValue="72.5" maxValue="113.75"/>
    </cacheField>
    <cacheField name="Height 15" numFmtId="0">
      <sharedItems containsNonDate="0" containsString="0" containsBlank="1"/>
    </cacheField>
    <cacheField name="Height 25" numFmtId="0">
      <sharedItems containsNonDate="0" containsString="0" containsBlank="1"/>
    </cacheField>
    <cacheField name="Height 35" numFmtId="0">
      <sharedItems containsNonDate="0" containsString="0" containsBlank="1"/>
    </cacheField>
    <cacheField name="Height 45" numFmtId="0">
      <sharedItems containsNonDate="0" containsString="0" containsBlank="1"/>
    </cacheField>
    <cacheField name="Week 5 Height" numFmtId="164">
      <sharedItems count="1">
        <e v="#DIV/0!"/>
      </sharedItems>
    </cacheField>
    <cacheField name="Height 16" numFmtId="0">
      <sharedItems containsNonDate="0" containsString="0" containsBlank="1"/>
    </cacheField>
    <cacheField name="Height 26" numFmtId="0">
      <sharedItems containsNonDate="0" containsString="0" containsBlank="1"/>
    </cacheField>
    <cacheField name="Height 36" numFmtId="0">
      <sharedItems containsNonDate="0" containsString="0" containsBlank="1"/>
    </cacheField>
    <cacheField name="Height 46" numFmtId="0">
      <sharedItems containsNonDate="0" containsString="0" containsBlank="1"/>
    </cacheField>
    <cacheField name="Week 6 Height" numFmtId="164">
      <sharedItems/>
    </cacheField>
    <cacheField name="Booting date of plot" numFmtId="16">
      <sharedItems containsSemiMixedTypes="0" containsNonDate="0" containsDate="1" containsString="0" minDate="2024-07-06T00:00:00" maxDate="2024-07-12T00:00:00"/>
    </cacheField>
    <cacheField name="Height 17" numFmtId="0">
      <sharedItems containsNonDate="0" containsString="0" containsBlank="1"/>
    </cacheField>
    <cacheField name="Height 27" numFmtId="0">
      <sharedItems containsNonDate="0" containsString="0" containsBlank="1"/>
    </cacheField>
    <cacheField name="Height 37" numFmtId="0">
      <sharedItems containsNonDate="0" containsString="0" containsBlank="1"/>
    </cacheField>
    <cacheField name="Height 47" numFmtId="0">
      <sharedItems containsNonDate="0" containsString="0" containsBlank="1"/>
    </cacheField>
    <cacheField name="Avg Height at Phys Maturity" numFmtId="164">
      <sharedItems count="1">
        <e v="#DIV/0!"/>
      </sharedItems>
    </cacheField>
    <cacheField name="Lodging Index (% of area leaning 5-45o)" numFmtId="0">
      <sharedItems containsString="0" containsBlank="1" containsNumber="1" containsInteger="1" minValue="0" maxValue="95"/>
    </cacheField>
    <cacheField name="Lodging Index (% of area leaning 45-85o)" numFmtId="0">
      <sharedItems containsSemiMixedTypes="0" containsString="0" containsNumber="1" containsInteger="1" minValue="0" maxValue="35"/>
    </cacheField>
    <cacheField name="Lodging Index (% of area leaning 85-90o)" numFmtId="0">
      <sharedItems containsSemiMixedTypes="0" containsString="0" containsNumber="1" containsInteger="1" minValue="0" maxValue="20"/>
    </cacheField>
    <cacheField name="Lodging Index 1" numFmtId="164">
      <sharedItems containsSemiMixedTypes="0" containsString="0" containsNumber="1" minValue="0" maxValue="63.333333333333336"/>
    </cacheField>
    <cacheField name="Lodging Index (% of area leaning 5-45o)2" numFmtId="0">
      <sharedItems containsBlank="1" containsMixedTypes="1" containsNumber="1" containsInteger="1" minValue="0" maxValue="90"/>
    </cacheField>
    <cacheField name="Lodging Index (% of area leaning 45-85o)2" numFmtId="0">
      <sharedItems containsString="0" containsBlank="1" containsNumber="1" containsInteger="1" minValue="0" maxValue="0"/>
    </cacheField>
    <cacheField name="Lodging Index (% of area leaning 85-90o)2" numFmtId="0">
      <sharedItems containsString="0" containsBlank="1" containsNumber="1" containsInteger="1" minValue="0" maxValue="0"/>
    </cacheField>
    <cacheField name="Lodging Index 2" numFmtId="164">
      <sharedItems containsMixedTypes="1" containsNumber="1" minValue="0" maxValue="60"/>
    </cacheField>
    <cacheField name="Lodging Index (% of area leaning 5-45o)3" numFmtId="0">
      <sharedItems containsString="0" containsBlank="1" containsNumber="1" containsInteger="1" minValue="0" maxValue="0"/>
    </cacheField>
    <cacheField name="Lodging Index (% of area leaning 45-85o)3" numFmtId="0">
      <sharedItems containsString="0" containsBlank="1" containsNumber="1" containsInteger="1" minValue="0" maxValue="0"/>
    </cacheField>
    <cacheField name="Lodging Index (% of area leaning 85-90o)3" numFmtId="0">
      <sharedItems containsString="0" containsBlank="1" containsNumber="1" containsInteger="1" minValue="0" maxValue="0"/>
    </cacheField>
    <cacheField name="Lodging Index 3" numFmtId="164">
      <sharedItems containsSemiMixedTypes="0" containsString="0" containsNumber="1" containsInteger="1" minValue="0" maxValue="0"/>
    </cacheField>
    <cacheField name="Wet weight 10 heads (g)" numFmtId="0">
      <sharedItems containsSemiMixedTypes="0" containsString="0" containsNumber="1" minValue="8.6" maxValue="42.16"/>
    </cacheField>
    <cacheField name="Dry Weight 10 heads (g)" numFmtId="0">
      <sharedItems containsSemiMixedTypes="0" containsString="0" containsNumber="1" minValue="9" maxValue="24.01"/>
    </cacheField>
    <cacheField name="% moisture" numFmtId="164">
      <sharedItems containsSemiMixedTypes="0" containsString="0" containsNumber="1" minValue="-37.209302325581412" maxValue="63.892709766162305"/>
    </cacheField>
    <cacheField name="Remaining days to reach maturity" numFmtId="164">
      <sharedItems containsSemiMixedTypes="0" containsString="0" containsNumber="1" minValue="-28.883720930232563" maxValue="11.557083906464921"/>
    </cacheField>
    <cacheField name="Calendar maturity date" numFmtId="165">
      <sharedItems containsSemiMixedTypes="0" containsNonDate="0" containsDate="1" containsString="0" minDate="2024-07-04T02:47:27" maxDate="2024-08-13T13:22:12"/>
    </cacheField>
    <cacheField name="DTM" numFmtId="165">
      <sharedItems containsSemiMixedTypes="0" containsNonDate="0" containsDate="1" containsString="0" minDate="2024-07-04T02:47:27" maxDate="2024-08-13T13:22:12"/>
    </cacheField>
    <cacheField name="Harvested plot length (m)" numFmtId="0">
      <sharedItems containsSemiMixedTypes="0" containsString="0" containsNumber="1" containsInteger="1" minValue="6" maxValue="6"/>
    </cacheField>
    <cacheField name="Harvested plot area (m2)" numFmtId="2">
      <sharedItems containsSemiMixedTypes="0" containsString="0" containsNumber="1" minValue="8.6867999999999999" maxValue="8.6867999999999999"/>
    </cacheField>
    <cacheField name="Wet Yield (g/plot)" numFmtId="0">
      <sharedItems containsString="0" containsBlank="1" containsNumber="1" minValue="7550" maxValue="10260"/>
    </cacheField>
    <cacheField name="Grain moisture (%)" numFmtId="0">
      <sharedItems containsString="0" containsBlank="1" containsNumber="1" minValue="2.2000000000000002" maxValue="19.2"/>
    </cacheField>
    <cacheField name="Yield adj to 13.5%" numFmtId="164">
      <sharedItems containsString="0" containsBlank="1" containsNumber="1" minValue="8899.6100920910885" maxValue="11838.332347184927"/>
    </cacheField>
    <cacheField name="Yield adj to 13.5% bu" numFmtId="164">
      <sharedItems containsString="0" containsBlank="1" containsNumber="1" minValue="165.44146966066768" maxValue="220.07156286433516"/>
    </cacheField>
    <cacheField name="Test weight (kg/hL)" numFmtId="0">
      <sharedItems containsNonDate="0" containsString="0" containsBlank="1"/>
    </cacheField>
    <cacheField name="TKW 1- 100 kernels" numFmtId="0">
      <sharedItems containsString="0" containsBlank="1" containsNumber="1" minValue="3.83" maxValue="5.61"/>
    </cacheField>
    <cacheField name="TKW 2 -100 kernels" numFmtId="0">
      <sharedItems containsString="0" containsBlank="1" containsNumber="1" minValue="4.1399999999999997" maxValue="5.62"/>
    </cacheField>
    <cacheField name="TKW - Avg (adjusted to 13.5% moisture)" numFmtId="164">
      <sharedItems containsMixedTypes="1" containsNumber="1" minValue="42.063930635838148" maxValue="59.9802312138728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682.813249074075" createdVersion="8" refreshedVersion="8" minRefreshableVersion="3" recordCount="108" xr:uid="{4743CD93-D2E7-44D9-BB37-6D5F431CC74D}">
  <cacheSource type="worksheet">
    <worksheetSource ref="D4:BX112" sheet="Data "/>
  </cacheSource>
  <cacheFields count="73">
    <cacheField name="Plot" numFmtId="0">
      <sharedItems containsSemiMixedTypes="0" containsString="0" containsNumber="1" containsInteger="1" minValue="101" maxValue="427"/>
    </cacheField>
    <cacheField name="Block" numFmtId="0">
      <sharedItems containsSemiMixedTypes="0" containsString="0" containsNumber="1" containsInteger="1" minValue="1" maxValue="4"/>
    </cacheField>
    <cacheField name="Overall Trt #" numFmtId="0">
      <sharedItems containsSemiMixedTypes="0" containsString="0" containsNumber="1" containsInteger="1" minValue="1" maxValue="27"/>
    </cacheField>
    <cacheField name="Cultivar" numFmtId="0">
      <sharedItems/>
    </cacheField>
    <cacheField name="PGR trt #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PGR trt Name" numFmtId="0">
      <sharedItems count="9">
        <s v="No_PGR"/>
        <s v="M62.5_21-24"/>
        <s v="M62.5_30-32"/>
        <s v="M62.5_37"/>
        <s v="M125_30-32"/>
        <s v="M125_37"/>
        <s v="M62.5_21-24 + M62.5_37"/>
        <s v="M62.5_21-24 + M62.5_30-32"/>
        <s v="M62.5_30-32 + M62.5_37"/>
      </sharedItems>
    </cacheField>
    <cacheField name="Emergence row A  (plants/1m row)" numFmtId="0">
      <sharedItems containsSemiMixedTypes="0" containsString="0" containsNumber="1" containsInteger="1" minValue="21" maxValue="64"/>
    </cacheField>
    <cacheField name="Emergence row B (plants/1m row)" numFmtId="0">
      <sharedItems containsSemiMixedTypes="0" containsString="0" containsNumber="1" containsInteger="1" minValue="23" maxValue="67"/>
    </cacheField>
    <cacheField name="Emerge Avg (plants/m2)" numFmtId="1">
      <sharedItems containsMixedTypes="1" containsNumber="1" minValue="134.68711147948613" maxValue="244.50891007045172"/>
    </cacheField>
    <cacheField name="Height 1" numFmtId="0">
      <sharedItems containsSemiMixedTypes="0" containsString="0" containsNumber="1" containsInteger="1" minValue="45" maxValue="89"/>
    </cacheField>
    <cacheField name="Height 2" numFmtId="0">
      <sharedItems containsSemiMixedTypes="0" containsString="0" containsNumber="1" containsInteger="1" minValue="35" maxValue="84"/>
    </cacheField>
    <cacheField name="Height 3" numFmtId="0">
      <sharedItems containsSemiMixedTypes="0" containsString="0" containsNumber="1" containsInteger="1" minValue="45" maxValue="86"/>
    </cacheField>
    <cacheField name="Height 4" numFmtId="0">
      <sharedItems containsSemiMixedTypes="0" containsString="0" containsNumber="1" containsInteger="1" minValue="44" maxValue="80"/>
    </cacheField>
    <cacheField name="Week 1 Height" numFmtId="164">
      <sharedItems containsSemiMixedTypes="0" containsString="0" containsNumber="1" minValue="49" maxValue="82.75"/>
    </cacheField>
    <cacheField name="Height 12" numFmtId="0">
      <sharedItems containsSemiMixedTypes="0" containsString="0" containsNumber="1" containsInteger="1" minValue="60" maxValue="107"/>
    </cacheField>
    <cacheField name="Height 22" numFmtId="0">
      <sharedItems containsSemiMixedTypes="0" containsString="0" containsNumber="1" containsInteger="1" minValue="60" maxValue="105"/>
    </cacheField>
    <cacheField name="Height 32" numFmtId="0">
      <sharedItems containsSemiMixedTypes="0" containsString="0" containsNumber="1" containsInteger="1" minValue="62" maxValue="110"/>
    </cacheField>
    <cacheField name="Height 42" numFmtId="0">
      <sharedItems containsSemiMixedTypes="0" containsString="0" containsNumber="1" containsInteger="1" minValue="57" maxValue="103"/>
    </cacheField>
    <cacheField name="Week 2 Height" numFmtId="164">
      <sharedItems containsSemiMixedTypes="0" containsString="0" containsNumber="1" minValue="67.25" maxValue="104"/>
    </cacheField>
    <cacheField name="Height 13" numFmtId="0">
      <sharedItems containsString="0" containsBlank="1" containsNumber="1" containsInteger="1" minValue="71" maxValue="105"/>
    </cacheField>
    <cacheField name="Height 23" numFmtId="0">
      <sharedItems containsString="0" containsBlank="1" containsNumber="1" containsInteger="1" minValue="76" maxValue="110"/>
    </cacheField>
    <cacheField name="Height 33" numFmtId="0">
      <sharedItems containsSemiMixedTypes="0" containsString="0" containsNumber="1" containsInteger="1" minValue="70" maxValue="109"/>
    </cacheField>
    <cacheField name="Height 43" numFmtId="0">
      <sharedItems containsSemiMixedTypes="0" containsString="0" containsNumber="1" containsInteger="1" minValue="72" maxValue="110"/>
    </cacheField>
    <cacheField name="Week 3 Height" numFmtId="164">
      <sharedItems containsSemiMixedTypes="0" containsString="0" containsNumber="1" minValue="73.5" maxValue="107.5"/>
    </cacheField>
    <cacheField name="Height 14" numFmtId="0">
      <sharedItems containsSemiMixedTypes="0" containsString="0" containsNumber="1" containsInteger="1" minValue="70" maxValue="115"/>
    </cacheField>
    <cacheField name="Height 24" numFmtId="0">
      <sharedItems containsSemiMixedTypes="0" containsString="0" containsNumber="1" containsInteger="1" minValue="75" maxValue="114"/>
    </cacheField>
    <cacheField name="Height 34" numFmtId="0">
      <sharedItems containsSemiMixedTypes="0" containsString="0" containsNumber="1" containsInteger="1" minValue="70" maxValue="120"/>
    </cacheField>
    <cacheField name="Height 44" numFmtId="0">
      <sharedItems containsSemiMixedTypes="0" containsString="0" containsNumber="1" containsInteger="1" minValue="75" maxValue="116"/>
    </cacheField>
    <cacheField name="Week 4 Height" numFmtId="164">
      <sharedItems containsSemiMixedTypes="0" containsString="0" containsNumber="1" minValue="72.5" maxValue="113.75"/>
    </cacheField>
    <cacheField name="Height 15" numFmtId="0">
      <sharedItems containsNonDate="0" containsString="0" containsBlank="1"/>
    </cacheField>
    <cacheField name="Height 25" numFmtId="0">
      <sharedItems containsNonDate="0" containsString="0" containsBlank="1"/>
    </cacheField>
    <cacheField name="Height 35" numFmtId="0">
      <sharedItems containsNonDate="0" containsString="0" containsBlank="1"/>
    </cacheField>
    <cacheField name="Height 45" numFmtId="0">
      <sharedItems containsNonDate="0" containsString="0" containsBlank="1"/>
    </cacheField>
    <cacheField name="Week 5 Height" numFmtId="164">
      <sharedItems/>
    </cacheField>
    <cacheField name="Height 16" numFmtId="0">
      <sharedItems containsNonDate="0" containsString="0" containsBlank="1"/>
    </cacheField>
    <cacheField name="Height 26" numFmtId="0">
      <sharedItems containsNonDate="0" containsString="0" containsBlank="1"/>
    </cacheField>
    <cacheField name="Height 36" numFmtId="0">
      <sharedItems containsNonDate="0" containsString="0" containsBlank="1"/>
    </cacheField>
    <cacheField name="Height 46" numFmtId="0">
      <sharedItems containsNonDate="0" containsString="0" containsBlank="1"/>
    </cacheField>
    <cacheField name="Week 6 Height" numFmtId="164">
      <sharedItems/>
    </cacheField>
    <cacheField name="Booting date of plot" numFmtId="16">
      <sharedItems containsSemiMixedTypes="0" containsNonDate="0" containsDate="1" containsString="0" minDate="2024-07-06T00:00:00" maxDate="2024-07-12T00:00:00"/>
    </cacheField>
    <cacheField name="Height 17" numFmtId="0">
      <sharedItems containsNonDate="0" containsString="0" containsBlank="1"/>
    </cacheField>
    <cacheField name="Height 27" numFmtId="0">
      <sharedItems containsNonDate="0" containsString="0" containsBlank="1"/>
    </cacheField>
    <cacheField name="Height 37" numFmtId="0">
      <sharedItems containsNonDate="0" containsString="0" containsBlank="1"/>
    </cacheField>
    <cacheField name="Height 47" numFmtId="0">
      <sharedItems containsNonDate="0" containsString="0" containsBlank="1"/>
    </cacheField>
    <cacheField name="Avg Height at Phys Maturity" numFmtId="164">
      <sharedItems/>
    </cacheField>
    <cacheField name="Lodging Index (% of area leaning 5-45o)" numFmtId="0">
      <sharedItems containsSemiMixedTypes="0" containsString="0" containsNumber="1" containsInteger="1" minValue="0" maxValue="95"/>
    </cacheField>
    <cacheField name="Lodging Index (% of area leaning 45-85o)" numFmtId="0">
      <sharedItems containsSemiMixedTypes="0" containsString="0" containsNumber="1" containsInteger="1" minValue="0" maxValue="35"/>
    </cacheField>
    <cacheField name="Lodging Index (% of area leaning 85-90o)" numFmtId="0">
      <sharedItems containsSemiMixedTypes="0" containsString="0" containsNumber="1" containsInteger="1" minValue="0" maxValue="20"/>
    </cacheField>
    <cacheField name="Lodging Index 1" numFmtId="164">
      <sharedItems containsSemiMixedTypes="0" containsString="0" containsNumber="1" minValue="0" maxValue="63.333333333333336"/>
    </cacheField>
    <cacheField name="Lodging Index (% of area leaning 5-45o)2" numFmtId="0">
      <sharedItems containsSemiMixedTypes="0" containsString="0" containsNumber="1" containsInteger="1" minValue="0" maxValue="90"/>
    </cacheField>
    <cacheField name="Lodging Index (% of area leaning 45-85o)2" numFmtId="0">
      <sharedItems containsSemiMixedTypes="0" containsString="0" containsNumber="1" containsInteger="1" minValue="0" maxValue="0"/>
    </cacheField>
    <cacheField name="Lodging Index (% of area leaning 85-90o)2" numFmtId="0">
      <sharedItems containsSemiMixedTypes="0" containsString="0" containsNumber="1" containsInteger="1" minValue="0" maxValue="0"/>
    </cacheField>
    <cacheField name="Lodging Index 2" numFmtId="164">
      <sharedItems containsSemiMixedTypes="0" containsString="0" containsNumber="1" minValue="0" maxValue="60"/>
    </cacheField>
    <cacheField name="Lodging Index (% of area leaning 5-45o)3" numFmtId="0">
      <sharedItems containsString="0" containsBlank="1" containsNumber="1" containsInteger="1" minValue="0" maxValue="0"/>
    </cacheField>
    <cacheField name="Lodging Index (% of area leaning 45-85o)3" numFmtId="0">
      <sharedItems containsString="0" containsBlank="1" containsNumber="1" containsInteger="1" minValue="0" maxValue="0"/>
    </cacheField>
    <cacheField name="Lodging Index (% of area leaning 85-90o)3" numFmtId="0">
      <sharedItems containsString="0" containsBlank="1" containsNumber="1" containsInteger="1" minValue="0" maxValue="0"/>
    </cacheField>
    <cacheField name="Lodging Index 3" numFmtId="164">
      <sharedItems containsSemiMixedTypes="0" containsString="0" containsNumber="1" containsInteger="1" minValue="0" maxValue="0"/>
    </cacheField>
    <cacheField name="Wet weight 10 heads (g)" numFmtId="0">
      <sharedItems containsSemiMixedTypes="0" containsString="0" containsNumber="1" minValue="20.13" maxValue="42.16"/>
    </cacheField>
    <cacheField name="Dry Weight 10 heads (g)" numFmtId="0">
      <sharedItems containsSemiMixedTypes="0" containsString="0" containsNumber="1" minValue="9" maxValue="24.01"/>
    </cacheField>
    <cacheField name="% moisture" numFmtId="164">
      <sharedItems containsSemiMixedTypes="0" containsString="0" containsNumber="1" minValue="21.929824561403507" maxValue="63.892709766162305"/>
    </cacheField>
    <cacheField name="Remaining days to reach maturity" numFmtId="164">
      <sharedItems containsSemiMixedTypes="0" containsString="0" containsNumber="1" minValue="-5.2280701754385976" maxValue="11.557083906464921"/>
    </cacheField>
    <cacheField name="Calendar maturity date" numFmtId="165">
      <sharedItems containsSemiMixedTypes="0" containsNonDate="0" containsDate="1" containsString="0" minDate="2024-07-27T18:31:35" maxDate="2024-08-13T13:22:12"/>
    </cacheField>
    <cacheField name="DTM" numFmtId="165">
      <sharedItems containsSemiMixedTypes="0" containsNonDate="0" containsDate="1" containsString="0" minDate="2024-07-27T18:31:35" maxDate="2024-08-13T13:22:12"/>
    </cacheField>
    <cacheField name="Harvested plot length (m)" numFmtId="0">
      <sharedItems containsSemiMixedTypes="0" containsString="0" containsNumber="1" containsInteger="1" minValue="6" maxValue="6"/>
    </cacheField>
    <cacheField name="Harvested plot area (m2)" numFmtId="2">
      <sharedItems containsSemiMixedTypes="0" containsString="0" containsNumber="1" minValue="8.6867999999999999" maxValue="8.6867999999999999"/>
    </cacheField>
    <cacheField name="Wet Yield (g/plot)" numFmtId="0">
      <sharedItems containsString="0" containsBlank="1" containsNumber="1" minValue="7550" maxValue="10260"/>
    </cacheField>
    <cacheField name="Grain moisture (%)" numFmtId="0">
      <sharedItems containsString="0" containsBlank="1" containsNumber="1" minValue="2.2000000000000002" maxValue="19.2"/>
    </cacheField>
    <cacheField name="Yield adj to 13.5%" numFmtId="164">
      <sharedItems containsString="0" containsBlank="1" containsNumber="1" minValue="8899.6100920910885" maxValue="11838.332347184927"/>
    </cacheField>
    <cacheField name="Yield adj to 13.5% bu" numFmtId="164">
      <sharedItems containsString="0" containsBlank="1" containsNumber="1" minValue="165.44146966066768" maxValue="220.07156286433516"/>
    </cacheField>
    <cacheField name="Test weight (kg/hL)" numFmtId="0">
      <sharedItems containsNonDate="0" containsString="0" containsBlank="1"/>
    </cacheField>
    <cacheField name="TKW 1- 100 kernels" numFmtId="2">
      <sharedItems containsString="0" containsBlank="1" containsNumber="1" minValue="4.0999999999999996" maxValue="6.8"/>
    </cacheField>
    <cacheField name="TKW 2 -100 kernels" numFmtId="2">
      <sharedItems containsString="0" containsBlank="1" containsNumber="1" minValue="4.05" maxValue="5.84"/>
    </cacheField>
    <cacheField name="TKW - Avg (adjusted to 13.5% moisture)" numFmtId="164">
      <sharedItems containsMixedTypes="1" containsNumber="1" minValue="43.000346820809256" maxValue="63.749364161849698" count="107">
        <n v="51.013005780346816"/>
        <n v="55.519075144508669"/>
        <n v="53.25433526011561"/>
        <n v="63.749364161849698"/>
        <n v="51.494046242774566"/>
        <n v="58.26589595375723"/>
        <n v="51.227514450867055"/>
        <n v="51.309595375722537"/>
        <n v="51.048786127167631"/>
        <n v="50.734855491329483"/>
        <n v="45.469653179190757"/>
        <n v="51.474624277456655"/>
        <n v="45.678265895953757"/>
        <n v="49.606473988439312"/>
        <n v="52.8749132947977"/>
        <n v="48.755028901734093"/>
        <n v="44.811445086705213"/>
        <n v="46.922254335260121"/>
        <n v="55.692485549132947"/>
        <n v="56.127052023121401"/>
        <n v="50.907745664739892"/>
        <n v="58.201156069364167"/>
        <n v="51.837919075144519"/>
        <n v="61.064566473988442"/>
        <n v="51.794219653179198"/>
        <n v="54.317456647398842"/>
        <n v="50.370404624277455"/>
        <n v="50.082485549132947"/>
        <n v="54.546589595375721"/>
        <n v="52.49803468208092"/>
        <n v="52.217572254335266"/>
        <n v="58.709826589595366"/>
        <e v="#DIV/0!"/>
        <n v="58.551791907514456"/>
        <n v="52.561560693641624"/>
        <n v="52.995664739884397"/>
        <n v="48.74803468208092"/>
        <n v="56.545780346820806"/>
        <n v="51.94439306358381"/>
        <n v="52.651387283236993"/>
        <n v="55.125722543352602"/>
        <n v="50.969826589595378"/>
        <n v="48.0593641618497"/>
        <n v="53.944508670520236"/>
        <n v="53.628612716763001"/>
        <n v="45.772716763005782"/>
        <n v="46.119479768786121"/>
        <n v="44.188959537572252"/>
        <n v="48.814855491329482"/>
        <n v="43.000346820809256"/>
        <n v="49.725086705202322"/>
        <n v="46.957225433526006"/>
        <n v="50.03098265895953"/>
        <n v="46.456184971098267"/>
        <n v="47.477052023121381"/>
        <n v="44.945838150289006"/>
        <n v="48.693641618497104"/>
        <n v="48.092832369942208"/>
        <n v="45.472196531791901"/>
        <n v="44.135953757225437"/>
        <n v="49.91508670520232"/>
        <n v="45.160404624277461"/>
        <n v="57.805491329479764"/>
        <n v="56.008497109826585"/>
        <n v="54.247687861271686"/>
        <n v="56.430520231213869"/>
        <n v="59.980231213872827"/>
        <n v="52.348265895953766"/>
        <n v="49.901445086705209"/>
        <n v="59.896127167630041"/>
        <n v="51.565317919075142"/>
        <n v="51.706127167630058"/>
        <n v="51.942427745664737"/>
        <n v="52.8700578034682"/>
        <n v="52.761271676300574"/>
        <n v="49.421965317919074"/>
        <n v="56.628901734104048"/>
        <n v="46.664393063583823"/>
        <n v="53.24855491329479"/>
        <n v="48.624624277456647"/>
        <n v="47.939017341040469"/>
        <n v="55.830404624277463"/>
        <n v="52.244739884393063"/>
        <n v="56.108381502890175"/>
        <n v="51.538612716763005"/>
        <n v="52.038034682080927"/>
        <n v="60.369017341040461"/>
        <n v="57.622196531791921"/>
        <n v="51.950982658959539"/>
        <n v="48.495953757225436"/>
        <n v="48.515722543352595"/>
        <n v="50.893872832369958"/>
        <n v="50.947456647398852"/>
        <n v="48.641560693641615"/>
        <n v="49.04063583815028"/>
        <n v="53.713872832369944"/>
        <n v="54.816069364161848"/>
        <n v="51.587456647398838"/>
        <n v="49.617052023121389"/>
        <n v="47.198843930635839"/>
        <n v="43.902427745664738"/>
        <n v="44.914566473988437"/>
        <n v="44.966647398843932"/>
        <n v="46.095317919075143"/>
        <n v="45.416184971098268"/>
        <n v="44.277109826589594"/>
        <n v="45.2098265895953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n v="101"/>
    <n v="1"/>
    <n v="1"/>
    <s v="CDC_Austenson"/>
    <n v="1"/>
    <s v="No_PGR"/>
    <s v="Nasa - MIMBEE"/>
    <n v="1"/>
    <n v="1"/>
    <n v="8.65"/>
    <n v="13.9"/>
    <n v="68.400000000000006"/>
    <s v="admin"/>
    <d v="2024-08-21T00:00:00"/>
    <d v="1899-12-30T12:46:32"/>
    <n v="8"/>
    <s v=""/>
    <n v="0"/>
    <n v="0"/>
  </r>
  <r>
    <n v="102"/>
    <n v="1"/>
    <n v="2"/>
    <s v="CDC_Austenson"/>
    <n v="2"/>
    <s v="M62.5_21-24"/>
    <s v="Nasa - MIMBEE"/>
    <n v="1"/>
    <n v="2"/>
    <n v="8.7799999999999994"/>
    <n v="7.2"/>
    <n v="35.200000000000003"/>
    <s v="admin"/>
    <d v="2024-08-21T00:00:00"/>
    <d v="1899-12-30T12:47:55"/>
    <n v="9"/>
    <s v=""/>
    <n v="0"/>
    <n v="0"/>
  </r>
  <r>
    <n v="103"/>
    <n v="1"/>
    <n v="3"/>
    <s v="CDC_Austenson"/>
    <n v="3"/>
    <s v="M62.5_30-32"/>
    <s v="Nasa - MIMBEE"/>
    <n v="1"/>
    <n v="3"/>
    <n v="9.01"/>
    <n v="7.5"/>
    <n v="39.9"/>
    <s v="admin"/>
    <d v="2024-08-21T00:00:00"/>
    <d v="1899-12-30T12:53:22"/>
    <n v="16"/>
    <s v=""/>
    <n v="0"/>
    <n v="0"/>
  </r>
  <r>
    <n v="104"/>
    <n v="1"/>
    <n v="4"/>
    <s v="CDC_Austenson"/>
    <n v="4"/>
    <s v="M62.5_37"/>
    <s v="Nasa - MIMBEE"/>
    <n v="1"/>
    <n v="4"/>
    <n v="8.77"/>
    <n v="8.4"/>
    <n v="34.6"/>
    <s v="admin"/>
    <d v="2024-08-21T00:00:00"/>
    <d v="1899-12-30T12:54:36"/>
    <n v="17"/>
    <s v=""/>
    <n v="0"/>
    <n v="0"/>
  </r>
  <r>
    <n v="105"/>
    <n v="1"/>
    <n v="5"/>
    <s v="CDC_Austenson"/>
    <n v="5"/>
    <s v="M125_30-32"/>
    <s v="Nasa - MIMBEE"/>
    <n v="1"/>
    <n v="5"/>
    <n v="8.7100000000000009"/>
    <n v="7.3"/>
    <n v="41.3"/>
    <s v="admin"/>
    <d v="2024-08-21T00:00:00"/>
    <d v="1899-12-30T13:00:12"/>
    <n v="24"/>
    <s v=""/>
    <n v="0"/>
    <n v="0"/>
  </r>
  <r>
    <n v="106"/>
    <n v="1"/>
    <n v="6"/>
    <s v="CDC_Austenson"/>
    <n v="6"/>
    <s v="M125_37"/>
    <s v="Nasa - MIMBEE"/>
    <n v="1"/>
    <n v="6"/>
    <n v="16.739999999999998"/>
    <n v="16.399999999999999"/>
    <n v="66.099999999999994"/>
    <s v="admin"/>
    <d v="2024-08-21T00:00:00"/>
    <d v="1899-12-30T13:01:40"/>
    <n v="25"/>
    <s v=""/>
    <n v="0"/>
    <n v="0"/>
  </r>
  <r>
    <n v="107"/>
    <n v="1"/>
    <n v="7"/>
    <s v="CDC_Austenson"/>
    <n v="7"/>
    <s v="M62.5_21-24 + M62.5_37"/>
    <s v="Nasa - MIMBEE"/>
    <n v="1"/>
    <n v="7"/>
    <n v="9.41"/>
    <n v="12.6"/>
    <n v="47.6"/>
    <s v="admin"/>
    <d v="2024-08-21T00:00:00"/>
    <d v="1899-12-30T13:09:09"/>
    <n v="32"/>
    <s v=""/>
    <n v="0"/>
    <n v="0"/>
  </r>
  <r>
    <n v="108"/>
    <n v="1"/>
    <n v="8"/>
    <s v="CDC_Austenson"/>
    <n v="8"/>
    <s v="M62.5_21-24 + M62.5_30-32"/>
    <s v="Nasa - MIMBEE"/>
    <n v="1"/>
    <n v="8"/>
    <n v="8.9600000000000009"/>
    <n v="8.3000000000000007"/>
    <n v="40.1"/>
    <s v="admin"/>
    <d v="2024-08-21T00:00:00"/>
    <d v="1899-12-30T13:10:21"/>
    <n v="33"/>
    <s v=""/>
    <n v="0"/>
    <n v="0"/>
  </r>
  <r>
    <n v="109"/>
    <n v="1"/>
    <n v="9"/>
    <s v="CDC_Austenson"/>
    <n v="9"/>
    <s v="M62.5_30-32 + M62.5_37"/>
    <s v="Nasa - MIMBEE"/>
    <n v="1"/>
    <n v="9"/>
    <n v="9.4"/>
    <n v="19.2"/>
    <n v="62.7"/>
    <s v="admin"/>
    <d v="2024-08-21T00:00:00"/>
    <d v="1899-12-30T13:15:35"/>
    <n v="40"/>
    <s v=""/>
    <n v="0"/>
    <n v="0"/>
  </r>
  <r>
    <n v="110"/>
    <n v="1"/>
    <n v="10"/>
    <s v="AB_Hague"/>
    <n v="1"/>
    <s v="No_PGR"/>
    <s v="Nasa - MIMBEE"/>
    <n v="1"/>
    <n v="10"/>
    <n v="8.77"/>
    <n v="7.9"/>
    <n v="35.5"/>
    <s v="admin"/>
    <d v="2024-08-21T00:00:00"/>
    <d v="1899-12-30T13:16:47"/>
    <n v="41"/>
    <s v=""/>
    <n v="0"/>
    <n v="0"/>
  </r>
  <r>
    <n v="111"/>
    <n v="1"/>
    <n v="11"/>
    <s v="AB_Hague"/>
    <n v="2"/>
    <s v="M62.5_21-24"/>
    <s v="Nasa - MIMBEE"/>
    <n v="1"/>
    <n v="11"/>
    <n v="8.5"/>
    <n v="12.5"/>
    <n v="64.8"/>
    <s v="admin"/>
    <d v="2024-08-21T00:00:00"/>
    <d v="1899-12-30T13:22:23"/>
    <n v="48"/>
    <s v=""/>
    <n v="0"/>
    <n v="0"/>
  </r>
  <r>
    <n v="112"/>
    <n v="1"/>
    <n v="12"/>
    <s v="AB_Hague"/>
    <n v="3"/>
    <s v="M62.5_30-32"/>
    <s v="Nasa - MIMBEE"/>
    <n v="1"/>
    <n v="12"/>
    <n v="8.81"/>
    <n v="8.1"/>
    <n v="35.6"/>
    <s v="admin"/>
    <d v="2024-08-21T00:00:00"/>
    <d v="1899-12-30T13:23:43"/>
    <n v="49"/>
    <s v=""/>
    <n v="0"/>
    <n v="0"/>
  </r>
  <r>
    <n v="113"/>
    <n v="1"/>
    <n v="13"/>
    <s v="AB_Hague"/>
    <n v="4"/>
    <s v="M62.5_37"/>
    <s v="Nasa - MIMBEE"/>
    <n v="1"/>
    <n v="13"/>
    <n v="9.48"/>
    <n v="16.2"/>
    <n v="48.1"/>
    <s v="admin"/>
    <d v="2024-08-21T00:00:00"/>
    <d v="1899-12-30T13:29:27"/>
    <n v="56"/>
    <s v=""/>
    <n v="0"/>
    <n v="0"/>
  </r>
  <r>
    <n v="114"/>
    <n v="1"/>
    <n v="14"/>
    <s v="AB_Hague"/>
    <n v="5"/>
    <s v="M125_30-32"/>
    <s v="Nasa - MIMBEE"/>
    <n v="1"/>
    <n v="14"/>
    <n v="8.8800000000000008"/>
    <n v="8.8000000000000007"/>
    <n v="38.1"/>
    <s v="admin"/>
    <d v="2024-08-21T00:00:00"/>
    <d v="1899-12-30T13:30:36"/>
    <n v="57"/>
    <s v=""/>
    <n v="0"/>
    <n v="0"/>
  </r>
  <r>
    <n v="115"/>
    <n v="1"/>
    <n v="15"/>
    <s v="AB_Hague"/>
    <n v="6"/>
    <s v="M125_37"/>
    <s v="Nasa - MIMBEE"/>
    <n v="1"/>
    <n v="15"/>
    <n v="9.18"/>
    <n v="3.1"/>
    <n v="19.5"/>
    <s v="admin"/>
    <d v="2024-08-21T00:00:00"/>
    <d v="1899-12-30T13:54:33"/>
    <n v="64"/>
    <s v=""/>
    <n v="0"/>
    <n v="0"/>
  </r>
  <r>
    <n v="116"/>
    <n v="1"/>
    <n v="16"/>
    <s v="AB_Hague"/>
    <n v="7"/>
    <s v="M62.5_21-24 + M62.5_37"/>
    <s v="Nasa - MIMBEE"/>
    <n v="1"/>
    <n v="16"/>
    <n v="9.5399999999999991"/>
    <n v="15.4"/>
    <n v="50.5"/>
    <s v="admin"/>
    <d v="2024-08-21T00:00:00"/>
    <d v="1899-12-30T13:55:41"/>
    <n v="65"/>
    <s v=""/>
    <n v="0"/>
    <n v="0"/>
  </r>
  <r>
    <n v="117"/>
    <n v="1"/>
    <n v="17"/>
    <s v="AB_Hague"/>
    <n v="8"/>
    <s v="M62.5_21-24 + M62.5_30-32"/>
    <s v="Nasa - MIMBEE"/>
    <n v="1"/>
    <n v="17"/>
    <n v="9.31"/>
    <n v="12.6"/>
    <n v="47.9"/>
    <s v="admin"/>
    <d v="2024-08-21T00:00:00"/>
    <d v="1899-12-30T14:00:54"/>
    <n v="72"/>
    <s v=""/>
    <n v="0"/>
    <n v="0"/>
  </r>
  <r>
    <n v="118"/>
    <n v="1"/>
    <n v="18"/>
    <s v="AB_Hague"/>
    <n v="9"/>
    <s v="M62.5_30-32 + M62.5_37"/>
    <s v="Nasa - MIMBEE"/>
    <n v="1"/>
    <n v="18"/>
    <n v="9.24"/>
    <n v="14.1"/>
    <n v="48.8"/>
    <s v="admin"/>
    <d v="2024-08-21T00:00:00"/>
    <d v="1899-12-30T14:01:48"/>
    <n v="73"/>
    <s v=""/>
    <n v="0"/>
    <n v="0"/>
  </r>
  <r>
    <n v="119"/>
    <n v="1"/>
    <n v="19"/>
    <s v="Esma"/>
    <n v="1"/>
    <s v="No_PGR"/>
    <s v="Nasa - MIMBEE"/>
    <n v="1"/>
    <n v="19"/>
    <n v="8.66"/>
    <n v="7"/>
    <n v="34.299999999999997"/>
    <s v="admin"/>
    <d v="2024-08-21T00:00:00"/>
    <d v="1899-12-30T14:06:38"/>
    <n v="80"/>
    <s v=""/>
    <n v="0"/>
    <n v="0"/>
  </r>
  <r>
    <n v="120"/>
    <n v="1"/>
    <n v="20"/>
    <s v="Esma"/>
    <n v="2"/>
    <s v="M62.5_21-24"/>
    <s v="Nasa - MIMBEE"/>
    <n v="1"/>
    <n v="20"/>
    <n v="9.7799999999999994"/>
    <n v="14.6"/>
    <n v="55.9"/>
    <s v="admin"/>
    <d v="2024-08-21T00:00:00"/>
    <d v="1899-12-30T14:07:22"/>
    <n v="81"/>
    <s v=""/>
    <n v="0"/>
    <n v="0"/>
  </r>
  <r>
    <n v="121"/>
    <n v="1"/>
    <n v="21"/>
    <s v="Esma"/>
    <n v="3"/>
    <s v="M62.5_30-32"/>
    <s v="Nasa - MIMBEE"/>
    <n v="1"/>
    <n v="21"/>
    <n v="10.039999999999999"/>
    <n v="16.600000000000001"/>
    <n v="62.1"/>
    <s v="admin"/>
    <d v="2024-08-21T00:00:00"/>
    <d v="1899-12-30T14:12:26"/>
    <n v="88"/>
    <s v=""/>
    <n v="0"/>
    <n v="0"/>
  </r>
  <r>
    <n v="122"/>
    <n v="1"/>
    <n v="22"/>
    <s v="Esma"/>
    <n v="4"/>
    <s v="M62.5_37"/>
    <s v="Nasa - MIMBEE"/>
    <n v="1"/>
    <n v="22"/>
    <n v="9.15"/>
    <n v="7.2"/>
    <n v="43.8"/>
    <s v="admin"/>
    <d v="2024-08-21T00:00:00"/>
    <d v="1899-12-30T14:13:12"/>
    <n v="89"/>
    <s v=""/>
    <n v="0"/>
    <n v="0"/>
  </r>
  <r>
    <n v="123"/>
    <n v="1"/>
    <n v="23"/>
    <s v="Esma"/>
    <n v="5"/>
    <s v="M125_30-32"/>
    <s v="Nasa - MIMBEE"/>
    <n v="1"/>
    <n v="23"/>
    <n v="9.68"/>
    <n v="14.1"/>
    <n v="54.4"/>
    <s v="admin"/>
    <d v="2024-08-21T00:00:00"/>
    <d v="1899-12-30T14:18:11"/>
    <n v="96"/>
    <s v=""/>
    <n v="0"/>
    <n v="0"/>
  </r>
  <r>
    <n v="124"/>
    <n v="1"/>
    <n v="24"/>
    <s v="Esma"/>
    <n v="6"/>
    <s v="M125_37"/>
    <s v="Nasa - MIMBEE"/>
    <n v="1"/>
    <n v="24"/>
    <n v="9.43"/>
    <n v="11.3"/>
    <n v="52.1"/>
    <s v="admin"/>
    <d v="2024-08-21T00:00:00"/>
    <d v="1899-12-30T14:19:00"/>
    <n v="97"/>
    <s v=""/>
    <n v="0"/>
    <n v="0"/>
  </r>
  <r>
    <n v="125"/>
    <n v="1"/>
    <n v="25"/>
    <s v="Esma"/>
    <n v="7"/>
    <s v="M62.5_21-24 + M62.5_37"/>
    <s v="Nasa - MIMBEE"/>
    <n v="1"/>
    <n v="25"/>
    <n v="9.9"/>
    <n v="14.5"/>
    <n v="61.2"/>
    <s v="admin"/>
    <d v="2024-08-21T00:00:00"/>
    <d v="1899-12-30T14:24:47"/>
    <n v="104"/>
    <s v=""/>
    <n v="0"/>
    <n v="0"/>
  </r>
  <r>
    <n v="126"/>
    <n v="1"/>
    <n v="26"/>
    <s v="Esma"/>
    <n v="8"/>
    <s v="M62.5_21-24 + M62.5_30-32"/>
    <s v="Nasa - MIMBEE"/>
    <n v="1"/>
    <n v="26"/>
    <n v="9.4600000000000009"/>
    <n v="11.6"/>
    <n v="49.9"/>
    <s v="admin"/>
    <d v="2024-08-21T00:00:00"/>
    <d v="1899-12-30T14:25:32"/>
    <n v="105"/>
    <s v=""/>
    <n v="0"/>
    <n v="0"/>
  </r>
  <r>
    <n v="127"/>
    <n v="1"/>
    <n v="27"/>
    <s v="Esma"/>
    <n v="9"/>
    <s v="M62.5_30-32 + M62.5_37"/>
    <s v="Nasa - MIMBEE"/>
    <n v="1"/>
    <n v="27"/>
    <n v="10.26"/>
    <n v="14.4"/>
    <n v="63.8"/>
    <s v="admin"/>
    <d v="2024-08-21T00:00:00"/>
    <d v="1899-12-30T14:30:55"/>
    <n v="112"/>
    <s v=""/>
    <n v="0"/>
    <n v="0"/>
  </r>
  <r>
    <n v="201"/>
    <n v="2"/>
    <n v="27"/>
    <s v="Esma"/>
    <n v="9"/>
    <s v="M62.5_30-32 + M62.5_37"/>
    <s v="Nasa - MIMBEE"/>
    <n v="2"/>
    <n v="1"/>
    <n v="8.48"/>
    <n v="14.3"/>
    <n v="64.5"/>
    <s v="admin"/>
    <d v="2024-08-21T00:00:00"/>
    <d v="1899-12-30T12:38:51"/>
    <n v="7"/>
    <s v=""/>
    <n v="0"/>
    <n v="0"/>
  </r>
  <r>
    <n v="202"/>
    <n v="2"/>
    <n v="26"/>
    <s v="Esma"/>
    <n v="8"/>
    <s v="M62.5_21-24 + M62.5_30-32"/>
    <s v="Nasa - MIMBEE"/>
    <n v="2"/>
    <n v="2"/>
    <n v="8.2200000000000006"/>
    <n v="13.9"/>
    <n v="65.7"/>
    <s v="admin"/>
    <d v="2024-08-21T00:00:00"/>
    <d v="1899-12-30T12:48:36"/>
    <n v="10"/>
    <s v=""/>
    <n v="0"/>
    <n v="0"/>
  </r>
  <r>
    <n v="203"/>
    <n v="2"/>
    <n v="24"/>
    <s v="Esma"/>
    <n v="6"/>
    <s v="M125_37"/>
    <s v="Nasa - MIMBEE"/>
    <n v="2"/>
    <n v="3"/>
    <n v="8.18"/>
    <n v="14.4"/>
    <n v="64.400000000000006"/>
    <s v="admin"/>
    <d v="2024-08-21T00:00:00"/>
    <d v="1899-12-30T12:52:21"/>
    <n v="15"/>
    <s v=""/>
    <n v="0"/>
    <n v="0"/>
  </r>
  <r>
    <n v="204"/>
    <n v="2"/>
    <n v="22"/>
    <s v="Esma"/>
    <n v="4"/>
    <s v="M62.5_37"/>
    <s v="Nasa - MIMBEE"/>
    <n v="2"/>
    <n v="4"/>
    <n v="7.98"/>
    <n v="16.2"/>
    <n v="65.5"/>
    <s v="admin"/>
    <d v="2024-08-21T00:00:00"/>
    <d v="1899-12-30T12:55:09"/>
    <n v="18"/>
    <s v=""/>
    <n v="0"/>
    <n v="0"/>
  </r>
  <r>
    <n v="205"/>
    <n v="2"/>
    <n v="19"/>
    <s v="Esma"/>
    <n v="1"/>
    <s v="No_PGR"/>
    <s v="Nasa - MIMBEE"/>
    <n v="2"/>
    <n v="5"/>
    <n v="8.8000000000000007"/>
    <n v="8"/>
    <n v="36.299999999999997"/>
    <s v="admin"/>
    <d v="2024-08-21T00:00:00"/>
    <d v="1899-12-30T12:59:18"/>
    <n v="23"/>
    <s v=""/>
    <n v="0"/>
    <n v="0"/>
  </r>
  <r>
    <n v="206"/>
    <n v="2"/>
    <n v="25"/>
    <s v="Esma"/>
    <n v="7"/>
    <s v="M62.5_21-24 + M62.5_37"/>
    <s v="Nasa - MIMBEE"/>
    <n v="2"/>
    <n v="6"/>
    <m/>
    <m/>
    <m/>
    <s v="admin"/>
    <d v="2024-08-21T00:00:00"/>
    <d v="1899-12-30T13:02:19"/>
    <n v="26"/>
    <s v="cycled too early no bag or weight 106 maybe alsp bad_x000a_"/>
    <n v="0"/>
    <n v="0"/>
  </r>
  <r>
    <n v="207"/>
    <n v="2"/>
    <n v="23"/>
    <s v="Esma"/>
    <n v="5"/>
    <s v="M125_30-32"/>
    <s v="Nasa - MIMBEE"/>
    <n v="2"/>
    <n v="7"/>
    <n v="9.32"/>
    <n v="9.8000000000000007"/>
    <n v="42.8"/>
    <s v="admin"/>
    <d v="2024-08-21T00:00:00"/>
    <d v="1899-12-30T13:08:22"/>
    <n v="31"/>
    <s v=""/>
    <n v="0"/>
    <n v="0"/>
  </r>
  <r>
    <n v="208"/>
    <n v="2"/>
    <n v="21"/>
    <s v="Esma"/>
    <n v="3"/>
    <s v="M62.5_30-32"/>
    <s v="Nasa - MIMBEE"/>
    <n v="2"/>
    <n v="8"/>
    <n v="8.44"/>
    <n v="16.5"/>
    <n v="65.900000000000006"/>
    <s v="admin"/>
    <d v="2024-08-21T00:00:00"/>
    <d v="1899-12-30T13:10:56"/>
    <n v="34"/>
    <s v=""/>
    <n v="0"/>
    <n v="0"/>
  </r>
  <r>
    <n v="209"/>
    <n v="2"/>
    <n v="20"/>
    <s v="Esma"/>
    <n v="2"/>
    <s v="M62.5_21-24"/>
    <s v="Nasa - MIMBEE"/>
    <n v="2"/>
    <n v="9"/>
    <n v="8.6199999999999992"/>
    <n v="15.5"/>
    <n v="65.8"/>
    <s v="admin"/>
    <d v="2024-08-21T00:00:00"/>
    <d v="1899-12-30T13:14:45"/>
    <n v="39"/>
    <s v=""/>
    <n v="0"/>
    <n v="0"/>
  </r>
  <r>
    <n v="210"/>
    <n v="2"/>
    <n v="8"/>
    <s v="CDC_Austenson"/>
    <n v="8"/>
    <s v="M62.5_21-24 + M62.5_30-32"/>
    <s v="Nasa - MIMBEE"/>
    <n v="2"/>
    <n v="10"/>
    <n v="8.6"/>
    <n v="14.9"/>
    <n v="68.400000000000006"/>
    <s v="admin"/>
    <d v="2024-08-21T00:00:00"/>
    <d v="1899-12-30T13:17:19"/>
    <n v="42"/>
    <s v=""/>
    <n v="0"/>
    <n v="0"/>
  </r>
  <r>
    <n v="211"/>
    <n v="2"/>
    <n v="1"/>
    <s v="CDC_Austenson"/>
    <n v="1"/>
    <s v="No_PGR"/>
    <s v="Nasa - MIMBEE"/>
    <n v="2"/>
    <n v="11"/>
    <n v="8.98"/>
    <n v="7.8"/>
    <n v="40.4"/>
    <s v="admin"/>
    <d v="2024-08-21T00:00:00"/>
    <d v="1899-12-30T13:21:44"/>
    <n v="47"/>
    <s v=""/>
    <n v="0"/>
    <n v="0"/>
  </r>
  <r>
    <n v="212"/>
    <n v="2"/>
    <n v="2"/>
    <s v="CDC_Austenson"/>
    <n v="2"/>
    <s v="M62.5_21-24"/>
    <s v="Nasa - MIMBEE"/>
    <n v="2"/>
    <n v="12"/>
    <n v="8.6"/>
    <n v="15.7"/>
    <n v="69.400000000000006"/>
    <s v="admin"/>
    <d v="2024-08-21T00:00:00"/>
    <d v="1899-12-30T13:24:15"/>
    <n v="50"/>
    <s v=""/>
    <n v="0"/>
    <n v="0"/>
  </r>
  <r>
    <n v="213"/>
    <n v="2"/>
    <n v="6"/>
    <s v="CDC_Austenson"/>
    <n v="6"/>
    <s v="M125_37"/>
    <s v="Nasa - MIMBEE"/>
    <n v="2"/>
    <n v="13"/>
    <n v="8.75"/>
    <n v="7.9"/>
    <n v="35.9"/>
    <s v="admin"/>
    <d v="2024-08-21T00:00:00"/>
    <d v="1899-12-30T13:28:32"/>
    <n v="55"/>
    <s v=""/>
    <n v="0"/>
    <n v="0"/>
  </r>
  <r>
    <n v="214"/>
    <n v="2"/>
    <n v="9"/>
    <s v="CDC_Austenson"/>
    <n v="9"/>
    <s v="M62.5_30-32 + M62.5_37"/>
    <s v="Nasa - MIMBEE"/>
    <n v="2"/>
    <n v="14"/>
    <n v="8.74"/>
    <n v="7.5"/>
    <n v="37.1"/>
    <s v="admin"/>
    <d v="2024-08-21T00:00:00"/>
    <d v="1899-12-30T13:31:24"/>
    <n v="58"/>
    <s v=""/>
    <n v="0"/>
    <n v="0"/>
  </r>
  <r>
    <n v="215"/>
    <n v="2"/>
    <n v="4"/>
    <s v="CDC_Austenson"/>
    <n v="4"/>
    <s v="M62.5_37"/>
    <s v="Nasa - MIMBEE"/>
    <n v="2"/>
    <n v="15"/>
    <n v="8.16"/>
    <n v="15.7"/>
    <n v="68.5"/>
    <s v="admin"/>
    <d v="2024-08-21T00:00:00"/>
    <d v="1899-12-30T13:38:54"/>
    <n v="63"/>
    <s v=""/>
    <n v="0"/>
    <n v="0"/>
  </r>
  <r>
    <n v="216"/>
    <n v="2"/>
    <n v="5"/>
    <s v="CDC_Austenson"/>
    <n v="5"/>
    <s v="M125_30-32"/>
    <s v="Nasa - MIMBEE"/>
    <n v="2"/>
    <n v="16"/>
    <n v="8.52"/>
    <n v="14.9"/>
    <n v="69.3"/>
    <s v="admin"/>
    <d v="2024-08-21T00:00:00"/>
    <d v="1899-12-30T13:56:26"/>
    <n v="66"/>
    <s v=""/>
    <n v="0"/>
    <n v="0"/>
  </r>
  <r>
    <n v="217"/>
    <n v="2"/>
    <n v="3"/>
    <s v="CDC_Austenson"/>
    <n v="3"/>
    <s v="M62.5_30-32"/>
    <s v="Nasa - MIMBEE"/>
    <n v="2"/>
    <n v="17"/>
    <n v="8.7100000000000009"/>
    <n v="7.6"/>
    <n v="36.200000000000003"/>
    <s v="admin"/>
    <d v="2024-08-21T00:00:00"/>
    <d v="1899-12-30T14:00:10"/>
    <n v="71"/>
    <s v=""/>
    <n v="0"/>
    <n v="0"/>
  </r>
  <r>
    <n v="218"/>
    <n v="2"/>
    <n v="7"/>
    <s v="CDC_Austenson"/>
    <n v="7"/>
    <s v="M62.5_21-24 + M62.5_37"/>
    <s v="Nasa - MIMBEE"/>
    <n v="2"/>
    <n v="18"/>
    <n v="8.64"/>
    <n v="7.5"/>
    <n v="35"/>
    <s v="admin"/>
    <d v="2024-08-21T00:00:00"/>
    <d v="1899-12-30T14:02:33"/>
    <n v="74"/>
    <s v=""/>
    <n v="0"/>
    <n v="0"/>
  </r>
  <r>
    <n v="219"/>
    <n v="2"/>
    <n v="12"/>
    <s v="AB_Hague"/>
    <n v="3"/>
    <s v="M62.5_30-32"/>
    <s v="Nasa - MIMBEE"/>
    <n v="2"/>
    <n v="19"/>
    <n v="8.4600000000000009"/>
    <n v="14.3"/>
    <n v="66.7"/>
    <s v="admin"/>
    <d v="2024-08-21T00:00:00"/>
    <d v="1899-12-30T14:05:42"/>
    <n v="79"/>
    <s v=""/>
    <n v="0"/>
    <n v="0"/>
  </r>
  <r>
    <n v="220"/>
    <n v="2"/>
    <n v="11"/>
    <s v="AB_Hague"/>
    <n v="2"/>
    <s v="M62.5_21-24"/>
    <s v="Nasa - MIMBEE"/>
    <n v="2"/>
    <n v="20"/>
    <n v="8.57"/>
    <n v="14.3"/>
    <n v="67.599999999999994"/>
    <s v="admin"/>
    <d v="2024-08-21T00:00:00"/>
    <d v="1899-12-30T14:07:58"/>
    <n v="82"/>
    <s v=""/>
    <n v="0"/>
    <n v="0"/>
  </r>
  <r>
    <n v="221"/>
    <n v="2"/>
    <n v="18"/>
    <s v="AB_Hague"/>
    <n v="9"/>
    <s v="M62.5_30-32 + M62.5_37"/>
    <s v="Nasa - MIMBEE"/>
    <n v="2"/>
    <n v="21"/>
    <n v="8.48"/>
    <n v="15.9"/>
    <n v="66.7"/>
    <s v="admin"/>
    <d v="2024-08-21T00:00:00"/>
    <d v="1899-12-30T14:11:28"/>
    <n v="87"/>
    <s v=""/>
    <n v="0"/>
    <n v="0"/>
  </r>
  <r>
    <n v="222"/>
    <n v="2"/>
    <n v="13"/>
    <s v="AB_Hague"/>
    <n v="4"/>
    <s v="M62.5_37"/>
    <s v="Nasa - MIMBEE"/>
    <n v="2"/>
    <n v="22"/>
    <n v="8.93"/>
    <n v="7.3"/>
    <n v="40.1"/>
    <s v="admin"/>
    <d v="2024-08-21T00:00:00"/>
    <d v="1899-12-30T14:13:59"/>
    <n v="90"/>
    <s v=""/>
    <n v="0"/>
    <n v="0"/>
  </r>
  <r>
    <n v="223"/>
    <n v="2"/>
    <n v="14"/>
    <s v="AB_Hague"/>
    <n v="5"/>
    <s v="M125_30-32"/>
    <s v="Nasa - MIMBEE"/>
    <n v="2"/>
    <n v="23"/>
    <n v="9.41"/>
    <n v="13.7"/>
    <n v="50.8"/>
    <s v="admin"/>
    <d v="2024-08-21T00:00:00"/>
    <d v="1899-12-30T14:17:26"/>
    <n v="95"/>
    <s v=""/>
    <n v="0"/>
    <n v="0"/>
  </r>
  <r>
    <n v="224"/>
    <n v="2"/>
    <n v="16"/>
    <s v="AB_Hague"/>
    <n v="7"/>
    <s v="M62.5_21-24 + M62.5_37"/>
    <s v="Nasa - MIMBEE"/>
    <n v="2"/>
    <n v="24"/>
    <n v="8.94"/>
    <n v="7.6"/>
    <n v="40.9"/>
    <s v="admin"/>
    <d v="2024-08-21T00:00:00"/>
    <d v="1899-12-30T14:19:48"/>
    <n v="98"/>
    <s v=""/>
    <n v="0"/>
    <n v="0"/>
  </r>
  <r>
    <n v="225"/>
    <n v="2"/>
    <n v="15"/>
    <s v="AB_Hague"/>
    <n v="6"/>
    <s v="M125_37"/>
    <s v="Nasa - MIMBEE"/>
    <n v="2"/>
    <n v="25"/>
    <n v="9.01"/>
    <n v="8"/>
    <n v="41.7"/>
    <s v="admin"/>
    <d v="2024-08-21T00:00:00"/>
    <d v="1899-12-30T14:23:57"/>
    <n v="103"/>
    <s v=""/>
    <n v="0"/>
    <n v="0"/>
  </r>
  <r>
    <n v="226"/>
    <n v="2"/>
    <n v="10"/>
    <s v="AB_Hague"/>
    <n v="1"/>
    <s v="No_PGR"/>
    <s v="Nasa - MIMBEE"/>
    <n v="2"/>
    <n v="26"/>
    <n v="9.23"/>
    <n v="10.4"/>
    <n v="47.6"/>
    <s v="admin"/>
    <d v="2024-08-21T00:00:00"/>
    <d v="1899-12-30T14:26:30"/>
    <n v="106"/>
    <s v=""/>
    <n v="0"/>
    <n v="0"/>
  </r>
  <r>
    <n v="227"/>
    <n v="2"/>
    <n v="17"/>
    <s v="AB_Hague"/>
    <n v="8"/>
    <s v="M62.5_21-24 + M62.5_30-32"/>
    <s v="Nasa - MIMBEE"/>
    <n v="2"/>
    <n v="27"/>
    <n v="9.44"/>
    <n v="9.9"/>
    <n v="48.2"/>
    <s v="admin"/>
    <d v="2024-08-21T00:00:00"/>
    <d v="1899-12-30T14:30:03"/>
    <n v="111"/>
    <s v=""/>
    <n v="0"/>
    <n v="0"/>
  </r>
  <r>
    <n v="301"/>
    <n v="3"/>
    <n v="11"/>
    <s v="AB_Hague"/>
    <n v="2"/>
    <s v="M62.5_21-24"/>
    <s v="Nasa - MIMBEE"/>
    <n v="3"/>
    <n v="1"/>
    <n v="8.65"/>
    <n v="10.1"/>
    <n v="65.099999999999994"/>
    <s v="admin"/>
    <d v="2024-08-21T00:00:00"/>
    <d v="1899-12-30T12:35:11"/>
    <n v="5"/>
    <s v=""/>
    <n v="0"/>
    <n v="0"/>
  </r>
  <r>
    <n v="302"/>
    <n v="3"/>
    <n v="15"/>
    <s v="AB_Hague"/>
    <n v="6"/>
    <s v="M125_37"/>
    <s v="Nasa - MIMBEE"/>
    <n v="3"/>
    <n v="2"/>
    <n v="8.4"/>
    <n v="12.9"/>
    <n v="65.599999999999994"/>
    <s v="admin"/>
    <d v="2024-08-21T00:00:00"/>
    <d v="1899-12-30T12:49:15"/>
    <n v="11"/>
    <s v=""/>
    <n v="0"/>
    <n v="0"/>
  </r>
  <r>
    <n v="303"/>
    <n v="3"/>
    <n v="18"/>
    <s v="AB_Hague"/>
    <n v="9"/>
    <s v="M62.5_30-32 + M62.5_37"/>
    <s v="Nasa - MIMBEE"/>
    <n v="3"/>
    <n v="3"/>
    <n v="8.5500000000000007"/>
    <n v="9.9"/>
    <n v="65.8"/>
    <s v="admin"/>
    <d v="2024-08-21T00:00:00"/>
    <d v="1899-12-30T12:51:49"/>
    <n v="14"/>
    <s v=""/>
    <n v="0"/>
    <n v="0"/>
  </r>
  <r>
    <n v="304"/>
    <n v="3"/>
    <n v="14"/>
    <s v="AB_Hague"/>
    <n v="5"/>
    <s v="M125_30-32"/>
    <s v="Nasa - MIMBEE"/>
    <n v="3"/>
    <n v="4"/>
    <n v="8.41"/>
    <n v="6.4"/>
    <n v="47.9"/>
    <s v="admin"/>
    <d v="2024-08-21T00:00:00"/>
    <d v="1899-12-30T12:55:59"/>
    <n v="19"/>
    <s v=""/>
    <n v="0"/>
    <n v="0"/>
  </r>
  <r>
    <n v="305"/>
    <n v="3"/>
    <n v="10"/>
    <s v="AB_Hague"/>
    <n v="1"/>
    <s v="No_PGR"/>
    <s v="Nasa - MIMBEE"/>
    <n v="3"/>
    <n v="5"/>
    <n v="8.4"/>
    <n v="6.2"/>
    <n v="47.1"/>
    <s v="admin"/>
    <d v="2024-08-21T00:00:00"/>
    <d v="1899-12-30T12:58:25"/>
    <n v="22"/>
    <s v=""/>
    <n v="0"/>
    <n v="0"/>
  </r>
  <r>
    <n v="306"/>
    <n v="3"/>
    <n v="13"/>
    <s v="AB_Hague"/>
    <n v="4"/>
    <s v="M62.5_37"/>
    <s v="Nasa - MIMBEE"/>
    <n v="3"/>
    <n v="6"/>
    <n v="8.27"/>
    <n v="10.3"/>
    <n v="66.400000000000006"/>
    <s v="admin"/>
    <d v="2024-08-21T00:00:00"/>
    <d v="1899-12-30T13:04:48"/>
    <n v="27"/>
    <s v=""/>
    <n v="0"/>
    <n v="0"/>
  </r>
  <r>
    <n v="307"/>
    <n v="3"/>
    <n v="16"/>
    <s v="AB_Hague"/>
    <n v="7"/>
    <s v="M62.5_21-24 + M62.5_37"/>
    <s v="Nasa - MIMBEE"/>
    <n v="3"/>
    <n v="7"/>
    <n v="8.5399999999999991"/>
    <n v="10.8"/>
    <n v="66"/>
    <s v="admin"/>
    <d v="2024-08-21T00:00:00"/>
    <d v="1899-12-30T13:07:22"/>
    <n v="30"/>
    <s v=""/>
    <n v="0"/>
    <n v="0"/>
  </r>
  <r>
    <n v="308"/>
    <n v="3"/>
    <n v="17"/>
    <s v="AB_Hague"/>
    <n v="8"/>
    <s v="M62.5_21-24 + M62.5_30-32"/>
    <s v="Nasa - MIMBEE"/>
    <n v="3"/>
    <n v="8"/>
    <n v="8.49"/>
    <n v="10.7"/>
    <n v="65.900000000000006"/>
    <s v="admin"/>
    <d v="2024-08-21T00:00:00"/>
    <d v="1899-12-30T13:11:36"/>
    <n v="35"/>
    <s v=""/>
    <n v="0"/>
    <n v="0"/>
  </r>
  <r>
    <n v="309"/>
    <n v="3"/>
    <n v="12"/>
    <s v="AB_Hague"/>
    <n v="3"/>
    <s v="M62.5_30-32"/>
    <s v="Nasa - MIMBEE"/>
    <n v="3"/>
    <n v="9"/>
    <n v="8.64"/>
    <n v="5.3"/>
    <n v="35.4"/>
    <s v="admin"/>
    <d v="2024-08-21T00:00:00"/>
    <d v="1899-12-30T13:14:06"/>
    <n v="38"/>
    <s v=""/>
    <n v="0"/>
    <n v="0"/>
  </r>
  <r>
    <n v="310"/>
    <n v="3"/>
    <n v="26"/>
    <s v="Esma"/>
    <n v="8"/>
    <s v="M62.5_21-24 + M62.5_30-32"/>
    <s v="Nasa - MIMBEE"/>
    <n v="3"/>
    <n v="10"/>
    <n v="8.9499999999999993"/>
    <n v="6.1"/>
    <n v="38.9"/>
    <s v="admin"/>
    <d v="2024-08-21T00:00:00"/>
    <d v="1899-12-30T13:18:13"/>
    <n v="43"/>
    <s v=""/>
    <n v="0"/>
    <n v="0"/>
  </r>
  <r>
    <n v="311"/>
    <n v="3"/>
    <n v="19"/>
    <s v="Esma"/>
    <n v="1"/>
    <s v="No_PGR"/>
    <s v="Nasa - MIMBEE"/>
    <n v="3"/>
    <n v="11"/>
    <n v="9.2799999999999994"/>
    <n v="7.1"/>
    <n v="44.9"/>
    <s v="admin"/>
    <d v="2024-08-21T00:00:00"/>
    <d v="1899-12-30T13:20:57"/>
    <n v="46"/>
    <s v=""/>
    <n v="0"/>
    <n v="0"/>
  </r>
  <r>
    <n v="312"/>
    <n v="3"/>
    <n v="25"/>
    <s v="Esma"/>
    <n v="7"/>
    <s v="M62.5_21-24 + M62.5_37"/>
    <s v="Nasa - MIMBEE"/>
    <n v="3"/>
    <n v="12"/>
    <n v="9.42"/>
    <n v="9.5"/>
    <n v="46.7"/>
    <s v="admin"/>
    <d v="2024-08-21T00:00:00"/>
    <d v="1899-12-30T13:25:05"/>
    <n v="51"/>
    <s v=""/>
    <n v="0"/>
    <n v="0"/>
  </r>
  <r>
    <n v="313"/>
    <n v="3"/>
    <n v="27"/>
    <s v="Esma"/>
    <n v="9"/>
    <s v="M62.5_30-32 + M62.5_37"/>
    <s v="Nasa - MIMBEE"/>
    <n v="3"/>
    <n v="13"/>
    <n v="9.18"/>
    <n v="6.4"/>
    <n v="43"/>
    <s v="admin"/>
    <d v="2024-08-21T00:00:00"/>
    <d v="1899-12-30T13:27:41"/>
    <n v="54"/>
    <s v=""/>
    <n v="0"/>
    <n v="0"/>
  </r>
  <r>
    <n v="314"/>
    <n v="3"/>
    <n v="20"/>
    <s v="Esma"/>
    <n v="2"/>
    <s v="M62.5_21-24"/>
    <s v="Nasa - MIMBEE"/>
    <n v="3"/>
    <n v="14"/>
    <n v="8.8800000000000008"/>
    <n v="2.2000000000000002"/>
    <n v="16.2"/>
    <s v="admin"/>
    <d v="2024-08-21T00:00:00"/>
    <d v="1899-12-30T13:35:33"/>
    <n v="59"/>
    <s v=""/>
    <n v="0"/>
    <n v="0"/>
  </r>
  <r>
    <n v="315"/>
    <n v="3"/>
    <n v="24"/>
    <s v="Esma"/>
    <n v="6"/>
    <s v="M125_37"/>
    <s v="Nasa - MIMBEE"/>
    <n v="3"/>
    <n v="15"/>
    <n v="8.6"/>
    <n v="12.5"/>
    <n v="64.3"/>
    <s v="admin"/>
    <d v="2024-08-21T00:00:00"/>
    <d v="1899-12-30T13:37:57"/>
    <n v="62"/>
    <s v=""/>
    <n v="0"/>
    <n v="0"/>
  </r>
  <r>
    <n v="316"/>
    <n v="3"/>
    <n v="21"/>
    <s v="Esma"/>
    <n v="3"/>
    <s v="M62.5_30-32"/>
    <s v="Nasa - MIMBEE"/>
    <n v="3"/>
    <n v="16"/>
    <n v="8.98"/>
    <n v="14.1"/>
    <n v="64.400000000000006"/>
    <s v="admin"/>
    <d v="2024-08-21T00:00:00"/>
    <d v="1899-12-30T13:57:15"/>
    <n v="67"/>
    <s v=""/>
    <n v="0"/>
    <n v="0"/>
  </r>
  <r>
    <n v="317"/>
    <n v="3"/>
    <n v="22"/>
    <s v="Esma"/>
    <n v="4"/>
    <s v="M62.5_37"/>
    <s v="Nasa - MIMBEE"/>
    <n v="3"/>
    <n v="17"/>
    <n v="9.0399999999999991"/>
    <n v="6.9"/>
    <n v="41.7"/>
    <s v="admin"/>
    <d v="2024-08-21T00:00:00"/>
    <d v="1899-12-30T13:59:19"/>
    <n v="70"/>
    <s v=""/>
    <n v="0"/>
    <n v="0"/>
  </r>
  <r>
    <n v="318"/>
    <n v="3"/>
    <n v="23"/>
    <s v="Esma"/>
    <n v="5"/>
    <s v="M125_30-32"/>
    <s v="Nasa - MIMBEE"/>
    <n v="3"/>
    <n v="18"/>
    <n v="9.4499999999999993"/>
    <n v="11.5"/>
    <n v="49.4"/>
    <s v="admin"/>
    <d v="2024-08-21T00:00:00"/>
    <d v="1899-12-30T14:03:18"/>
    <n v="75"/>
    <s v=""/>
    <n v="0"/>
    <n v="0"/>
  </r>
  <r>
    <n v="319"/>
    <n v="3"/>
    <n v="6"/>
    <s v="CDC_Austenson"/>
    <n v="6"/>
    <s v="M125_37"/>
    <s v="Nasa - MIMBEE"/>
    <n v="3"/>
    <n v="19"/>
    <n v="8.65"/>
    <n v="7.4"/>
    <n v="36.299999999999997"/>
    <s v="admin"/>
    <d v="2024-08-21T00:00:00"/>
    <d v="1899-12-30T14:05:12"/>
    <n v="78"/>
    <s v=""/>
    <n v="0"/>
    <n v="0"/>
  </r>
  <r>
    <n v="320"/>
    <n v="3"/>
    <n v="4"/>
    <s v="CDC_Austenson"/>
    <n v="4"/>
    <s v="M62.5_37"/>
    <s v="Nasa - MIMBEE"/>
    <n v="3"/>
    <n v="20"/>
    <n v="8.7100000000000009"/>
    <n v="6.2"/>
    <n v="35.1"/>
    <s v="admin"/>
    <d v="2024-08-21T00:00:00"/>
    <d v="1899-12-30T14:08:54"/>
    <n v="83"/>
    <s v=""/>
    <n v="0"/>
    <n v="0"/>
  </r>
  <r>
    <n v="321"/>
    <n v="3"/>
    <n v="9"/>
    <s v="CDC_Austenson"/>
    <n v="9"/>
    <s v="M62.5_30-32 + M62.5_37"/>
    <s v="Nasa - MIMBEE"/>
    <n v="3"/>
    <n v="21"/>
    <n v="9.2200000000000006"/>
    <n v="5.9"/>
    <n v="45.5"/>
    <s v="admin"/>
    <d v="2024-08-21T00:00:00"/>
    <d v="1899-12-30T14:10:57"/>
    <n v="86"/>
    <s v=""/>
    <n v="0"/>
    <n v="0"/>
  </r>
  <r>
    <n v="322"/>
    <n v="3"/>
    <n v="3"/>
    <s v="CDC_Austenson"/>
    <n v="3"/>
    <s v="M62.5_30-32"/>
    <s v="Nasa - MIMBEE"/>
    <n v="3"/>
    <n v="22"/>
    <n v="8.9"/>
    <n v="5.9"/>
    <n v="40.4"/>
    <s v="admin"/>
    <d v="2024-08-21T00:00:00"/>
    <d v="1899-12-30T14:14:41"/>
    <n v="91"/>
    <s v=""/>
    <n v="0"/>
    <n v="0"/>
  </r>
  <r>
    <n v="323"/>
    <n v="3"/>
    <n v="5"/>
    <s v="CDC_Austenson"/>
    <n v="5"/>
    <s v="M125_30-32"/>
    <s v="Nasa - MIMBEE"/>
    <n v="3"/>
    <n v="23"/>
    <n v="9.4"/>
    <n v="10"/>
    <n v="49.6"/>
    <s v="admin"/>
    <d v="2024-08-21T00:00:00"/>
    <d v="1899-12-30T14:16:40"/>
    <n v="94"/>
    <s v=""/>
    <n v="0"/>
    <n v="0"/>
  </r>
  <r>
    <n v="324"/>
    <n v="3"/>
    <n v="1"/>
    <s v="CDC_Austenson"/>
    <n v="1"/>
    <s v="No_PGR"/>
    <s v="Nasa - MIMBEE"/>
    <n v="3"/>
    <n v="24"/>
    <n v="8.9700000000000006"/>
    <n v="5.8"/>
    <n v="41.2"/>
    <s v="admin"/>
    <d v="2024-08-21T00:00:00"/>
    <d v="1899-12-30T14:20:41"/>
    <n v="99"/>
    <s v=""/>
    <n v="0"/>
    <n v="0"/>
  </r>
  <r>
    <n v="325"/>
    <n v="3"/>
    <n v="7"/>
    <s v="CDC_Austenson"/>
    <n v="7"/>
    <s v="M62.5_21-24 + M62.5_37"/>
    <s v="Nasa - MIMBEE"/>
    <n v="3"/>
    <n v="25"/>
    <n v="9.59"/>
    <n v="14.3"/>
    <n v="67.2"/>
    <s v="admin"/>
    <d v="2024-08-21T00:00:00"/>
    <d v="1899-12-30T14:23:11"/>
    <n v="102"/>
    <s v=""/>
    <n v="0"/>
    <n v="0"/>
  </r>
  <r>
    <n v="326"/>
    <n v="3"/>
    <n v="2"/>
    <s v="CDC_Austenson"/>
    <n v="2"/>
    <s v="M62.5_21-24"/>
    <s v="Nasa - MIMBEE"/>
    <n v="3"/>
    <n v="26"/>
    <n v="8.74"/>
    <n v="6"/>
    <n v="35.4"/>
    <s v="admin"/>
    <d v="2024-08-21T00:00:00"/>
    <d v="1899-12-30T14:27:20"/>
    <n v="107"/>
    <s v=""/>
    <n v="0"/>
    <n v="0"/>
  </r>
  <r>
    <n v="327"/>
    <n v="3"/>
    <n v="8"/>
    <s v="CDC_Austenson"/>
    <n v="8"/>
    <s v="M62.5_21-24 + M62.5_30-32"/>
    <s v="Nasa - MIMBEE"/>
    <n v="3"/>
    <n v="27"/>
    <n v="9.44"/>
    <n v="10.7"/>
    <n v="53"/>
    <s v="admin"/>
    <d v="2024-08-21T00:00:00"/>
    <d v="1899-12-30T14:29:12"/>
    <n v="110"/>
    <s v=""/>
    <n v="0"/>
    <n v="0"/>
  </r>
  <r>
    <n v="401"/>
    <n v="4"/>
    <n v="23"/>
    <s v="Esma"/>
    <n v="5"/>
    <s v="M125_30-32"/>
    <s v="Nasa - MIMBEE"/>
    <n v="4"/>
    <n v="1"/>
    <n v="8.1199999999999992"/>
    <n v="11.3"/>
    <n v="64"/>
    <s v="admin"/>
    <d v="2024-08-21T00:00:00"/>
    <d v="1899-12-30T12:34:32"/>
    <n v="4"/>
    <s v=""/>
    <n v="0"/>
    <n v="0"/>
  </r>
  <r>
    <n v="402"/>
    <n v="4"/>
    <n v="20"/>
    <s v="Esma"/>
    <n v="2"/>
    <s v="M62.5_21-24"/>
    <s v="Nasa - MIMBEE"/>
    <n v="4"/>
    <n v="2"/>
    <n v="9.0399999999999991"/>
    <n v="5.4"/>
    <n v="37.9"/>
    <s v="admin"/>
    <d v="2024-08-21T00:00:00"/>
    <d v="1899-12-30T12:50:08"/>
    <n v="12"/>
    <s v=""/>
    <n v="0"/>
    <n v="0"/>
  </r>
  <r>
    <n v="403"/>
    <n v="4"/>
    <n v="27"/>
    <s v="Esma"/>
    <n v="9"/>
    <s v="M62.5_30-32 + M62.5_37"/>
    <s v="Nasa - MIMBEE"/>
    <n v="4"/>
    <n v="3"/>
    <n v="8.43"/>
    <n v="10.6"/>
    <n v="64.5"/>
    <s v="admin"/>
    <d v="2024-08-21T00:00:00"/>
    <d v="1899-12-30T12:51:17"/>
    <n v="13"/>
    <s v=""/>
    <n v="0"/>
    <n v="0"/>
  </r>
  <r>
    <n v="404"/>
    <n v="4"/>
    <n v="25"/>
    <s v="Esma"/>
    <n v="7"/>
    <s v="M62.5_21-24 + M62.5_37"/>
    <s v="Nasa - MIMBEE"/>
    <n v="4"/>
    <n v="4"/>
    <n v="8.8000000000000007"/>
    <n v="5.3"/>
    <n v="35.6"/>
    <s v="admin"/>
    <d v="2024-08-21T00:00:00"/>
    <d v="1899-12-30T12:56:48"/>
    <n v="20"/>
    <s v=""/>
    <n v="0"/>
    <n v="0"/>
  </r>
  <r>
    <n v="405"/>
    <n v="4"/>
    <n v="24"/>
    <s v="Esma"/>
    <n v="6"/>
    <s v="M125_37"/>
    <s v="Nasa - MIMBEE"/>
    <n v="4"/>
    <n v="5"/>
    <n v="8.36"/>
    <n v="10.3"/>
    <n v="64.599999999999994"/>
    <s v="admin"/>
    <d v="2024-08-21T00:00:00"/>
    <d v="1899-12-30T12:57:35"/>
    <n v="21"/>
    <s v=""/>
    <n v="0"/>
    <n v="0"/>
  </r>
  <r>
    <n v="406"/>
    <n v="4"/>
    <n v="22"/>
    <s v="Esma"/>
    <n v="4"/>
    <s v="M62.5_37"/>
    <s v="Nasa - MIMBEE"/>
    <n v="4"/>
    <n v="6"/>
    <n v="8.5399999999999991"/>
    <n v="10.6"/>
    <n v="65.3"/>
    <s v="admin"/>
    <d v="2024-08-21T00:00:00"/>
    <d v="1899-12-30T13:05:27"/>
    <n v="28"/>
    <s v=""/>
    <n v="0"/>
    <n v="0"/>
  </r>
  <r>
    <n v="407"/>
    <n v="4"/>
    <n v="19"/>
    <s v="Esma"/>
    <n v="1"/>
    <s v="No_PGR"/>
    <s v="Nasa - MIMBEE"/>
    <n v="4"/>
    <n v="7"/>
    <n v="8.9"/>
    <n v="5.4"/>
    <n v="38.5"/>
    <s v="admin"/>
    <d v="2024-08-21T00:00:00"/>
    <d v="1899-12-30T13:06:52"/>
    <n v="29"/>
    <s v=""/>
    <n v="0"/>
    <n v="0"/>
  </r>
  <r>
    <n v="408"/>
    <n v="4"/>
    <n v="26"/>
    <s v="Esma"/>
    <n v="8"/>
    <s v="M62.5_21-24 + M62.5_30-32"/>
    <s v="Nasa - MIMBEE"/>
    <n v="4"/>
    <n v="8"/>
    <n v="9.14"/>
    <n v="5.6"/>
    <n v="41.1"/>
    <s v="admin"/>
    <d v="2024-08-21T00:00:00"/>
    <d v="1899-12-30T13:12:29"/>
    <n v="36"/>
    <s v=""/>
    <n v="0"/>
    <n v="0"/>
  </r>
  <r>
    <n v="409"/>
    <n v="4"/>
    <n v="21"/>
    <s v="Esma"/>
    <n v="3"/>
    <s v="M62.5_30-32"/>
    <s v="Nasa - MIMBEE"/>
    <n v="4"/>
    <n v="9"/>
    <n v="8.3800000000000008"/>
    <n v="9.4"/>
    <n v="65.400000000000006"/>
    <s v="admin"/>
    <d v="2024-08-21T00:00:00"/>
    <d v="1899-12-30T13:13:16"/>
    <n v="37"/>
    <s v=""/>
    <n v="0"/>
    <n v="0"/>
  </r>
  <r>
    <n v="410"/>
    <n v="4"/>
    <n v="7"/>
    <s v="CDC_Austenson"/>
    <n v="7"/>
    <s v="M62.5_21-24 + M62.5_37"/>
    <s v="Nasa - MIMBEE"/>
    <n v="4"/>
    <n v="10"/>
    <n v="8.6"/>
    <n v="11.5"/>
    <n v="68"/>
    <s v="admin"/>
    <d v="2024-08-21T00:00:00"/>
    <d v="1899-12-30T13:18:53"/>
    <n v="44"/>
    <s v=""/>
    <n v="0"/>
    <n v="0"/>
  </r>
  <r>
    <n v="411"/>
    <n v="4"/>
    <n v="9"/>
    <s v="CDC_Austenson"/>
    <n v="9"/>
    <s v="M62.5_30-32 + M62.5_37"/>
    <s v="Nasa - MIMBEE"/>
    <n v="4"/>
    <n v="11"/>
    <n v="8.31"/>
    <n v="10.9"/>
    <n v="67.2"/>
    <s v="admin"/>
    <d v="2024-08-21T00:00:00"/>
    <d v="1899-12-30T13:20:05"/>
    <n v="45"/>
    <s v=""/>
    <n v="0"/>
    <n v="0"/>
  </r>
  <r>
    <n v="412"/>
    <n v="4"/>
    <n v="6"/>
    <s v="CDC_Austenson"/>
    <n v="6"/>
    <s v="M125_37"/>
    <s v="Nasa - MIMBEE"/>
    <n v="4"/>
    <n v="12"/>
    <n v="7.79"/>
    <n v="11.6"/>
    <n v="69"/>
    <s v="admin"/>
    <d v="2024-08-21T00:00:00"/>
    <d v="1899-12-30T13:25:42"/>
    <n v="52"/>
    <s v=""/>
    <n v="0"/>
    <n v="0"/>
  </r>
  <r>
    <n v="413"/>
    <n v="4"/>
    <n v="4"/>
    <s v="CDC_Austenson"/>
    <n v="4"/>
    <s v="M62.5_37"/>
    <s v="Nasa - MIMBEE"/>
    <n v="4"/>
    <n v="13"/>
    <n v="7.92"/>
    <n v="10.7"/>
    <n v="67.8"/>
    <s v="admin"/>
    <d v="2024-08-21T00:00:00"/>
    <d v="1899-12-30T13:26:51"/>
    <n v="53"/>
    <s v=""/>
    <n v="0"/>
    <n v="0"/>
  </r>
  <r>
    <n v="414"/>
    <n v="4"/>
    <n v="8"/>
    <s v="CDC_Austenson"/>
    <n v="8"/>
    <s v="M62.5_21-24 + M62.5_30-32"/>
    <s v="Nasa - MIMBEE"/>
    <n v="4"/>
    <n v="14"/>
    <n v="8.27"/>
    <n v="11.7"/>
    <n v="69.2"/>
    <s v="admin"/>
    <d v="2024-08-21T00:00:00"/>
    <d v="1899-12-30T13:36:06"/>
    <n v="60"/>
    <s v=""/>
    <n v="0"/>
    <n v="0"/>
  </r>
  <r>
    <n v="415"/>
    <n v="4"/>
    <n v="5"/>
    <s v="CDC_Austenson"/>
    <n v="5"/>
    <s v="M125_30-32"/>
    <s v="Nasa - MIMBEE"/>
    <n v="4"/>
    <n v="15"/>
    <n v="8.14"/>
    <n v="11.9"/>
    <n v="68.900000000000006"/>
    <s v="admin"/>
    <d v="2024-08-21T00:00:00"/>
    <d v="1899-12-30T13:37:25"/>
    <n v="61"/>
    <s v=""/>
    <n v="0"/>
    <n v="0"/>
  </r>
  <r>
    <n v="416"/>
    <n v="4"/>
    <n v="3"/>
    <s v="CDC_Austenson"/>
    <n v="3"/>
    <s v="M62.5_30-32"/>
    <s v="Nasa - MIMBEE"/>
    <n v="4"/>
    <n v="16"/>
    <n v="7.94"/>
    <n v="11.5"/>
    <n v="69.8"/>
    <s v="admin"/>
    <d v="2024-08-21T00:00:00"/>
    <d v="1899-12-30T13:57:42"/>
    <n v="68"/>
    <s v=""/>
    <n v="0"/>
    <n v="0"/>
  </r>
  <r>
    <n v="417"/>
    <n v="4"/>
    <n v="2"/>
    <s v="CDC_Austenson"/>
    <n v="2"/>
    <s v="M62.5_21-24"/>
    <s v="Nasa - MIMBEE"/>
    <n v="4"/>
    <n v="17"/>
    <n v="8.4"/>
    <n v="6.2"/>
    <n v="36.9"/>
    <s v="admin"/>
    <d v="2024-08-21T00:00:00"/>
    <d v="1899-12-30T13:58:31"/>
    <n v="69"/>
    <s v=""/>
    <n v="0"/>
    <n v="0"/>
  </r>
  <r>
    <n v="418"/>
    <n v="4"/>
    <n v="1"/>
    <s v="CDC_Austenson"/>
    <n v="1"/>
    <s v="No_PGR"/>
    <s v="Nasa - MIMBEE"/>
    <n v="4"/>
    <n v="18"/>
    <n v="8.3800000000000008"/>
    <n v="13.1"/>
    <n v="69.400000000000006"/>
    <s v="admin"/>
    <d v="2024-08-21T00:00:00"/>
    <d v="1899-12-30T14:03:48"/>
    <n v="76"/>
    <s v=""/>
    <n v="0"/>
    <n v="0"/>
  </r>
  <r>
    <n v="419"/>
    <n v="4"/>
    <n v="13"/>
    <s v="AB_Hague"/>
    <n v="4"/>
    <s v="M62.5_37"/>
    <s v="Nasa - MIMBEE"/>
    <n v="4"/>
    <n v="19"/>
    <n v="8.2200000000000006"/>
    <n v="12.5"/>
    <n v="66.2"/>
    <s v="admin"/>
    <d v="2024-08-21T00:00:00"/>
    <d v="1899-12-30T14:04:24"/>
    <n v="77"/>
    <s v=""/>
    <n v="0"/>
    <n v="0"/>
  </r>
  <r>
    <n v="420"/>
    <n v="4"/>
    <n v="10"/>
    <s v="AB_Hague"/>
    <n v="1"/>
    <s v="No_PGR"/>
    <s v="Nasa - MIMBEE"/>
    <n v="4"/>
    <n v="20"/>
    <n v="8.2799999999999994"/>
    <n v="12.2"/>
    <n v="67.8"/>
    <s v="admin"/>
    <d v="2024-08-21T00:00:00"/>
    <d v="1899-12-30T14:09:22"/>
    <n v="84"/>
    <s v=""/>
    <n v="0"/>
    <n v="0"/>
  </r>
  <r>
    <n v="421"/>
    <n v="4"/>
    <n v="16"/>
    <s v="AB_Hague"/>
    <n v="7"/>
    <s v="M62.5_21-24 + M62.5_37"/>
    <s v="Nasa - MIMBEE"/>
    <n v="4"/>
    <n v="21"/>
    <n v="8.3800000000000008"/>
    <n v="12.8"/>
    <n v="66.400000000000006"/>
    <s v="admin"/>
    <d v="2024-08-21T00:00:00"/>
    <d v="1899-12-30T14:10:09"/>
    <n v="85"/>
    <s v=""/>
    <n v="0"/>
    <n v="0"/>
  </r>
  <r>
    <n v="422"/>
    <n v="4"/>
    <n v="14"/>
    <s v="AB_Hague"/>
    <n v="5"/>
    <s v="M125_30-32"/>
    <s v="Nasa - MIMBEE"/>
    <n v="4"/>
    <n v="22"/>
    <n v="8.4600000000000009"/>
    <n v="11.4"/>
    <n v="66.900000000000006"/>
    <s v="admin"/>
    <d v="2024-08-21T00:00:00"/>
    <d v="1899-12-30T14:15:11"/>
    <n v="92"/>
    <s v=""/>
    <n v="0"/>
    <n v="0"/>
  </r>
  <r>
    <n v="423"/>
    <n v="4"/>
    <n v="15"/>
    <s v="AB_Hague"/>
    <n v="6"/>
    <s v="M125_37"/>
    <s v="Nasa - MIMBEE"/>
    <n v="4"/>
    <n v="23"/>
    <n v="8.2100000000000009"/>
    <n v="11.9"/>
    <n v="65.5"/>
    <s v="admin"/>
    <d v="2024-08-21T00:00:00"/>
    <d v="1899-12-30T14:15:48"/>
    <n v="93"/>
    <s v=""/>
    <n v="0"/>
    <n v="0"/>
  </r>
  <r>
    <n v="424"/>
    <n v="4"/>
    <n v="12"/>
    <s v="AB_Hague"/>
    <n v="3"/>
    <s v="M62.5_30-32"/>
    <s v="Nasa - MIMBEE"/>
    <n v="4"/>
    <n v="24"/>
    <n v="8.15"/>
    <n v="10.7"/>
    <n v="67.3"/>
    <s v="admin"/>
    <d v="2024-08-21T00:00:00"/>
    <d v="1899-12-30T14:21:11"/>
    <n v="100"/>
    <s v=""/>
    <n v="0"/>
    <n v="0"/>
  </r>
  <r>
    <n v="425"/>
    <n v="4"/>
    <n v="11"/>
    <s v="AB_Hague"/>
    <n v="2"/>
    <s v="M62.5_21-24"/>
    <s v="Nasa - MIMBEE"/>
    <n v="4"/>
    <n v="25"/>
    <n v="7.96"/>
    <n v="10"/>
    <n v="66.599999999999994"/>
    <s v="admin"/>
    <d v="2024-08-21T00:00:00"/>
    <d v="1899-12-30T14:22:23"/>
    <n v="101"/>
    <s v=""/>
    <n v="0"/>
    <n v="0"/>
  </r>
  <r>
    <n v="426"/>
    <n v="4"/>
    <n v="17"/>
    <s v="AB_Hague"/>
    <n v="8"/>
    <s v="M62.5_21-24 + M62.5_30-32"/>
    <s v="Nasa - MIMBEE"/>
    <n v="4"/>
    <n v="26"/>
    <n v="7.55"/>
    <n v="10.199999999999999"/>
    <n v="66.8"/>
    <s v="admin"/>
    <d v="2024-08-21T00:00:00"/>
    <d v="1899-12-30T14:27:45"/>
    <n v="108"/>
    <s v=""/>
    <n v="0"/>
    <n v="0"/>
  </r>
  <r>
    <n v="427"/>
    <n v="4"/>
    <n v="18"/>
    <s v="AB_Hague"/>
    <n v="9"/>
    <s v="M62.5_30-32 + M62.5_37"/>
    <s v="Nasa - MIMBEE"/>
    <n v="4"/>
    <n v="27"/>
    <n v="8.41"/>
    <n v="10.1"/>
    <n v="65.599999999999994"/>
    <s v="admin"/>
    <d v="2024-08-21T00:00:00"/>
    <d v="1899-12-30T14:28:16"/>
    <n v="109"/>
    <s v="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n v="2024"/>
    <s v="Lethbridge"/>
    <n v="101"/>
    <n v="1"/>
    <n v="1"/>
    <x v="0"/>
    <n v="1"/>
    <x v="0"/>
    <n v="44"/>
    <n v="51"/>
    <e v="#DIV/0!"/>
    <n v="51"/>
    <n v="59"/>
    <n v="57"/>
    <n v="52"/>
    <n v="54.75"/>
    <n v="90"/>
    <n v="81"/>
    <n v="77"/>
    <n v="75"/>
    <n v="80.75"/>
    <n v="97"/>
    <n v="92"/>
    <n v="103"/>
    <n v="103"/>
    <n v="98.75"/>
    <n v="100"/>
    <n v="97"/>
    <n v="101"/>
    <n v="95"/>
    <n v="98.25"/>
    <m/>
    <m/>
    <m/>
    <m/>
    <x v="0"/>
    <m/>
    <m/>
    <m/>
    <m/>
    <e v="#DIV/0!"/>
    <d v="2024-07-08T00:00:00"/>
    <m/>
    <m/>
    <m/>
    <m/>
    <x v="0"/>
    <n v="5"/>
    <n v="0"/>
    <n v="0"/>
    <n v="3.3333333333333335"/>
    <n v="5"/>
    <n v="0"/>
    <n v="0"/>
    <n v="3.3333333333333335"/>
    <n v="0"/>
    <n v="0"/>
    <n v="0"/>
    <n v="0"/>
    <n v="38.99"/>
    <n v="21.4"/>
    <n v="45.114131828674026"/>
    <n v="4.0456527314696107"/>
    <d v="2024-08-06T01:05:44"/>
    <d v="2024-08-06T01:05:44"/>
    <n v="6"/>
    <n v="8.6867999999999999"/>
    <n v="8650"/>
    <n v="13.9"/>
    <n v="9911.5899986185941"/>
    <n v="184.25391664098669"/>
    <m/>
    <m/>
    <m/>
    <n v="51.013005780346816"/>
  </r>
  <r>
    <n v="2024"/>
    <s v="Lethbridge"/>
    <n v="102"/>
    <n v="1"/>
    <n v="2"/>
    <x v="0"/>
    <n v="2"/>
    <x v="1"/>
    <n v="64"/>
    <n v="26"/>
    <e v="#DIV/0!"/>
    <n v="50"/>
    <n v="56"/>
    <n v="54"/>
    <n v="58"/>
    <n v="54.5"/>
    <n v="78"/>
    <n v="76"/>
    <n v="81"/>
    <n v="82"/>
    <n v="79.25"/>
    <n v="95"/>
    <n v="103"/>
    <n v="100"/>
    <n v="102"/>
    <n v="100"/>
    <n v="95"/>
    <n v="110"/>
    <n v="105"/>
    <n v="95"/>
    <n v="101.25"/>
    <m/>
    <m/>
    <m/>
    <m/>
    <x v="0"/>
    <m/>
    <m/>
    <m/>
    <m/>
    <e v="#DIV/0!"/>
    <d v="2024-07-08T00:00:00"/>
    <m/>
    <m/>
    <m/>
    <m/>
    <x v="0"/>
    <n v="50"/>
    <n v="0"/>
    <n v="0"/>
    <n v="33.333333333333336"/>
    <n v="50"/>
    <m/>
    <m/>
    <n v="33.333333333333336"/>
    <m/>
    <m/>
    <m/>
    <n v="0"/>
    <n v="33.270000000000003"/>
    <n v="17.8"/>
    <n v="46.498346859032161"/>
    <n v="4.5993387436128641"/>
    <d v="2024-08-06T14:23:03"/>
    <d v="2024-08-06T14:23:03"/>
    <n v="6"/>
    <n v="8.6867999999999999"/>
    <n v="8780"/>
    <n v="7.2"/>
    <n v="10843.427048041265"/>
    <n v="201.57652845717737"/>
    <m/>
    <m/>
    <m/>
    <e v="#DIV/0!"/>
  </r>
  <r>
    <n v="2024"/>
    <s v="Lethbridge"/>
    <n v="103"/>
    <n v="1"/>
    <n v="3"/>
    <x v="0"/>
    <n v="3"/>
    <x v="2"/>
    <n v="43"/>
    <n v="49"/>
    <e v="#DIV/0!"/>
    <n v="59"/>
    <n v="64"/>
    <n v="62"/>
    <n v="58"/>
    <n v="60.75"/>
    <n v="84"/>
    <n v="86"/>
    <n v="85"/>
    <n v="80"/>
    <n v="83.75"/>
    <n v="102"/>
    <n v="110"/>
    <n v="103"/>
    <n v="98"/>
    <n v="103.25"/>
    <n v="100"/>
    <n v="105"/>
    <n v="110"/>
    <n v="110"/>
    <n v="106.25"/>
    <m/>
    <m/>
    <m/>
    <m/>
    <x v="0"/>
    <m/>
    <m/>
    <m/>
    <m/>
    <e v="#DIV/0!"/>
    <d v="2024-07-09T00:00:00"/>
    <m/>
    <m/>
    <m/>
    <m/>
    <x v="0"/>
    <n v="30"/>
    <n v="0"/>
    <n v="0"/>
    <n v="20"/>
    <n v="30"/>
    <m/>
    <m/>
    <n v="20"/>
    <m/>
    <m/>
    <m/>
    <n v="0"/>
    <n v="32.76"/>
    <n v="18.3"/>
    <n v="44.139194139194132"/>
    <n v="3.6556776556776525"/>
    <d v="2024-08-05T15:44:11"/>
    <d v="2024-08-05T15:44:11"/>
    <n v="6"/>
    <n v="8.6867999999999999"/>
    <n v="9010"/>
    <n v="7.5"/>
    <n v="11091.507918066372"/>
    <n v="206.18828822046461"/>
    <m/>
    <m/>
    <m/>
    <e v="#DIV/0!"/>
  </r>
  <r>
    <n v="2024"/>
    <s v="Lethbridge"/>
    <n v="104"/>
    <n v="1"/>
    <n v="4"/>
    <x v="0"/>
    <n v="4"/>
    <x v="3"/>
    <n v="44"/>
    <n v="58"/>
    <e v="#DIV/0!"/>
    <n v="68"/>
    <n v="63"/>
    <n v="65"/>
    <n v="59"/>
    <n v="63.75"/>
    <n v="75"/>
    <n v="77"/>
    <n v="85"/>
    <n v="84"/>
    <n v="80.25"/>
    <n v="90"/>
    <n v="95"/>
    <n v="92"/>
    <n v="93"/>
    <n v="92.5"/>
    <n v="100"/>
    <n v="90"/>
    <n v="95"/>
    <n v="90"/>
    <n v="93.75"/>
    <m/>
    <m/>
    <m/>
    <m/>
    <x v="0"/>
    <m/>
    <m/>
    <m/>
    <m/>
    <e v="#DIV/0!"/>
    <d v="2024-07-09T00:00:00"/>
    <m/>
    <m/>
    <m/>
    <m/>
    <x v="0"/>
    <n v="30"/>
    <n v="0"/>
    <n v="0"/>
    <n v="20"/>
    <n v="30"/>
    <m/>
    <m/>
    <n v="20"/>
    <m/>
    <m/>
    <m/>
    <n v="0"/>
    <n v="34.020000000000003"/>
    <n v="17.8"/>
    <n v="47.677836566725453"/>
    <n v="5.0711346266901813"/>
    <d v="2024-08-07T01:42:26"/>
    <d v="2024-08-07T01:42:26"/>
    <n v="6"/>
    <n v="8.6867999999999999"/>
    <n v="8770"/>
    <n v="8.4"/>
    <n v="10691.019874417127"/>
    <n v="198.74331817826709"/>
    <m/>
    <m/>
    <m/>
    <e v="#DIV/0!"/>
  </r>
  <r>
    <n v="2024"/>
    <s v="Lethbridge"/>
    <n v="105"/>
    <n v="1"/>
    <n v="5"/>
    <x v="0"/>
    <n v="5"/>
    <x v="4"/>
    <n v="30"/>
    <n v="54"/>
    <e v="#DIV/0!"/>
    <n v="56"/>
    <n v="45"/>
    <n v="50"/>
    <n v="47"/>
    <n v="49.5"/>
    <n v="61"/>
    <n v="72"/>
    <n v="66"/>
    <n v="75"/>
    <n v="68.5"/>
    <n v="88"/>
    <n v="92"/>
    <n v="89"/>
    <n v="92"/>
    <n v="90.25"/>
    <n v="90"/>
    <n v="95"/>
    <n v="110"/>
    <n v="100"/>
    <n v="98.75"/>
    <m/>
    <m/>
    <m/>
    <m/>
    <x v="0"/>
    <m/>
    <m/>
    <m/>
    <m/>
    <e v="#DIV/0!"/>
    <d v="2024-07-09T00:00:00"/>
    <m/>
    <m/>
    <m/>
    <m/>
    <x v="0"/>
    <n v="5"/>
    <n v="0"/>
    <n v="0"/>
    <n v="3.3333333333333335"/>
    <n v="10"/>
    <m/>
    <m/>
    <n v="6.666666666666667"/>
    <m/>
    <m/>
    <m/>
    <n v="0"/>
    <n v="38.42"/>
    <n v="20"/>
    <n v="47.943779281624153"/>
    <n v="5.177511712649661"/>
    <d v="2024-08-07T04:15:37"/>
    <d v="2024-08-07T04:15:37"/>
    <n v="6"/>
    <n v="8.6867999999999999"/>
    <n v="8710"/>
    <n v="7.3"/>
    <n v="10745.384466126403"/>
    <n v="199.75394199850365"/>
    <m/>
    <m/>
    <m/>
    <e v="#DIV/0!"/>
  </r>
  <r>
    <n v="2024"/>
    <s v="Lethbridge"/>
    <n v="106"/>
    <n v="1"/>
    <n v="6"/>
    <x v="0"/>
    <n v="6"/>
    <x v="5"/>
    <n v="42"/>
    <n v="33"/>
    <e v="#DIV/0!"/>
    <n v="64"/>
    <n v="64"/>
    <n v="60"/>
    <n v="57"/>
    <n v="61.25"/>
    <n v="71"/>
    <n v="76"/>
    <n v="74"/>
    <n v="76"/>
    <n v="74.25"/>
    <n v="77"/>
    <n v="85"/>
    <n v="80"/>
    <n v="78"/>
    <n v="80"/>
    <n v="80"/>
    <n v="80"/>
    <n v="85"/>
    <n v="80"/>
    <n v="81.25"/>
    <m/>
    <m/>
    <m/>
    <m/>
    <x v="0"/>
    <m/>
    <m/>
    <m/>
    <m/>
    <e v="#DIV/0!"/>
    <d v="2024-07-09T00:00:00"/>
    <m/>
    <m/>
    <m/>
    <m/>
    <x v="0"/>
    <n v="50"/>
    <n v="0"/>
    <n v="0"/>
    <n v="33.333333333333336"/>
    <n v="5"/>
    <m/>
    <m/>
    <n v="3.3333333333333335"/>
    <m/>
    <m/>
    <m/>
    <n v="0"/>
    <n v="29.71"/>
    <n v="15.3"/>
    <n v="48.502187815550322"/>
    <n v="5.4008751262201287"/>
    <d v="2024-08-07T09:37:16"/>
    <d v="2024-08-07T09:37:16"/>
    <n v="6"/>
    <n v="8.6867999999999999"/>
    <m/>
    <m/>
    <m/>
    <m/>
    <m/>
    <n v="5.16"/>
    <n v="4.92"/>
    <n v="58.26589595375723"/>
  </r>
  <r>
    <n v="2024"/>
    <s v="Lethbridge"/>
    <n v="107"/>
    <n v="1"/>
    <n v="7"/>
    <x v="0"/>
    <n v="7"/>
    <x v="6"/>
    <n v="39"/>
    <n v="39"/>
    <e v="#DIV/0!"/>
    <n v="55"/>
    <n v="46"/>
    <n v="64"/>
    <n v="46"/>
    <n v="52.75"/>
    <n v="61"/>
    <n v="66"/>
    <n v="69"/>
    <n v="73"/>
    <n v="67.25"/>
    <n v="94"/>
    <n v="93"/>
    <n v="94"/>
    <n v="91"/>
    <n v="93"/>
    <n v="90"/>
    <n v="90"/>
    <n v="95"/>
    <n v="90"/>
    <n v="91.25"/>
    <m/>
    <m/>
    <m/>
    <m/>
    <x v="0"/>
    <m/>
    <m/>
    <m/>
    <m/>
    <e v="#DIV/0!"/>
    <d v="2024-07-09T00:00:00"/>
    <m/>
    <m/>
    <m/>
    <m/>
    <x v="0"/>
    <n v="10"/>
    <n v="0"/>
    <n v="0"/>
    <n v="6.666666666666667"/>
    <n v="30"/>
    <m/>
    <m/>
    <n v="20"/>
    <m/>
    <m/>
    <m/>
    <n v="0"/>
    <n v="35.409999999999997"/>
    <n v="18.5"/>
    <n v="47.754871505224507"/>
    <n v="5.1019486020898031"/>
    <d v="2024-08-07T02:26:48"/>
    <d v="2024-08-07T02:26:48"/>
    <n v="6"/>
    <n v="8.6867999999999999"/>
    <n v="9410"/>
    <n v="12.6"/>
    <n v="10945.235891756305"/>
    <n v="203.46912875700824"/>
    <m/>
    <n v="5.01"/>
    <n v="5.13"/>
    <n v="51.227514450867055"/>
  </r>
  <r>
    <n v="2024"/>
    <s v="Lethbridge"/>
    <n v="108"/>
    <n v="1"/>
    <n v="8"/>
    <x v="0"/>
    <n v="8"/>
    <x v="7"/>
    <n v="45"/>
    <n v="23"/>
    <e v="#DIV/0!"/>
    <n v="52"/>
    <n v="54"/>
    <n v="59"/>
    <n v="56"/>
    <n v="55.25"/>
    <n v="75"/>
    <n v="77"/>
    <n v="74"/>
    <n v="67"/>
    <n v="73.25"/>
    <n v="100"/>
    <n v="101"/>
    <n v="103"/>
    <n v="99"/>
    <n v="100.75"/>
    <n v="95"/>
    <n v="100"/>
    <n v="110"/>
    <n v="100"/>
    <n v="101.25"/>
    <m/>
    <m/>
    <m/>
    <m/>
    <x v="0"/>
    <m/>
    <m/>
    <m/>
    <m/>
    <e v="#DIV/0!"/>
    <d v="2024-07-09T00:00:00"/>
    <m/>
    <m/>
    <m/>
    <m/>
    <x v="0"/>
    <n v="40"/>
    <n v="0"/>
    <n v="0"/>
    <n v="26.666666666666668"/>
    <n v="60"/>
    <m/>
    <m/>
    <n v="40"/>
    <m/>
    <m/>
    <m/>
    <n v="0"/>
    <n v="31.3"/>
    <n v="15.2"/>
    <n v="51.437699680511187"/>
    <n v="6.5750798722044745"/>
    <d v="2024-08-08T13:48:07"/>
    <d v="2024-08-08T13:48:07"/>
    <n v="6"/>
    <n v="8.6867999999999999"/>
    <n v="8960"/>
    <n v="8.3000000000000007"/>
    <n v="10934.562598598204"/>
    <n v="203.27071497394098"/>
    <m/>
    <m/>
    <m/>
    <e v="#DIV/0!"/>
  </r>
  <r>
    <n v="2024"/>
    <s v="Lethbridge"/>
    <n v="109"/>
    <n v="1"/>
    <n v="9"/>
    <x v="0"/>
    <n v="9"/>
    <x v="8"/>
    <n v="38"/>
    <n v="38"/>
    <e v="#DIV/0!"/>
    <n v="54"/>
    <n v="55"/>
    <n v="50"/>
    <n v="51"/>
    <n v="52.5"/>
    <n v="69"/>
    <n v="69"/>
    <n v="70"/>
    <n v="76"/>
    <n v="71"/>
    <n v="87"/>
    <n v="92"/>
    <n v="85"/>
    <n v="89"/>
    <n v="88.25"/>
    <n v="90"/>
    <n v="95"/>
    <n v="90"/>
    <n v="100"/>
    <n v="93.75"/>
    <m/>
    <m/>
    <m/>
    <m/>
    <x v="0"/>
    <m/>
    <m/>
    <m/>
    <m/>
    <e v="#DIV/0!"/>
    <d v="2024-07-09T00:00:00"/>
    <m/>
    <m/>
    <m/>
    <m/>
    <x v="0"/>
    <n v="5"/>
    <n v="0"/>
    <n v="0"/>
    <n v="3.3333333333333335"/>
    <n v="10"/>
    <m/>
    <m/>
    <n v="6.666666666666667"/>
    <m/>
    <m/>
    <m/>
    <n v="0"/>
    <n v="38"/>
    <n v="19.899999999999999"/>
    <n v="47.631578947368425"/>
    <n v="5.0526315789473699"/>
    <d v="2024-08-07T01:15:47"/>
    <d v="2024-08-07T01:15:47"/>
    <n v="6"/>
    <n v="8.6867999999999999"/>
    <n v="9400"/>
    <n v="19.2"/>
    <n v="10107.954637705578"/>
    <n v="187.90428493170626"/>
    <m/>
    <n v="5.41"/>
    <n v="5.52"/>
    <n v="51.048786127167631"/>
  </r>
  <r>
    <n v="2024"/>
    <s v="Lethbridge"/>
    <n v="110"/>
    <n v="1"/>
    <n v="10"/>
    <x v="1"/>
    <n v="1"/>
    <x v="0"/>
    <n v="48"/>
    <n v="38"/>
    <e v="#DIV/0!"/>
    <n v="69"/>
    <n v="74"/>
    <n v="70"/>
    <n v="66"/>
    <n v="69.75"/>
    <n v="99"/>
    <n v="89"/>
    <n v="96"/>
    <n v="95"/>
    <n v="94.75"/>
    <n v="105"/>
    <n v="102"/>
    <n v="103"/>
    <n v="110"/>
    <n v="105"/>
    <n v="110"/>
    <n v="100"/>
    <n v="120"/>
    <n v="110"/>
    <n v="110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5"/>
    <m/>
    <m/>
    <n v="3.3333333333333335"/>
    <m/>
    <m/>
    <m/>
    <n v="0"/>
    <n v="33.97"/>
    <n v="17.5"/>
    <n v="48.483956432146009"/>
    <n v="5.3935825728584037"/>
    <d v="2024-08-07T09:26:46"/>
    <d v="2024-08-07T09:26:46"/>
    <n v="6"/>
    <n v="8.6867999999999999"/>
    <n v="8770"/>
    <n v="7.9"/>
    <n v="10749.3769698015"/>
    <n v="199.82816161810482"/>
    <m/>
    <n v="4.71"/>
    <n v="4.82"/>
    <n v="50.734855491329483"/>
  </r>
  <r>
    <n v="2024"/>
    <s v="Lethbridge"/>
    <n v="111"/>
    <n v="1"/>
    <n v="11"/>
    <x v="1"/>
    <n v="2"/>
    <x v="1"/>
    <n v="37"/>
    <n v="50"/>
    <e v="#DIV/0!"/>
    <n v="59"/>
    <n v="62"/>
    <n v="71"/>
    <n v="73"/>
    <n v="66.25"/>
    <n v="99"/>
    <n v="95"/>
    <n v="95"/>
    <n v="86"/>
    <n v="93.75"/>
    <n v="95"/>
    <n v="102"/>
    <n v="98"/>
    <n v="101"/>
    <n v="99"/>
    <n v="100"/>
    <n v="110"/>
    <n v="110"/>
    <n v="100"/>
    <n v="105"/>
    <m/>
    <m/>
    <m/>
    <m/>
    <x v="0"/>
    <m/>
    <m/>
    <m/>
    <m/>
    <e v="#DIV/0!"/>
    <d v="2024-07-07T00:00:00"/>
    <m/>
    <m/>
    <m/>
    <m/>
    <x v="0"/>
    <n v="40"/>
    <n v="0"/>
    <n v="0"/>
    <n v="26.666666666666668"/>
    <n v="45"/>
    <m/>
    <m/>
    <n v="30"/>
    <m/>
    <m/>
    <m/>
    <n v="0"/>
    <n v="27.81"/>
    <n v="13.3"/>
    <n v="52.175476447321103"/>
    <n v="6.8701905789284412"/>
    <d v="2024-08-08T20:53:04"/>
    <d v="2024-08-08T20:53:04"/>
    <n v="6"/>
    <n v="8.6867999999999999"/>
    <n v="8500"/>
    <n v="12.5"/>
    <n v="9898.082027851171"/>
    <n v="184.00280692800254"/>
    <m/>
    <m/>
    <m/>
    <e v="#DIV/0!"/>
  </r>
  <r>
    <n v="2024"/>
    <s v="Lethbridge"/>
    <n v="112"/>
    <n v="1"/>
    <n v="12"/>
    <x v="1"/>
    <n v="3"/>
    <x v="2"/>
    <n v="43"/>
    <n v="45"/>
    <e v="#DIV/0!"/>
    <n v="73"/>
    <n v="75"/>
    <n v="68"/>
    <n v="76"/>
    <n v="73"/>
    <n v="83"/>
    <n v="88"/>
    <n v="83"/>
    <n v="91"/>
    <n v="86.25"/>
    <n v="102"/>
    <n v="101"/>
    <n v="96"/>
    <n v="99"/>
    <n v="99.5"/>
    <n v="100"/>
    <n v="100"/>
    <n v="110"/>
    <n v="110"/>
    <n v="105"/>
    <m/>
    <m/>
    <m/>
    <m/>
    <x v="0"/>
    <m/>
    <m/>
    <m/>
    <m/>
    <e v="#DIV/0!"/>
    <d v="2024-07-08T00:00:00"/>
    <m/>
    <m/>
    <m/>
    <m/>
    <x v="0"/>
    <n v="25"/>
    <n v="0"/>
    <n v="0"/>
    <n v="16.666666666666668"/>
    <n v="60"/>
    <m/>
    <m/>
    <n v="40"/>
    <m/>
    <m/>
    <m/>
    <n v="0"/>
    <n v="29.77"/>
    <n v="14"/>
    <n v="52.972791400738991"/>
    <n v="7.1891165602955969"/>
    <d v="2024-08-09T04:32:20"/>
    <d v="2024-08-09T04:32:20"/>
    <n v="6"/>
    <n v="8.6867999999999999"/>
    <n v="8810"/>
    <n v="8.1"/>
    <n v="10774.955610013307"/>
    <n v="200.3036619810166"/>
    <m/>
    <n v="4.96"/>
    <n v="4.7300000000000004"/>
    <n v="51.474624277456655"/>
  </r>
  <r>
    <n v="2024"/>
    <s v="Lethbridge"/>
    <n v="113"/>
    <n v="1"/>
    <n v="13"/>
    <x v="1"/>
    <n v="4"/>
    <x v="3"/>
    <n v="21"/>
    <n v="44"/>
    <e v="#DIV/0!"/>
    <n v="74"/>
    <n v="64"/>
    <n v="71"/>
    <n v="80"/>
    <n v="72.25"/>
    <n v="87"/>
    <n v="91"/>
    <n v="86"/>
    <n v="88"/>
    <n v="88"/>
    <n v="94"/>
    <n v="97"/>
    <n v="99"/>
    <n v="96"/>
    <n v="96.5"/>
    <n v="95"/>
    <n v="100"/>
    <n v="100"/>
    <n v="110"/>
    <n v="101.25"/>
    <m/>
    <m/>
    <m/>
    <m/>
    <x v="0"/>
    <m/>
    <m/>
    <m/>
    <m/>
    <e v="#DIV/0!"/>
    <d v="2024-07-08T00:00:00"/>
    <m/>
    <m/>
    <m/>
    <m/>
    <x v="0"/>
    <n v="5"/>
    <n v="0"/>
    <n v="0"/>
    <n v="3.3333333333333335"/>
    <n v="10"/>
    <m/>
    <m/>
    <n v="6.666666666666667"/>
    <m/>
    <m/>
    <m/>
    <n v="0"/>
    <n v="30.27"/>
    <n v="14.2"/>
    <n v="53.088866864882725"/>
    <n v="7.2355467459530898"/>
    <d v="2024-08-09T05:39:11"/>
    <d v="2024-08-09T05:39:11"/>
    <n v="6"/>
    <n v="8.6867999999999999"/>
    <n v="9480"/>
    <n v="16.2"/>
    <n v="10572.469131957834"/>
    <n v="196.53949027357513"/>
    <m/>
    <m/>
    <m/>
    <e v="#DIV/0!"/>
  </r>
  <r>
    <n v="2024"/>
    <s v="Lethbridge"/>
    <n v="114"/>
    <n v="1"/>
    <n v="14"/>
    <x v="1"/>
    <n v="5"/>
    <x v="4"/>
    <n v="49"/>
    <n v="46"/>
    <e v="#DIV/0!"/>
    <n v="57"/>
    <n v="51"/>
    <n v="58"/>
    <n v="76"/>
    <n v="60.5"/>
    <n v="81"/>
    <n v="85"/>
    <n v="85"/>
    <n v="71"/>
    <n v="80.5"/>
    <n v="94"/>
    <n v="103"/>
    <n v="104"/>
    <n v="100"/>
    <n v="100.25"/>
    <n v="100"/>
    <n v="110"/>
    <n v="95"/>
    <n v="100"/>
    <n v="101.25"/>
    <m/>
    <m/>
    <m/>
    <m/>
    <x v="0"/>
    <m/>
    <m/>
    <m/>
    <m/>
    <e v="#DIV/0!"/>
    <d v="2024-07-08T00:00:00"/>
    <m/>
    <m/>
    <m/>
    <m/>
    <x v="0"/>
    <n v="30"/>
    <n v="0"/>
    <n v="0"/>
    <n v="20"/>
    <n v="30"/>
    <m/>
    <m/>
    <n v="20"/>
    <m/>
    <m/>
    <m/>
    <n v="0"/>
    <n v="34.76"/>
    <n v="15.6"/>
    <n v="55.12082853855005"/>
    <n v="8.0483314154200194"/>
    <d v="2024-08-10T01:09:36"/>
    <d v="2024-08-10T01:09:36"/>
    <n v="6"/>
    <n v="8.6867999999999999"/>
    <n v="8880"/>
    <n v="8.8000000000000007"/>
    <n v="10777.843521004961"/>
    <n v="200.35734750586147"/>
    <m/>
    <m/>
    <m/>
    <e v="#DIV/0!"/>
  </r>
  <r>
    <n v="2024"/>
    <s v="Lethbridge"/>
    <n v="115"/>
    <n v="1"/>
    <n v="15"/>
    <x v="1"/>
    <n v="6"/>
    <x v="5"/>
    <n v="35"/>
    <n v="52"/>
    <e v="#DIV/0!"/>
    <n v="78"/>
    <n v="76"/>
    <n v="65"/>
    <n v="64"/>
    <n v="70.75"/>
    <n v="81"/>
    <n v="96"/>
    <n v="84"/>
    <n v="79"/>
    <n v="85"/>
    <n v="90"/>
    <n v="96"/>
    <n v="90"/>
    <n v="98"/>
    <n v="93.5"/>
    <n v="95"/>
    <n v="95"/>
    <n v="100"/>
    <n v="100"/>
    <n v="97.5"/>
    <m/>
    <m/>
    <m/>
    <m/>
    <x v="0"/>
    <m/>
    <m/>
    <m/>
    <m/>
    <e v="#DIV/0!"/>
    <d v="2024-07-08T00:00:00"/>
    <m/>
    <m/>
    <m/>
    <m/>
    <x v="0"/>
    <n v="5"/>
    <n v="0"/>
    <n v="0"/>
    <n v="3.3333333333333335"/>
    <n v="10"/>
    <m/>
    <m/>
    <n v="6.666666666666667"/>
    <m/>
    <m/>
    <m/>
    <n v="0"/>
    <n v="30.77"/>
    <n v="13.4"/>
    <n v="56.451088722781925"/>
    <n v="8.5804354891127694"/>
    <d v="2024-08-10T13:55:50"/>
    <d v="2024-08-10T13:55:50"/>
    <n v="6"/>
    <n v="8.6867999999999999"/>
    <n v="9180"/>
    <n v="3.1"/>
    <n v="11838.332347184927"/>
    <n v="220.07156286433516"/>
    <m/>
    <m/>
    <m/>
    <e v="#DIV/0!"/>
  </r>
  <r>
    <n v="2024"/>
    <s v="Lethbridge"/>
    <n v="116"/>
    <n v="1"/>
    <n v="16"/>
    <x v="1"/>
    <n v="7"/>
    <x v="6"/>
    <n v="54"/>
    <n v="39"/>
    <e v="#DIV/0!"/>
    <n v="70"/>
    <n v="73"/>
    <n v="72"/>
    <n v="71"/>
    <n v="71.5"/>
    <n v="94"/>
    <n v="97"/>
    <n v="88"/>
    <n v="84"/>
    <n v="90.75"/>
    <n v="96"/>
    <n v="101"/>
    <n v="100"/>
    <n v="92"/>
    <n v="97.25"/>
    <n v="100"/>
    <n v="110"/>
    <n v="100"/>
    <n v="90"/>
    <n v="100"/>
    <m/>
    <m/>
    <m/>
    <m/>
    <x v="0"/>
    <m/>
    <m/>
    <m/>
    <m/>
    <e v="#DIV/0!"/>
    <d v="2024-07-08T00:00:00"/>
    <m/>
    <m/>
    <m/>
    <m/>
    <x v="0"/>
    <n v="40"/>
    <n v="0"/>
    <n v="0"/>
    <n v="26.666666666666668"/>
    <n v="60"/>
    <m/>
    <m/>
    <n v="40"/>
    <m/>
    <m/>
    <m/>
    <n v="0"/>
    <n v="34.799999999999997"/>
    <n v="15.6"/>
    <n v="55.172413793103438"/>
    <n v="8.0689655172413755"/>
    <d v="2024-08-10T01:39:19"/>
    <d v="2024-08-10T01:39:19"/>
    <n v="6"/>
    <n v="8.6867999999999999"/>
    <n v="9540"/>
    <n v="15.4"/>
    <n v="10740.952787047039"/>
    <n v="199.67155822074625"/>
    <m/>
    <m/>
    <m/>
    <e v="#DIV/0!"/>
  </r>
  <r>
    <n v="2024"/>
    <s v="Lethbridge"/>
    <n v="117"/>
    <n v="1"/>
    <n v="17"/>
    <x v="1"/>
    <n v="8"/>
    <x v="7"/>
    <n v="38"/>
    <n v="48"/>
    <e v="#DIV/0!"/>
    <n v="75"/>
    <n v="76"/>
    <n v="68"/>
    <n v="60"/>
    <n v="69.75"/>
    <n v="87"/>
    <n v="81"/>
    <n v="97"/>
    <n v="91"/>
    <n v="89"/>
    <n v="101"/>
    <n v="104"/>
    <n v="105"/>
    <n v="107"/>
    <n v="104.25"/>
    <n v="100"/>
    <n v="100"/>
    <n v="110"/>
    <n v="100"/>
    <n v="102.5"/>
    <m/>
    <m/>
    <m/>
    <m/>
    <x v="0"/>
    <m/>
    <m/>
    <m/>
    <m/>
    <e v="#DIV/0!"/>
    <d v="2024-07-08T00:00:00"/>
    <m/>
    <m/>
    <m/>
    <m/>
    <x v="0"/>
    <n v="50"/>
    <n v="0"/>
    <n v="0"/>
    <n v="33.333333333333336"/>
    <n v="70"/>
    <m/>
    <m/>
    <n v="46.666666666666664"/>
    <m/>
    <m/>
    <m/>
    <n v="0"/>
    <n v="20.13"/>
    <n v="9"/>
    <n v="55.290611028315936"/>
    <n v="8.1162444113263739"/>
    <d v="2024-08-10T02:47:24"/>
    <d v="2024-08-10T02:47:24"/>
    <n v="6"/>
    <n v="8.6867999999999999"/>
    <n v="9310"/>
    <n v="12.6"/>
    <n v="10828.92095135507"/>
    <n v="201.30686383929299"/>
    <m/>
    <m/>
    <m/>
    <e v="#DIV/0!"/>
  </r>
  <r>
    <n v="2024"/>
    <s v="Lethbridge"/>
    <n v="118"/>
    <n v="1"/>
    <n v="18"/>
    <x v="1"/>
    <n v="9"/>
    <x v="8"/>
    <n v="47"/>
    <n v="34"/>
    <e v="#DIV/0!"/>
    <n v="71"/>
    <n v="75"/>
    <n v="73"/>
    <n v="60"/>
    <n v="69.75"/>
    <n v="96"/>
    <n v="91"/>
    <n v="97"/>
    <n v="77"/>
    <n v="90.25"/>
    <n v="93"/>
    <n v="95"/>
    <n v="90"/>
    <n v="97"/>
    <n v="93.75"/>
    <n v="100"/>
    <n v="100"/>
    <n v="110"/>
    <n v="105"/>
    <n v="103.75"/>
    <m/>
    <m/>
    <m/>
    <m/>
    <x v="0"/>
    <m/>
    <m/>
    <m/>
    <m/>
    <e v="#DIV/0!"/>
    <d v="2024-07-08T00:00:00"/>
    <m/>
    <m/>
    <m/>
    <m/>
    <x v="0"/>
    <n v="10"/>
    <n v="0"/>
    <n v="0"/>
    <n v="6.666666666666667"/>
    <n v="50"/>
    <m/>
    <m/>
    <n v="33.333333333333336"/>
    <m/>
    <m/>
    <m/>
    <n v="0"/>
    <n v="31.28"/>
    <n v="15.7"/>
    <n v="49.808184143222512"/>
    <n v="5.9232736572890046"/>
    <d v="2024-08-07T22:09:31"/>
    <d v="2024-08-07T22:09:31"/>
    <n v="6"/>
    <n v="8.6867999999999999"/>
    <n v="9240"/>
    <n v="14.1"/>
    <n v="10563.046823284601"/>
    <n v="196.36433197131632"/>
    <m/>
    <m/>
    <m/>
    <e v="#DIV/0!"/>
  </r>
  <r>
    <n v="2024"/>
    <s v="Lethbridge"/>
    <n v="119"/>
    <n v="1"/>
    <n v="19"/>
    <x v="2"/>
    <n v="1"/>
    <x v="0"/>
    <n v="38"/>
    <n v="49"/>
    <e v="#DIV/0!"/>
    <n v="66"/>
    <n v="65"/>
    <n v="63"/>
    <n v="47"/>
    <n v="60.25"/>
    <n v="86"/>
    <n v="86"/>
    <n v="80"/>
    <n v="85"/>
    <n v="84.25"/>
    <n v="80"/>
    <n v="84"/>
    <n v="90"/>
    <n v="82"/>
    <n v="84"/>
    <n v="75"/>
    <n v="90"/>
    <n v="70"/>
    <n v="99"/>
    <n v="83.5"/>
    <m/>
    <m/>
    <m/>
    <m/>
    <x v="0"/>
    <m/>
    <m/>
    <m/>
    <m/>
    <e v="#DIV/0!"/>
    <d v="2024-07-07T00:00:00"/>
    <m/>
    <m/>
    <m/>
    <m/>
    <x v="0"/>
    <n v="0"/>
    <n v="0"/>
    <n v="0"/>
    <n v="0"/>
    <n v="10"/>
    <m/>
    <m/>
    <n v="6.666666666666667"/>
    <m/>
    <m/>
    <m/>
    <n v="0"/>
    <n v="32.950000000000003"/>
    <n v="16.7"/>
    <n v="49.317147192716241"/>
    <n v="5.7268588770864968"/>
    <d v="2024-08-07T17:26:41"/>
    <d v="2024-08-07T17:26:41"/>
    <n v="6"/>
    <n v="8.6867999999999999"/>
    <n v="8660"/>
    <n v="7"/>
    <n v="10718.275366172475"/>
    <n v="199.24999078141141"/>
    <m/>
    <n v="5.08"/>
    <n v="5.28"/>
    <n v="55.692485549132947"/>
  </r>
  <r>
    <n v="2024"/>
    <s v="Lethbridge"/>
    <n v="120"/>
    <n v="1"/>
    <n v="20"/>
    <x v="2"/>
    <n v="2"/>
    <x v="1"/>
    <n v="57"/>
    <n v="48"/>
    <e v="#DIV/0!"/>
    <n v="60"/>
    <n v="62"/>
    <n v="69"/>
    <n v="68"/>
    <n v="64.75"/>
    <n v="90"/>
    <n v="80"/>
    <n v="87"/>
    <n v="83"/>
    <n v="85"/>
    <n v="85"/>
    <n v="85"/>
    <n v="84"/>
    <n v="80"/>
    <n v="83.5"/>
    <n v="90"/>
    <n v="85"/>
    <n v="90"/>
    <n v="85"/>
    <n v="87.5"/>
    <m/>
    <m/>
    <m/>
    <m/>
    <x v="0"/>
    <m/>
    <m/>
    <m/>
    <m/>
    <e v="#DIV/0!"/>
    <d v="2024-07-07T00:00:00"/>
    <m/>
    <m/>
    <m/>
    <m/>
    <x v="0"/>
    <n v="0"/>
    <n v="0"/>
    <n v="0"/>
    <n v="0"/>
    <n v="5"/>
    <m/>
    <m/>
    <n v="3.3333333333333335"/>
    <m/>
    <m/>
    <m/>
    <n v="0"/>
    <n v="29.08"/>
    <n v="10.5"/>
    <n v="63.892709766162305"/>
    <n v="11.557083906464921"/>
    <d v="2024-08-13T13:22:12"/>
    <d v="2024-08-13T13:22:12"/>
    <n v="6"/>
    <n v="8.6867999999999999"/>
    <n v="9780"/>
    <n v="14.6"/>
    <n v="11115.28993162438"/>
    <n v="206.63038975455578"/>
    <m/>
    <m/>
    <m/>
    <e v="#DIV/0!"/>
  </r>
  <r>
    <n v="2024"/>
    <s v="Lethbridge"/>
    <n v="121"/>
    <n v="1"/>
    <n v="21"/>
    <x v="2"/>
    <n v="3"/>
    <x v="2"/>
    <n v="29"/>
    <n v="39"/>
    <e v="#DIV/0!"/>
    <n v="62"/>
    <n v="64"/>
    <n v="63"/>
    <n v="65"/>
    <n v="63.5"/>
    <n v="88"/>
    <n v="86"/>
    <n v="87"/>
    <n v="91"/>
    <n v="88"/>
    <n v="90"/>
    <n v="92"/>
    <n v="89"/>
    <n v="80"/>
    <n v="87.75"/>
    <n v="85"/>
    <n v="85"/>
    <n v="80"/>
    <n v="85"/>
    <n v="83.7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0"/>
    <m/>
    <m/>
    <n v="0"/>
    <m/>
    <m/>
    <m/>
    <n v="0"/>
    <n v="42.16"/>
    <n v="21.8"/>
    <n v="48.292220113851982"/>
    <n v="5.316888045540793"/>
    <d v="2024-08-07T07:36:19"/>
    <d v="2024-08-07T07:36:19"/>
    <n v="6"/>
    <n v="8.6867999999999999"/>
    <n v="10040"/>
    <n v="16.600000000000001"/>
    <n v="11143.556857644087"/>
    <n v="207.1558646613324"/>
    <m/>
    <n v="5.23"/>
    <n v="5.33"/>
    <n v="50.907745664739892"/>
  </r>
  <r>
    <n v="2024"/>
    <s v="Lethbridge"/>
    <n v="122"/>
    <n v="1"/>
    <n v="22"/>
    <x v="2"/>
    <n v="4"/>
    <x v="3"/>
    <n v="53"/>
    <n v="38"/>
    <e v="#DIV/0!"/>
    <n v="65"/>
    <n v="69"/>
    <n v="63"/>
    <n v="68"/>
    <n v="66.25"/>
    <n v="85"/>
    <n v="82"/>
    <n v="85"/>
    <n v="88"/>
    <n v="85"/>
    <n v="80"/>
    <n v="86"/>
    <n v="80"/>
    <n v="84"/>
    <n v="82.5"/>
    <n v="90"/>
    <n v="90"/>
    <n v="85"/>
    <n v="90"/>
    <n v="88.7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5"/>
    <m/>
    <m/>
    <n v="3.3333333333333335"/>
    <m/>
    <m/>
    <m/>
    <n v="0"/>
    <n v="28.9"/>
    <n v="15.6"/>
    <n v="46.020761245674741"/>
    <n v="4.4083044982698967"/>
    <d v="2024-08-06T09:47:58"/>
    <d v="2024-08-06T09:47:58"/>
    <n v="6"/>
    <n v="8.6867999999999999"/>
    <n v="9150"/>
    <n v="7.2"/>
    <n v="11300.382402002002"/>
    <n v="210.071211319268"/>
    <m/>
    <m/>
    <m/>
    <e v="#DIV/0!"/>
  </r>
  <r>
    <n v="2024"/>
    <s v="Lethbridge"/>
    <n v="123"/>
    <n v="1"/>
    <n v="23"/>
    <x v="2"/>
    <n v="5"/>
    <x v="4"/>
    <n v="33"/>
    <n v="52"/>
    <e v="#DIV/0!"/>
    <n v="67"/>
    <n v="61"/>
    <n v="67"/>
    <n v="61"/>
    <n v="64"/>
    <n v="81"/>
    <n v="82"/>
    <n v="87"/>
    <n v="92"/>
    <n v="85.5"/>
    <n v="85"/>
    <n v="88"/>
    <n v="92"/>
    <n v="88"/>
    <n v="88.25"/>
    <n v="80"/>
    <n v="90"/>
    <n v="90"/>
    <n v="80"/>
    <n v="8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5"/>
    <m/>
    <m/>
    <n v="3.3333333333333335"/>
    <m/>
    <m/>
    <m/>
    <n v="0"/>
    <n v="41.28"/>
    <n v="23.6"/>
    <n v="42.829457364341081"/>
    <n v="3.1317829457364326"/>
    <d v="2024-08-05T03:09:46"/>
    <d v="2024-08-05T03:09:46"/>
    <n v="6"/>
    <n v="8.6867999999999999"/>
    <n v="9680"/>
    <n v="14.1"/>
    <n v="11066.04905296482"/>
    <n v="205.71501444614088"/>
    <m/>
    <m/>
    <m/>
    <e v="#DIV/0!"/>
  </r>
  <r>
    <n v="2024"/>
    <s v="Lethbridge"/>
    <n v="124"/>
    <n v="1"/>
    <n v="24"/>
    <x v="2"/>
    <n v="6"/>
    <x v="5"/>
    <n v="54"/>
    <n v="46"/>
    <e v="#DIV/0!"/>
    <n v="60"/>
    <n v="66"/>
    <n v="71"/>
    <n v="65"/>
    <n v="65.5"/>
    <n v="92"/>
    <n v="96"/>
    <n v="90"/>
    <n v="87"/>
    <n v="91.25"/>
    <n v="87"/>
    <n v="89"/>
    <n v="96"/>
    <n v="83"/>
    <n v="88.75"/>
    <n v="85"/>
    <n v="95"/>
    <n v="95"/>
    <n v="85"/>
    <n v="90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0"/>
    <m/>
    <m/>
    <n v="0"/>
    <m/>
    <m/>
    <m/>
    <n v="0"/>
    <n v="34.46"/>
    <n v="16.8"/>
    <n v="51.24782356355194"/>
    <n v="6.4991294254207759"/>
    <d v="2024-08-08T11:58:45"/>
    <d v="2024-08-08T11:58:45"/>
    <n v="6"/>
    <n v="8.6867999999999999"/>
    <n v="9430"/>
    <n v="11.3"/>
    <n v="11131.645888346708"/>
    <n v="206.93444279618879"/>
    <m/>
    <m/>
    <m/>
    <e v="#DIV/0!"/>
  </r>
  <r>
    <n v="2024"/>
    <s v="Lethbridge"/>
    <n v="125"/>
    <n v="1"/>
    <n v="25"/>
    <x v="2"/>
    <n v="7"/>
    <x v="6"/>
    <n v="33"/>
    <n v="47"/>
    <e v="#DIV/0!"/>
    <n v="65"/>
    <n v="69"/>
    <n v="72"/>
    <n v="65"/>
    <n v="67.75"/>
    <n v="84"/>
    <n v="85"/>
    <n v="77"/>
    <n v="82"/>
    <n v="82"/>
    <n v="89"/>
    <n v="81"/>
    <n v="89"/>
    <n v="80"/>
    <n v="84.75"/>
    <n v="80"/>
    <n v="85"/>
    <n v="90"/>
    <n v="80"/>
    <n v="83.75"/>
    <m/>
    <m/>
    <m/>
    <m/>
    <x v="0"/>
    <m/>
    <m/>
    <m/>
    <m/>
    <e v="#DIV/0!"/>
    <d v="2024-07-07T00:00:00"/>
    <m/>
    <m/>
    <m/>
    <m/>
    <x v="0"/>
    <n v="10"/>
    <n v="0"/>
    <n v="0"/>
    <n v="6.666666666666667"/>
    <n v="0"/>
    <m/>
    <m/>
    <n v="0"/>
    <m/>
    <m/>
    <m/>
    <n v="0"/>
    <n v="28.5"/>
    <n v="17.8"/>
    <n v="37.543859649122808"/>
    <n v="1.0175438596491233"/>
    <d v="2024-08-03T00:25:16"/>
    <d v="2024-08-03T00:25:16"/>
    <n v="6"/>
    <n v="8.6867999999999999"/>
    <n v="9900"/>
    <n v="14.5"/>
    <n v="11264.849119293614"/>
    <n v="209.4106567048172"/>
    <m/>
    <m/>
    <m/>
    <e v="#DIV/0!"/>
  </r>
  <r>
    <n v="2024"/>
    <s v="Lethbridge"/>
    <n v="126"/>
    <n v="1"/>
    <n v="26"/>
    <x v="2"/>
    <n v="8"/>
    <x v="7"/>
    <n v="50"/>
    <n v="35"/>
    <e v="#DIV/0!"/>
    <n v="61"/>
    <n v="68"/>
    <n v="67"/>
    <n v="73"/>
    <n v="67.25"/>
    <n v="85"/>
    <n v="90"/>
    <n v="87"/>
    <n v="85"/>
    <n v="86.75"/>
    <n v="86"/>
    <n v="93"/>
    <n v="82"/>
    <n v="84"/>
    <n v="86.25"/>
    <n v="90"/>
    <n v="85"/>
    <n v="90"/>
    <n v="90"/>
    <n v="88.7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35"/>
    <m/>
    <m/>
    <n v="23.333333333333332"/>
    <m/>
    <m/>
    <m/>
    <n v="0"/>
    <n v="29.25"/>
    <n v="17.399999999999999"/>
    <n v="40.512820512820518"/>
    <n v="2.2051282051282071"/>
    <d v="2024-08-04T04:55:23"/>
    <d v="2024-08-04T04:55:23"/>
    <n v="6"/>
    <n v="8.6867999999999999"/>
    <n v="9460"/>
    <n v="11.6"/>
    <n v="11129.2903111784"/>
    <n v="206.8906532206241"/>
    <m/>
    <n v="5.21"/>
    <n v="5.42"/>
    <n v="54.317456647398842"/>
  </r>
  <r>
    <n v="2024"/>
    <s v="Lethbridge"/>
    <n v="127"/>
    <n v="1"/>
    <n v="27"/>
    <x v="2"/>
    <n v="9"/>
    <x v="8"/>
    <n v="47"/>
    <n v="45"/>
    <e v="#DIV/0!"/>
    <n v="74"/>
    <n v="69"/>
    <n v="74"/>
    <n v="66"/>
    <n v="70.75"/>
    <n v="85"/>
    <n v="84"/>
    <n v="88"/>
    <n v="90"/>
    <n v="86.75"/>
    <n v="82"/>
    <n v="87"/>
    <n v="83"/>
    <n v="77"/>
    <n v="82.25"/>
    <n v="85"/>
    <n v="80"/>
    <n v="85"/>
    <n v="90"/>
    <n v="85"/>
    <m/>
    <m/>
    <m/>
    <m/>
    <x v="0"/>
    <m/>
    <m/>
    <m/>
    <m/>
    <e v="#DIV/0!"/>
    <d v="2024-07-07T00:00:00"/>
    <m/>
    <m/>
    <m/>
    <m/>
    <x v="0"/>
    <n v="0"/>
    <n v="0"/>
    <n v="0"/>
    <n v="0"/>
    <n v="60"/>
    <m/>
    <m/>
    <n v="40"/>
    <m/>
    <m/>
    <m/>
    <n v="0"/>
    <n v="28.72"/>
    <n v="16.7"/>
    <n v="41.852367688022284"/>
    <n v="2.7409470752089136"/>
    <d v="2024-08-04T17:46:58"/>
    <d v="2024-08-04T17:46:58"/>
    <n v="6"/>
    <n v="8.6867999999999999"/>
    <n v="10260"/>
    <n v="14.4"/>
    <n v="11688.134358927678"/>
    <n v="217.27942077493762"/>
    <m/>
    <m/>
    <m/>
    <e v="#DIV/0!"/>
  </r>
  <r>
    <n v="2024"/>
    <s v="Lethbridge"/>
    <n v="201"/>
    <n v="2"/>
    <n v="27"/>
    <x v="2"/>
    <n v="9"/>
    <x v="8"/>
    <n v="46"/>
    <n v="33"/>
    <e v="#DIV/0!"/>
    <n v="60"/>
    <n v="55"/>
    <n v="66"/>
    <n v="47"/>
    <n v="57"/>
    <n v="85"/>
    <n v="82"/>
    <n v="79"/>
    <n v="84"/>
    <n v="82.5"/>
    <d v="1900-03-23T00:00:00"/>
    <d v="1900-03-22T00:00:00"/>
    <d v="1900-03-20T00:00:00"/>
    <d v="1900-03-20T00:00:00"/>
    <n v="81.25"/>
    <d v="1900-03-20T00:00:00"/>
    <d v="1900-03-30T00:00:00"/>
    <d v="1900-03-25T00:00:00"/>
    <d v="1900-03-30T00:00:00"/>
    <n v="86.2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10"/>
    <m/>
    <m/>
    <n v="6.666666666666667"/>
    <m/>
    <m/>
    <m/>
    <n v="0"/>
    <n v="28.1"/>
    <n v="15.1"/>
    <n v="46.263345195729542"/>
    <n v="4.5053380782918167"/>
    <d v="2024-08-06T12:07:41"/>
    <d v="2024-08-06T12:07:41"/>
    <n v="6"/>
    <n v="8.6867999999999999"/>
    <n v="8480"/>
    <n v="14.3"/>
    <n v="9671.6538360906889"/>
    <n v="179.7935649016859"/>
    <m/>
    <m/>
    <m/>
    <e v="#DIV/0!"/>
  </r>
  <r>
    <n v="2024"/>
    <s v="Lethbridge"/>
    <n v="202"/>
    <n v="2"/>
    <n v="26"/>
    <x v="2"/>
    <n v="8"/>
    <x v="7"/>
    <n v="37"/>
    <n v="33"/>
    <e v="#DIV/0!"/>
    <n v="60"/>
    <n v="35"/>
    <n v="45"/>
    <n v="56"/>
    <n v="49"/>
    <n v="81"/>
    <n v="80"/>
    <n v="83"/>
    <n v="84"/>
    <n v="82"/>
    <n v="81"/>
    <n v="89"/>
    <n v="85"/>
    <n v="84"/>
    <n v="84.75"/>
    <n v="85"/>
    <n v="85"/>
    <n v="90"/>
    <n v="80"/>
    <n v="85"/>
    <m/>
    <m/>
    <m/>
    <m/>
    <x v="0"/>
    <m/>
    <m/>
    <m/>
    <m/>
    <e v="#DIV/0!"/>
    <d v="2024-07-08T00:00:00"/>
    <m/>
    <m/>
    <m/>
    <m/>
    <x v="0"/>
    <n v="10"/>
    <n v="0"/>
    <n v="0"/>
    <n v="6.666666666666667"/>
    <n v="0"/>
    <m/>
    <m/>
    <n v="0"/>
    <m/>
    <m/>
    <m/>
    <n v="0"/>
    <n v="25.21"/>
    <n v="13.9"/>
    <n v="44.863149543831817"/>
    <n v="3.9452598175327269"/>
    <d v="2024-08-05T22:41:10"/>
    <d v="2024-08-05T22:41:10"/>
    <n v="6"/>
    <n v="8.6867999999999999"/>
    <n v="8220"/>
    <n v="13.9"/>
    <n v="9418.8751200745482"/>
    <n v="175.09447338600123"/>
    <m/>
    <m/>
    <m/>
    <e v="#DIV/0!"/>
  </r>
  <r>
    <n v="2024"/>
    <s v="Lethbridge"/>
    <n v="203"/>
    <n v="2"/>
    <n v="24"/>
    <x v="2"/>
    <n v="6"/>
    <x v="5"/>
    <n v="50"/>
    <n v="51"/>
    <e v="#DIV/0!"/>
    <n v="57"/>
    <n v="62"/>
    <n v="64"/>
    <n v="54"/>
    <n v="59.25"/>
    <n v="69"/>
    <n v="72"/>
    <n v="73"/>
    <n v="70"/>
    <n v="71"/>
    <n v="71"/>
    <n v="78"/>
    <n v="73"/>
    <n v="72"/>
    <n v="73.5"/>
    <n v="70"/>
    <n v="75"/>
    <n v="70"/>
    <n v="75"/>
    <n v="72.5"/>
    <m/>
    <m/>
    <m/>
    <m/>
    <x v="0"/>
    <m/>
    <m/>
    <m/>
    <m/>
    <e v="#DIV/0!"/>
    <d v="2024-07-08T00:00:00"/>
    <m/>
    <m/>
    <m/>
    <m/>
    <x v="0"/>
    <n v="0"/>
    <n v="0"/>
    <n v="0"/>
    <n v="0"/>
    <n v="40"/>
    <m/>
    <m/>
    <n v="26.666666666666668"/>
    <m/>
    <m/>
    <m/>
    <n v="0"/>
    <n v="24.8"/>
    <n v="14.8"/>
    <n v="40.322580645161288"/>
    <n v="2.1290322580645151"/>
    <d v="2024-08-04T03:05:48"/>
    <d v="2024-08-04T03:05:48"/>
    <n v="6"/>
    <n v="8.6867999999999999"/>
    <n v="8180"/>
    <n v="14.4"/>
    <n v="9318.610044447214"/>
    <n v="173.23057133908281"/>
    <m/>
    <n v="5.31"/>
    <n v="5.3"/>
    <n v="52.49803468208092"/>
  </r>
  <r>
    <n v="2024"/>
    <s v="Lethbridge"/>
    <n v="204"/>
    <n v="2"/>
    <n v="22"/>
    <x v="2"/>
    <n v="4"/>
    <x v="3"/>
    <n v="46"/>
    <n v="38"/>
    <e v="#DIV/0!"/>
    <n v="54"/>
    <n v="62"/>
    <n v="63"/>
    <n v="53"/>
    <n v="58"/>
    <n v="75"/>
    <n v="76"/>
    <n v="71"/>
    <n v="76"/>
    <n v="74.5"/>
    <n v="80"/>
    <n v="78"/>
    <n v="81"/>
    <n v="76"/>
    <n v="78.75"/>
    <n v="80"/>
    <n v="80"/>
    <n v="75"/>
    <n v="90"/>
    <n v="81.25"/>
    <m/>
    <m/>
    <m/>
    <m/>
    <x v="0"/>
    <m/>
    <m/>
    <m/>
    <m/>
    <e v="#DIV/0!"/>
    <d v="2024-07-07T00:00:00"/>
    <m/>
    <m/>
    <m/>
    <m/>
    <x v="0"/>
    <n v="0"/>
    <n v="0"/>
    <n v="0"/>
    <n v="0"/>
    <n v="90"/>
    <m/>
    <m/>
    <n v="60"/>
    <m/>
    <m/>
    <m/>
    <n v="0"/>
    <n v="25.72"/>
    <n v="14.7"/>
    <n v="42.846034214618975"/>
    <n v="3.1384136858475897"/>
    <d v="2024-08-05T03:19:19"/>
    <d v="2024-08-05T03:19:19"/>
    <n v="6"/>
    <n v="8.6867999999999999"/>
    <n v="7980"/>
    <n v="16.2"/>
    <n v="8899.6100920910885"/>
    <n v="165.44146966066768"/>
    <m/>
    <n v="5.4"/>
    <n v="5.38"/>
    <n v="52.217572254335266"/>
  </r>
  <r>
    <n v="2024"/>
    <s v="Lethbridge"/>
    <n v="205"/>
    <n v="2"/>
    <n v="19"/>
    <x v="2"/>
    <n v="1"/>
    <x v="0"/>
    <n v="41"/>
    <n v="46"/>
    <e v="#DIV/0!"/>
    <n v="56"/>
    <n v="63"/>
    <n v="61"/>
    <n v="57"/>
    <n v="59.25"/>
    <n v="69"/>
    <n v="60"/>
    <n v="81"/>
    <n v="82"/>
    <n v="73"/>
    <n v="80"/>
    <n v="87"/>
    <n v="79"/>
    <n v="83"/>
    <n v="82.25"/>
    <n v="80"/>
    <n v="90"/>
    <n v="95"/>
    <n v="75"/>
    <n v="85"/>
    <m/>
    <m/>
    <m/>
    <m/>
    <x v="0"/>
    <m/>
    <m/>
    <m/>
    <m/>
    <e v="#DIV/0!"/>
    <d v="2024-07-07T00:00:00"/>
    <m/>
    <m/>
    <m/>
    <m/>
    <x v="0"/>
    <n v="10"/>
    <n v="0"/>
    <n v="0"/>
    <n v="6.666666666666667"/>
    <n v="65"/>
    <m/>
    <m/>
    <n v="43.333333333333336"/>
    <m/>
    <m/>
    <m/>
    <n v="0"/>
    <n v="28.8"/>
    <n v="15.5"/>
    <n v="46.180555555555557"/>
    <n v="4.4722222222222232"/>
    <d v="2024-08-06T11:20:00"/>
    <d v="2024-08-06T11:20:00"/>
    <n v="6"/>
    <n v="8.6867999999999999"/>
    <n v="8800"/>
    <n v="8"/>
    <n v="10774.436584535544"/>
    <n v="200.29401343046845"/>
    <m/>
    <n v="5.52"/>
    <n v="5.52"/>
    <n v="58.709826589595366"/>
  </r>
  <r>
    <n v="2024"/>
    <s v="Lethbridge"/>
    <n v="206"/>
    <n v="2"/>
    <n v="25"/>
    <x v="2"/>
    <n v="7"/>
    <x v="6"/>
    <n v="48"/>
    <n v="52"/>
    <e v="#DIV/0!"/>
    <n v="63"/>
    <n v="59"/>
    <n v="61"/>
    <n v="62"/>
    <n v="61.25"/>
    <n v="67"/>
    <n v="77"/>
    <n v="71"/>
    <n v="74"/>
    <n v="72.25"/>
    <n v="79"/>
    <n v="77"/>
    <n v="70"/>
    <n v="80"/>
    <n v="76.5"/>
    <n v="75"/>
    <n v="80"/>
    <n v="80"/>
    <n v="80"/>
    <n v="78.7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70"/>
    <m/>
    <m/>
    <n v="46.666666666666664"/>
    <m/>
    <m/>
    <m/>
    <n v="0"/>
    <n v="22.88"/>
    <n v="14.8"/>
    <n v="35.314685314685306"/>
    <n v="0.12587412587412244"/>
    <d v="2024-08-02T03:01:16"/>
    <d v="2024-08-02T03:01:16"/>
    <n v="6"/>
    <n v="8.6867999999999999"/>
    <m/>
    <m/>
    <m/>
    <m/>
    <m/>
    <m/>
    <m/>
    <e v="#DIV/0!"/>
  </r>
  <r>
    <n v="2024"/>
    <s v="Lethbridge"/>
    <n v="207"/>
    <n v="2"/>
    <n v="23"/>
    <x v="2"/>
    <n v="5"/>
    <x v="4"/>
    <n v="42"/>
    <n v="48"/>
    <e v="#DIV/0!"/>
    <n v="60"/>
    <n v="55"/>
    <n v="56"/>
    <n v="57"/>
    <n v="57"/>
    <n v="78"/>
    <n v="75"/>
    <n v="77"/>
    <n v="78"/>
    <n v="77"/>
    <n v="82"/>
    <n v="80"/>
    <n v="79"/>
    <n v="82"/>
    <n v="80.75"/>
    <n v="86"/>
    <n v="89"/>
    <n v="86"/>
    <n v="84"/>
    <n v="86.25"/>
    <m/>
    <m/>
    <m/>
    <m/>
    <x v="0"/>
    <m/>
    <m/>
    <m/>
    <m/>
    <e v="#DIV/0!"/>
    <d v="2024-07-07T00:00:00"/>
    <m/>
    <m/>
    <m/>
    <m/>
    <x v="0"/>
    <n v="10"/>
    <n v="0"/>
    <n v="0"/>
    <n v="6.666666666666667"/>
    <n v="54"/>
    <m/>
    <m/>
    <n v="36"/>
    <m/>
    <m/>
    <m/>
    <n v="0"/>
    <n v="25.8"/>
    <n v="13.8"/>
    <n v="46.511627906976742"/>
    <n v="4.604651162790697"/>
    <d v="2024-08-06T14:30:42"/>
    <d v="2024-08-06T14:30:42"/>
    <n v="6"/>
    <n v="8.6867999999999999"/>
    <n v="9320"/>
    <n v="9.8000000000000007"/>
    <n v="11187.847031746525"/>
    <n v="207.97920764144183"/>
    <m/>
    <n v="5.61"/>
    <n v="5.62"/>
    <n v="58.551791907514456"/>
  </r>
  <r>
    <n v="2024"/>
    <s v="Lethbridge"/>
    <n v="208"/>
    <n v="2"/>
    <n v="21"/>
    <x v="2"/>
    <n v="3"/>
    <x v="2"/>
    <n v="42"/>
    <n v="51"/>
    <e v="#DIV/0!"/>
    <n v="59"/>
    <n v="58"/>
    <n v="59"/>
    <n v="61"/>
    <n v="59.25"/>
    <n v="77"/>
    <n v="75"/>
    <n v="78"/>
    <n v="75"/>
    <n v="76.25"/>
    <n v="85"/>
    <n v="78"/>
    <n v="84"/>
    <n v="81"/>
    <n v="82"/>
    <n v="87"/>
    <n v="84"/>
    <n v="88"/>
    <n v="83"/>
    <n v="85.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50"/>
    <m/>
    <m/>
    <n v="33.333333333333336"/>
    <m/>
    <m/>
    <m/>
    <n v="0"/>
    <n v="27.1"/>
    <n v="15"/>
    <n v="44.649446494464947"/>
    <n v="3.8597785977859784"/>
    <d v="2024-08-05T20:38:05"/>
    <d v="2024-08-05T20:38:05"/>
    <n v="6"/>
    <n v="8.6867999999999999"/>
    <n v="8440"/>
    <n v="16.5"/>
    <n v="9378.9234666323846"/>
    <n v="174.35178239252508"/>
    <m/>
    <m/>
    <m/>
    <e v="#DIV/0!"/>
  </r>
  <r>
    <n v="2024"/>
    <s v="Lethbridge"/>
    <n v="209"/>
    <n v="2"/>
    <n v="20"/>
    <x v="2"/>
    <n v="2"/>
    <x v="1"/>
    <n v="45"/>
    <n v="48"/>
    <e v="#DIV/0!"/>
    <n v="56"/>
    <n v="56"/>
    <n v="51"/>
    <n v="60"/>
    <n v="55.75"/>
    <n v="77"/>
    <n v="67"/>
    <n v="78"/>
    <n v="73"/>
    <n v="73.75"/>
    <n v="80"/>
    <n v="81"/>
    <n v="83"/>
    <n v="77"/>
    <n v="80.25"/>
    <n v="81"/>
    <n v="82"/>
    <n v="84"/>
    <n v="83"/>
    <n v="82.5"/>
    <m/>
    <m/>
    <m/>
    <m/>
    <x v="0"/>
    <m/>
    <m/>
    <m/>
    <m/>
    <e v="#DIV/0!"/>
    <d v="2024-07-07T00:00:00"/>
    <m/>
    <m/>
    <m/>
    <m/>
    <x v="0"/>
    <n v="0"/>
    <n v="0"/>
    <n v="0"/>
    <n v="0"/>
    <n v="85"/>
    <m/>
    <m/>
    <n v="56.666666666666664"/>
    <m/>
    <m/>
    <m/>
    <n v="0"/>
    <n v="24.6"/>
    <n v="13.9"/>
    <n v="43.495934959349597"/>
    <n v="3.3983739837398388"/>
    <d v="2024-08-05T09:33:40"/>
    <d v="2024-08-05T09:33:40"/>
    <n v="6"/>
    <n v="8.6867999999999999"/>
    <n v="8620"/>
    <n v="15.5"/>
    <n v="9693.6658396860712"/>
    <n v="180.20276240442055"/>
    <m/>
    <m/>
    <m/>
    <e v="#DIV/0!"/>
  </r>
  <r>
    <n v="2024"/>
    <s v="Lethbridge"/>
    <n v="210"/>
    <n v="2"/>
    <n v="8"/>
    <x v="0"/>
    <n v="8"/>
    <x v="7"/>
    <n v="48"/>
    <n v="49"/>
    <e v="#DIV/0!"/>
    <n v="45"/>
    <n v="65"/>
    <n v="45"/>
    <n v="47"/>
    <n v="50.5"/>
    <n v="60"/>
    <n v="80"/>
    <n v="74"/>
    <n v="82"/>
    <n v="74"/>
    <n v="93"/>
    <n v="94"/>
    <n v="99"/>
    <n v="95"/>
    <n v="95.25"/>
    <n v="104"/>
    <n v="101"/>
    <n v="110"/>
    <n v="100"/>
    <n v="103.75"/>
    <m/>
    <m/>
    <m/>
    <m/>
    <x v="0"/>
    <m/>
    <m/>
    <m/>
    <m/>
    <e v="#DIV/0!"/>
    <d v="2024-07-08T00:00:00"/>
    <m/>
    <m/>
    <m/>
    <m/>
    <x v="0"/>
    <n v="80"/>
    <n v="0"/>
    <n v="0"/>
    <n v="53.333333333333336"/>
    <n v="42"/>
    <m/>
    <m/>
    <n v="28"/>
    <m/>
    <m/>
    <m/>
    <n v="0"/>
    <n v="32.5"/>
    <n v="17.7"/>
    <n v="45.53846153846154"/>
    <n v="4.2153846153846164"/>
    <d v="2024-08-06T05:10:09"/>
    <d v="2024-08-06T05:10:09"/>
    <n v="6"/>
    <n v="8.6867999999999999"/>
    <n v="8600"/>
    <n v="14.9"/>
    <n v="9739.8457988613918"/>
    <n v="181.06123600447461"/>
    <m/>
    <m/>
    <m/>
    <e v="#DIV/0!"/>
  </r>
  <r>
    <n v="2024"/>
    <s v="Lethbridge"/>
    <n v="211"/>
    <n v="2"/>
    <n v="1"/>
    <x v="0"/>
    <n v="1"/>
    <x v="0"/>
    <n v="42"/>
    <n v="48"/>
    <e v="#DIV/0!"/>
    <n v="48"/>
    <n v="50"/>
    <n v="56"/>
    <n v="61"/>
    <n v="53.75"/>
    <n v="93"/>
    <n v="80"/>
    <n v="77"/>
    <n v="64"/>
    <n v="78.5"/>
    <n v="99"/>
    <n v="98"/>
    <n v="97"/>
    <n v="100"/>
    <n v="98.5"/>
    <n v="104"/>
    <n v="106"/>
    <n v="104"/>
    <n v="107"/>
    <n v="105.25"/>
    <m/>
    <m/>
    <m/>
    <m/>
    <x v="0"/>
    <m/>
    <m/>
    <m/>
    <m/>
    <e v="#DIV/0!"/>
    <d v="2024-07-09T00:00:00"/>
    <m/>
    <m/>
    <m/>
    <m/>
    <x v="0"/>
    <n v="80"/>
    <n v="0"/>
    <n v="0"/>
    <n v="53.333333333333336"/>
    <s v="*0"/>
    <m/>
    <m/>
    <e v="#VALUE!"/>
    <m/>
    <m/>
    <m/>
    <n v="0"/>
    <n v="22.8"/>
    <n v="17.8"/>
    <n v="21.929824561403507"/>
    <n v="-5.2280701754385976"/>
    <d v="2024-07-27T18:31:35"/>
    <d v="2024-07-27T18:31:35"/>
    <n v="6"/>
    <n v="8.6867999999999999"/>
    <n v="8980"/>
    <n v="7.8"/>
    <n v="11018.724576069304"/>
    <n v="204.8352645551345"/>
    <m/>
    <n v="5.32"/>
    <n v="5.29"/>
    <n v="56.545780346820806"/>
  </r>
  <r>
    <n v="2024"/>
    <s v="Lethbridge"/>
    <n v="212"/>
    <n v="2"/>
    <n v="2"/>
    <x v="0"/>
    <n v="2"/>
    <x v="1"/>
    <n v="54"/>
    <n v="40"/>
    <e v="#DIV/0!"/>
    <n v="48"/>
    <n v="50"/>
    <n v="61"/>
    <n v="54"/>
    <n v="53.25"/>
    <n v="74"/>
    <n v="73"/>
    <n v="67"/>
    <n v="83"/>
    <n v="74.25"/>
    <n v="92"/>
    <n v="93"/>
    <n v="98"/>
    <n v="95"/>
    <n v="94.5"/>
    <n v="103"/>
    <n v="105"/>
    <n v="106"/>
    <n v="98"/>
    <n v="103"/>
    <m/>
    <m/>
    <m/>
    <m/>
    <x v="0"/>
    <m/>
    <m/>
    <m/>
    <m/>
    <e v="#DIV/0!"/>
    <d v="2024-07-09T00:00:00"/>
    <m/>
    <m/>
    <m/>
    <m/>
    <x v="0"/>
    <n v="60"/>
    <n v="0"/>
    <n v="0"/>
    <n v="40"/>
    <n v="25"/>
    <m/>
    <m/>
    <n v="16.666666666666668"/>
    <m/>
    <m/>
    <m/>
    <n v="0"/>
    <n v="28.6"/>
    <n v="17.7"/>
    <n v="38.111888111888113"/>
    <n v="1.2447552447552455"/>
    <d v="2024-08-03T05:52:27"/>
    <d v="2024-08-03T05:52:27"/>
    <n v="6"/>
    <n v="8.6867999999999999"/>
    <n v="8600"/>
    <n v="15.7"/>
    <n v="9648.2843812457741"/>
    <n v="179.35913272828682"/>
    <m/>
    <m/>
    <m/>
    <e v="#DIV/0!"/>
  </r>
  <r>
    <n v="2024"/>
    <s v="Lethbridge"/>
    <n v="213"/>
    <n v="2"/>
    <n v="6"/>
    <x v="0"/>
    <n v="6"/>
    <x v="5"/>
    <n v="44"/>
    <n v="48"/>
    <e v="#DIV/0!"/>
    <n v="58"/>
    <n v="63"/>
    <n v="60"/>
    <n v="63"/>
    <n v="61"/>
    <n v="89"/>
    <n v="74"/>
    <n v="62"/>
    <n v="57"/>
    <n v="70.5"/>
    <n v="82"/>
    <n v="89"/>
    <n v="90"/>
    <n v="82"/>
    <n v="85.75"/>
    <n v="85"/>
    <n v="81"/>
    <n v="83"/>
    <n v="88"/>
    <n v="84.25"/>
    <m/>
    <m/>
    <m/>
    <m/>
    <x v="0"/>
    <m/>
    <m/>
    <m/>
    <m/>
    <e v="#DIV/0!"/>
    <d v="2024-07-10T00:00:00"/>
    <m/>
    <m/>
    <m/>
    <m/>
    <x v="0"/>
    <n v="0"/>
    <n v="0"/>
    <n v="0"/>
    <n v="0"/>
    <n v="0"/>
    <m/>
    <m/>
    <n v="0"/>
    <m/>
    <m/>
    <m/>
    <n v="0"/>
    <n v="29.4"/>
    <n v="15.2"/>
    <n v="48.299319727891152"/>
    <n v="5.3197278911564609"/>
    <d v="2024-08-07T07:40:24"/>
    <d v="2024-08-07T07:40:24"/>
    <n v="6"/>
    <n v="8.6867999999999999"/>
    <n v="8750"/>
    <n v="7.9"/>
    <n v="10724.862997236389"/>
    <n v="199.37245315375338"/>
    <m/>
    <m/>
    <m/>
    <e v="#DIV/0!"/>
  </r>
  <r>
    <n v="2024"/>
    <s v="Lethbridge"/>
    <n v="214"/>
    <n v="2"/>
    <n v="9"/>
    <x v="0"/>
    <n v="9"/>
    <x v="8"/>
    <n v="54"/>
    <n v="57"/>
    <e v="#DIV/0!"/>
    <n v="60"/>
    <n v="58"/>
    <n v="58"/>
    <n v="59"/>
    <n v="58.75"/>
    <n v="72"/>
    <n v="78"/>
    <n v="78"/>
    <n v="75"/>
    <n v="75.75"/>
    <n v="84"/>
    <n v="85"/>
    <n v="95"/>
    <n v="96"/>
    <n v="90"/>
    <n v="93"/>
    <n v="98"/>
    <n v="95"/>
    <n v="100"/>
    <n v="96.5"/>
    <m/>
    <m/>
    <m/>
    <m/>
    <x v="0"/>
    <m/>
    <m/>
    <m/>
    <m/>
    <e v="#DIV/0!"/>
    <d v="2024-07-10T00:00:00"/>
    <m/>
    <m/>
    <m/>
    <m/>
    <x v="0"/>
    <n v="0"/>
    <n v="0"/>
    <n v="0"/>
    <n v="0"/>
    <n v="40"/>
    <m/>
    <m/>
    <n v="26.666666666666668"/>
    <m/>
    <m/>
    <m/>
    <n v="0"/>
    <n v="29.9"/>
    <n v="16.100000000000001"/>
    <n v="46.153846153846146"/>
    <n v="4.4615384615384581"/>
    <d v="2024-08-06T11:04:37"/>
    <d v="2024-08-06T11:04:37"/>
    <n v="6"/>
    <n v="8.6867999999999999"/>
    <n v="8740"/>
    <n v="7.5"/>
    <n v="10759.131987114328"/>
    <n v="200.0095048886638"/>
    <m/>
    <m/>
    <m/>
    <e v="#DIV/0!"/>
  </r>
  <r>
    <n v="2024"/>
    <s v="Lethbridge"/>
    <n v="215"/>
    <n v="2"/>
    <n v="4"/>
    <x v="0"/>
    <n v="4"/>
    <x v="3"/>
    <n v="47"/>
    <n v="38"/>
    <e v="#DIV/0!"/>
    <n v="59"/>
    <n v="69"/>
    <n v="64"/>
    <n v="62"/>
    <n v="63.5"/>
    <n v="90"/>
    <n v="80"/>
    <n v="72"/>
    <n v="79"/>
    <n v="80.25"/>
    <n v="94"/>
    <n v="93"/>
    <n v="86"/>
    <n v="81"/>
    <n v="88.5"/>
    <n v="92"/>
    <n v="88"/>
    <n v="98"/>
    <n v="97"/>
    <n v="93.75"/>
    <m/>
    <m/>
    <m/>
    <m/>
    <x v="0"/>
    <m/>
    <m/>
    <m/>
    <m/>
    <e v="#DIV/0!"/>
    <d v="2024-07-09T00:00:00"/>
    <m/>
    <m/>
    <m/>
    <m/>
    <x v="0"/>
    <n v="0"/>
    <n v="0"/>
    <n v="0"/>
    <n v="0"/>
    <n v="50"/>
    <m/>
    <m/>
    <n v="33.333333333333336"/>
    <m/>
    <m/>
    <m/>
    <n v="0"/>
    <n v="29.8"/>
    <n v="12.9"/>
    <n v="56.711409395973142"/>
    <n v="8.6845637583892561"/>
    <d v="2024-08-10T16:25:46"/>
    <d v="2024-08-10T16:25:46"/>
    <n v="6"/>
    <n v="8.6867999999999999"/>
    <n v="8160"/>
    <n v="15.7"/>
    <n v="9154.6512268564547"/>
    <n v="170.18261896079306"/>
    <m/>
    <m/>
    <m/>
    <e v="#DIV/0!"/>
  </r>
  <r>
    <n v="2024"/>
    <s v="Lethbridge"/>
    <n v="216"/>
    <n v="2"/>
    <n v="5"/>
    <x v="0"/>
    <n v="5"/>
    <x v="4"/>
    <n v="45"/>
    <n v="30"/>
    <e v="#DIV/0!"/>
    <n v="60"/>
    <n v="61"/>
    <n v="54"/>
    <n v="55"/>
    <n v="57.5"/>
    <n v="73"/>
    <n v="82"/>
    <n v="79"/>
    <n v="85"/>
    <n v="79.75"/>
    <n v="85"/>
    <n v="92"/>
    <n v="99"/>
    <n v="89"/>
    <n v="91.25"/>
    <n v="105"/>
    <n v="103"/>
    <n v="104"/>
    <n v="102"/>
    <n v="103.5"/>
    <m/>
    <m/>
    <m/>
    <m/>
    <x v="0"/>
    <m/>
    <m/>
    <m/>
    <m/>
    <e v="#DIV/0!"/>
    <d v="2024-07-09T00:00:00"/>
    <m/>
    <m/>
    <m/>
    <m/>
    <x v="0"/>
    <n v="60"/>
    <n v="0"/>
    <n v="0"/>
    <n v="40"/>
    <n v="50"/>
    <m/>
    <m/>
    <n v="33.333333333333336"/>
    <m/>
    <m/>
    <m/>
    <n v="0"/>
    <n v="28.8"/>
    <n v="15.4"/>
    <n v="46.527777777777779"/>
    <n v="4.6111111111111116"/>
    <d v="2024-08-06T14:40:00"/>
    <d v="2024-08-06T14:40:00"/>
    <n v="6"/>
    <n v="8.6867999999999999"/>
    <n v="8520"/>
    <n v="14.9"/>
    <n v="9649.2425821277975"/>
    <n v="179.37694543699109"/>
    <m/>
    <m/>
    <m/>
    <e v="#DIV/0!"/>
  </r>
  <r>
    <n v="2024"/>
    <s v="Lethbridge"/>
    <n v="217"/>
    <n v="2"/>
    <n v="3"/>
    <x v="0"/>
    <n v="3"/>
    <x v="2"/>
    <n v="42"/>
    <n v="40"/>
    <e v="#DIV/0!"/>
    <n v="62"/>
    <n v="54"/>
    <n v="58"/>
    <n v="61"/>
    <n v="58.75"/>
    <n v="91"/>
    <n v="91"/>
    <n v="80"/>
    <n v="73"/>
    <n v="83.75"/>
    <n v="99"/>
    <n v="97"/>
    <n v="94"/>
    <n v="98"/>
    <n v="97"/>
    <n v="103"/>
    <n v="106"/>
    <n v="105"/>
    <n v="109"/>
    <n v="105.75"/>
    <m/>
    <m/>
    <m/>
    <m/>
    <x v="0"/>
    <m/>
    <m/>
    <m/>
    <m/>
    <e v="#DIV/0!"/>
    <d v="2024-07-09T00:00:00"/>
    <m/>
    <m/>
    <m/>
    <m/>
    <x v="0"/>
    <n v="40"/>
    <n v="0"/>
    <n v="0"/>
    <n v="26.666666666666668"/>
    <n v="60"/>
    <m/>
    <m/>
    <n v="40"/>
    <m/>
    <m/>
    <m/>
    <n v="0"/>
    <n v="32.200000000000003"/>
    <n v="17.3"/>
    <n v="46.273291925465841"/>
    <n v="4.5093167701863361"/>
    <d v="2024-08-06T12:13:25"/>
    <d v="2024-08-06T12:13:25"/>
    <n v="6"/>
    <n v="8.6867999999999999"/>
    <n v="8710"/>
    <n v="7.6"/>
    <n v="10710.609759116283"/>
    <n v="199.10748911177708"/>
    <m/>
    <m/>
    <m/>
    <e v="#DIV/0!"/>
  </r>
  <r>
    <n v="2024"/>
    <s v="Lethbridge"/>
    <n v="218"/>
    <n v="2"/>
    <n v="7"/>
    <x v="0"/>
    <n v="7"/>
    <x v="6"/>
    <n v="43"/>
    <n v="39"/>
    <e v="#DIV/0!"/>
    <n v="62"/>
    <n v="65"/>
    <n v="66"/>
    <n v="60"/>
    <n v="63.25"/>
    <n v="71"/>
    <n v="70"/>
    <n v="80"/>
    <n v="85"/>
    <n v="76.5"/>
    <n v="88"/>
    <n v="87"/>
    <n v="86"/>
    <n v="91"/>
    <n v="88"/>
    <n v="85"/>
    <n v="93"/>
    <n v="97"/>
    <n v="100"/>
    <n v="93.75"/>
    <m/>
    <m/>
    <m/>
    <m/>
    <x v="0"/>
    <m/>
    <m/>
    <m/>
    <m/>
    <e v="#DIV/0!"/>
    <d v="2024-07-09T00:00:00"/>
    <m/>
    <m/>
    <m/>
    <m/>
    <x v="0"/>
    <n v="10"/>
    <n v="0"/>
    <n v="0"/>
    <n v="6.666666666666667"/>
    <n v="40"/>
    <m/>
    <m/>
    <n v="26.666666666666668"/>
    <m/>
    <m/>
    <m/>
    <n v="0"/>
    <n v="29.4"/>
    <n v="16.100000000000001"/>
    <n v="45.238095238095234"/>
    <n v="4.0952380952380931"/>
    <d v="2024-08-06T02:17:09"/>
    <d v="2024-08-06T02:17:09"/>
    <n v="6"/>
    <n v="8.6867999999999999"/>
    <n v="8640"/>
    <n v="7.5"/>
    <n v="10636.029790465422"/>
    <n v="197.72106661762643"/>
    <m/>
    <m/>
    <m/>
    <e v="#DIV/0!"/>
  </r>
  <r>
    <n v="2024"/>
    <s v="Lethbridge"/>
    <n v="219"/>
    <n v="2"/>
    <n v="12"/>
    <x v="1"/>
    <n v="3"/>
    <x v="2"/>
    <n v="23"/>
    <n v="50"/>
    <e v="#DIV/0!"/>
    <n v="67"/>
    <n v="71"/>
    <n v="73"/>
    <n v="71"/>
    <n v="70.5"/>
    <n v="105"/>
    <n v="93"/>
    <n v="100"/>
    <n v="84"/>
    <n v="95.5"/>
    <n v="97"/>
    <n v="106"/>
    <n v="98"/>
    <n v="94"/>
    <n v="98.75"/>
    <n v="109"/>
    <n v="110"/>
    <n v="112"/>
    <n v="111"/>
    <n v="110.5"/>
    <m/>
    <m/>
    <m/>
    <m/>
    <x v="0"/>
    <m/>
    <m/>
    <m/>
    <m/>
    <e v="#DIV/0!"/>
    <d v="2024-07-08T00:00:00"/>
    <m/>
    <m/>
    <m/>
    <m/>
    <x v="0"/>
    <n v="40"/>
    <n v="0"/>
    <n v="0"/>
    <n v="26.666666666666668"/>
    <n v="0"/>
    <m/>
    <m/>
    <n v="0"/>
    <m/>
    <m/>
    <m/>
    <n v="0"/>
    <n v="25.1"/>
    <n v="14.7"/>
    <n v="41.434262948207177"/>
    <n v="2.5737051792828707"/>
    <d v="2024-08-04T13:46:08"/>
    <d v="2024-08-04T13:46:08"/>
    <n v="6"/>
    <n v="8.6867999999999999"/>
    <n v="8460"/>
    <n v="14.3"/>
    <n v="9648.8433317602867"/>
    <n v="179.36952347503097"/>
    <m/>
    <m/>
    <m/>
    <e v="#DIV/0!"/>
  </r>
  <r>
    <n v="2024"/>
    <s v="Lethbridge"/>
    <n v="220"/>
    <n v="2"/>
    <n v="11"/>
    <x v="1"/>
    <n v="2"/>
    <x v="1"/>
    <n v="36"/>
    <n v="32"/>
    <e v="#DIV/0!"/>
    <n v="74"/>
    <n v="69"/>
    <n v="71"/>
    <n v="76"/>
    <n v="72.5"/>
    <n v="82"/>
    <n v="92"/>
    <n v="101"/>
    <n v="95"/>
    <n v="92.5"/>
    <n v="86"/>
    <n v="95"/>
    <n v="103"/>
    <n v="105"/>
    <n v="97.25"/>
    <n v="100"/>
    <n v="106"/>
    <n v="107"/>
    <n v="111"/>
    <n v="106"/>
    <m/>
    <m/>
    <m/>
    <m/>
    <x v="0"/>
    <m/>
    <m/>
    <m/>
    <m/>
    <e v="#DIV/0!"/>
    <d v="2024-07-07T00:00:00"/>
    <m/>
    <m/>
    <m/>
    <m/>
    <x v="0"/>
    <n v="95"/>
    <n v="0"/>
    <n v="0"/>
    <n v="63.333333333333336"/>
    <n v="0"/>
    <m/>
    <m/>
    <n v="0"/>
    <m/>
    <m/>
    <m/>
    <n v="0"/>
    <n v="26.1"/>
    <n v="15.4"/>
    <n v="40.996168582375482"/>
    <n v="2.3984674329501927"/>
    <d v="2024-08-04T09:33:48"/>
    <d v="2024-08-04T09:33:48"/>
    <n v="6"/>
    <n v="8.6867999999999999"/>
    <n v="8570"/>
    <n v="14.3"/>
    <n v="9774.3011055775005"/>
    <n v="181.70175132163303"/>
    <m/>
    <m/>
    <m/>
    <e v="#DIV/0!"/>
  </r>
  <r>
    <n v="2024"/>
    <s v="Lethbridge"/>
    <n v="221"/>
    <n v="2"/>
    <n v="18"/>
    <x v="1"/>
    <n v="9"/>
    <x v="8"/>
    <n v="41"/>
    <n v="47"/>
    <e v="#DIV/0!"/>
    <n v="72"/>
    <n v="74"/>
    <n v="74"/>
    <n v="74"/>
    <n v="73.5"/>
    <n v="94"/>
    <n v="95"/>
    <n v="102"/>
    <n v="87"/>
    <n v="94.5"/>
    <n v="99"/>
    <n v="105"/>
    <n v="102"/>
    <n v="101"/>
    <n v="101.75"/>
    <n v="101"/>
    <n v="109"/>
    <n v="100"/>
    <n v="107"/>
    <n v="104.25"/>
    <m/>
    <m/>
    <m/>
    <m/>
    <x v="0"/>
    <m/>
    <m/>
    <m/>
    <m/>
    <e v="#DIV/0!"/>
    <d v="2024-07-07T00:00:00"/>
    <m/>
    <m/>
    <m/>
    <m/>
    <x v="0"/>
    <n v="70"/>
    <n v="0"/>
    <n v="0"/>
    <n v="46.666666666666664"/>
    <n v="0"/>
    <m/>
    <m/>
    <n v="0"/>
    <m/>
    <m/>
    <m/>
    <n v="0"/>
    <n v="38.299999999999997"/>
    <n v="14.4"/>
    <n v="62.402088772845957"/>
    <n v="10.960835509138382"/>
    <d v="2024-08-12T23:03:36"/>
    <d v="2024-08-12T23:03:36"/>
    <n v="6"/>
    <n v="8.6867999999999999"/>
    <n v="8480"/>
    <n v="15.9"/>
    <n v="9491.0862032115183"/>
    <n v="176.43685890585513"/>
    <m/>
    <m/>
    <m/>
    <e v="#DIV/0!"/>
  </r>
  <r>
    <n v="2024"/>
    <s v="Lethbridge"/>
    <n v="222"/>
    <n v="2"/>
    <n v="13"/>
    <x v="1"/>
    <n v="4"/>
    <x v="3"/>
    <n v="44"/>
    <n v="43"/>
    <e v="#DIV/0!"/>
    <n v="79"/>
    <n v="80"/>
    <n v="74"/>
    <n v="76"/>
    <n v="77.25"/>
    <n v="96"/>
    <n v="95"/>
    <n v="92"/>
    <n v="100"/>
    <n v="95.75"/>
    <n v="95"/>
    <n v="103"/>
    <n v="102"/>
    <n v="101"/>
    <n v="100.25"/>
    <n v="100"/>
    <n v="102"/>
    <n v="106"/>
    <n v="107"/>
    <n v="103.75"/>
    <m/>
    <m/>
    <m/>
    <m/>
    <x v="0"/>
    <m/>
    <m/>
    <m/>
    <m/>
    <e v="#DIV/0!"/>
    <d v="2024-07-08T00:00:00"/>
    <m/>
    <m/>
    <m/>
    <m/>
    <x v="0"/>
    <n v="50"/>
    <n v="0"/>
    <n v="0"/>
    <n v="33.333333333333336"/>
    <n v="0"/>
    <m/>
    <m/>
    <n v="0"/>
    <m/>
    <m/>
    <m/>
    <n v="0"/>
    <n v="26.7"/>
    <n v="14.7"/>
    <n v="44.943820224719097"/>
    <n v="3.9775280898876391"/>
    <d v="2024-08-05T23:27:38"/>
    <d v="2024-08-05T23:27:38"/>
    <n v="6"/>
    <n v="8.6867999999999999"/>
    <n v="8930"/>
    <n v="7.3"/>
    <n v="11016.794865959675"/>
    <n v="204.79939173899396"/>
    <m/>
    <m/>
    <m/>
    <e v="#DIV/0!"/>
  </r>
  <r>
    <n v="2024"/>
    <s v="Lethbridge"/>
    <n v="223"/>
    <n v="2"/>
    <n v="14"/>
    <x v="1"/>
    <n v="5"/>
    <x v="4"/>
    <n v="42"/>
    <n v="52"/>
    <e v="#DIV/0!"/>
    <n v="76"/>
    <n v="69"/>
    <n v="70"/>
    <n v="67"/>
    <n v="70.5"/>
    <n v="97"/>
    <n v="95"/>
    <n v="92"/>
    <n v="89"/>
    <n v="93.25"/>
    <n v="96"/>
    <n v="101"/>
    <n v="102"/>
    <n v="101"/>
    <n v="100"/>
    <n v="103"/>
    <n v="110"/>
    <n v="108"/>
    <n v="110"/>
    <n v="107.75"/>
    <m/>
    <m/>
    <m/>
    <m/>
    <x v="0"/>
    <m/>
    <m/>
    <m/>
    <m/>
    <e v="#DIV/0!"/>
    <d v="2024-07-08T00:00:00"/>
    <m/>
    <m/>
    <m/>
    <m/>
    <x v="0"/>
    <n v="85"/>
    <n v="0"/>
    <n v="0"/>
    <n v="56.666666666666664"/>
    <n v="0"/>
    <m/>
    <m/>
    <n v="0"/>
    <m/>
    <m/>
    <m/>
    <n v="0"/>
    <n v="8.6"/>
    <n v="11.8"/>
    <n v="-37.209302325581412"/>
    <n v="-28.883720930232563"/>
    <d v="2024-07-04T02:47:27"/>
    <d v="2024-07-04T02:47:27"/>
    <n v="6"/>
    <n v="8.6867999999999999"/>
    <n v="9410"/>
    <n v="13.7"/>
    <n v="10807.481206619785"/>
    <n v="200.90830448203445"/>
    <m/>
    <m/>
    <m/>
    <e v="#DIV/0!"/>
  </r>
  <r>
    <n v="2024"/>
    <s v="Lethbridge"/>
    <n v="224"/>
    <n v="2"/>
    <n v="16"/>
    <x v="1"/>
    <n v="7"/>
    <x v="6"/>
    <n v="57"/>
    <n v="51"/>
    <e v="#DIV/0!"/>
    <n v="75"/>
    <n v="71"/>
    <n v="76"/>
    <n v="75"/>
    <n v="74.25"/>
    <n v="94"/>
    <n v="92"/>
    <n v="95"/>
    <n v="101"/>
    <n v="95.5"/>
    <n v="102"/>
    <n v="102"/>
    <n v="101"/>
    <n v="101"/>
    <n v="101.5"/>
    <n v="95"/>
    <n v="103"/>
    <n v="104"/>
    <n v="101"/>
    <n v="100.75"/>
    <m/>
    <m/>
    <m/>
    <m/>
    <x v="0"/>
    <m/>
    <m/>
    <m/>
    <m/>
    <e v="#DIV/0!"/>
    <d v="2024-07-08T00:00:00"/>
    <m/>
    <m/>
    <m/>
    <m/>
    <x v="0"/>
    <n v="40"/>
    <n v="0"/>
    <n v="0"/>
    <n v="26.666666666666668"/>
    <n v="5"/>
    <m/>
    <m/>
    <n v="3.3333333333333335"/>
    <m/>
    <m/>
    <m/>
    <n v="0"/>
    <n v="24.5"/>
    <n v="13.3"/>
    <n v="45.714285714285715"/>
    <n v="4.2857142857142865"/>
    <d v="2024-08-06T06:51:26"/>
    <d v="2024-08-06T06:51:26"/>
    <n v="6"/>
    <n v="8.6867999999999999"/>
    <n v="8940"/>
    <n v="7.6"/>
    <n v="10993.438719460342"/>
    <n v="204.36520696432689"/>
    <m/>
    <m/>
    <m/>
    <e v="#DIV/0!"/>
  </r>
  <r>
    <n v="2024"/>
    <s v="Lethbridge"/>
    <n v="225"/>
    <n v="2"/>
    <n v="15"/>
    <x v="1"/>
    <n v="6"/>
    <x v="5"/>
    <n v="43"/>
    <n v="50"/>
    <e v="#DIV/0!"/>
    <n v="89"/>
    <n v="78"/>
    <n v="77"/>
    <n v="63"/>
    <n v="76.75"/>
    <n v="102"/>
    <n v="102"/>
    <n v="97"/>
    <n v="89"/>
    <n v="97.5"/>
    <n v="74"/>
    <n v="76"/>
    <n v="77"/>
    <n v="86"/>
    <n v="78.25"/>
    <n v="102"/>
    <n v="100"/>
    <n v="95"/>
    <n v="93"/>
    <n v="97.5"/>
    <m/>
    <m/>
    <m/>
    <m/>
    <x v="0"/>
    <m/>
    <m/>
    <m/>
    <m/>
    <e v="#DIV/0!"/>
    <d v="2024-07-08T00:00:00"/>
    <m/>
    <m/>
    <m/>
    <m/>
    <x v="0"/>
    <n v="0"/>
    <n v="0"/>
    <n v="0"/>
    <n v="0"/>
    <n v="5"/>
    <m/>
    <m/>
    <n v="3.3333333333333335"/>
    <m/>
    <m/>
    <m/>
    <n v="0"/>
    <n v="24.2"/>
    <n v="13.9"/>
    <n v="42.561983471074377"/>
    <n v="3.0247933884297509"/>
    <d v="2024-08-05T00:35:42"/>
    <d v="2024-08-05T00:35:42"/>
    <n v="6"/>
    <n v="8.6867999999999999"/>
    <n v="9010"/>
    <n v="8"/>
    <n v="11031.553821211959"/>
    <n v="205.07375693278641"/>
    <m/>
    <n v="4.42"/>
    <n v="4.41"/>
    <n v="46.957225433526006"/>
  </r>
  <r>
    <n v="2024"/>
    <s v="Lethbridge"/>
    <n v="226"/>
    <n v="2"/>
    <n v="10"/>
    <x v="1"/>
    <n v="1"/>
    <x v="0"/>
    <n v="55"/>
    <n v="48"/>
    <e v="#DIV/0!"/>
    <n v="82"/>
    <n v="84"/>
    <n v="86"/>
    <n v="79"/>
    <n v="82.75"/>
    <n v="103"/>
    <n v="105"/>
    <n v="110"/>
    <n v="98"/>
    <n v="104"/>
    <n v="102"/>
    <n v="104"/>
    <n v="106"/>
    <n v="105"/>
    <n v="104.25"/>
    <n v="111"/>
    <n v="112"/>
    <n v="110"/>
    <n v="115"/>
    <n v="112"/>
    <m/>
    <m/>
    <m/>
    <m/>
    <x v="0"/>
    <m/>
    <m/>
    <m/>
    <m/>
    <e v="#DIV/0!"/>
    <d v="2024-07-07T00:00:00"/>
    <m/>
    <m/>
    <m/>
    <m/>
    <x v="0"/>
    <n v="80"/>
    <n v="10"/>
    <n v="5"/>
    <n v="61.666666666666671"/>
    <n v="4"/>
    <m/>
    <m/>
    <n v="2.6666666666666665"/>
    <m/>
    <m/>
    <m/>
    <n v="0"/>
    <n v="26.3"/>
    <n v="14.7"/>
    <n v="44.106463878326998"/>
    <n v="3.6425855513307992"/>
    <d v="2024-08-05T15:25:19"/>
    <d v="2024-08-05T15:25:19"/>
    <n v="6"/>
    <n v="8.6867999999999999"/>
    <n v="9230"/>
    <n v="10.4"/>
    <n v="11006.10826445599"/>
    <n v="204.60073055719468"/>
    <m/>
    <n v="4.79"/>
    <n v="4.87"/>
    <n v="50.03098265895953"/>
  </r>
  <r>
    <n v="2024"/>
    <s v="Lethbridge"/>
    <n v="227"/>
    <n v="2"/>
    <n v="17"/>
    <x v="1"/>
    <n v="8"/>
    <x v="7"/>
    <n v="36"/>
    <n v="45"/>
    <e v="#REF!"/>
    <n v="72"/>
    <n v="77"/>
    <n v="75"/>
    <n v="78"/>
    <n v="75.5"/>
    <n v="97"/>
    <n v="97"/>
    <n v="107"/>
    <n v="95"/>
    <n v="99"/>
    <n v="102"/>
    <n v="102"/>
    <n v="101"/>
    <n v="101"/>
    <n v="101.5"/>
    <n v="110"/>
    <n v="114"/>
    <n v="115"/>
    <n v="116"/>
    <n v="113.75"/>
    <m/>
    <m/>
    <m/>
    <m/>
    <x v="0"/>
    <m/>
    <m/>
    <m/>
    <m/>
    <e v="#DIV/0!"/>
    <d v="2024-07-07T00:00:00"/>
    <m/>
    <m/>
    <m/>
    <m/>
    <x v="0"/>
    <m/>
    <n v="5"/>
    <n v="20"/>
    <n v="21.666666666666668"/>
    <n v="0"/>
    <m/>
    <m/>
    <n v="0"/>
    <m/>
    <m/>
    <m/>
    <n v="0"/>
    <n v="15.5"/>
    <n v="12.8"/>
    <n v="17.419354838709673"/>
    <n v="-7.0322580645161308"/>
    <d v="2024-07-25T23:13:33"/>
    <d v="2024-07-25T23:13:33"/>
    <n v="6"/>
    <n v="8.6867999999999999"/>
    <n v="9440"/>
    <n v="9.9"/>
    <n v="11319.333486113139"/>
    <n v="210.4235071136417"/>
    <m/>
    <n v="4.41"/>
    <n v="4.51"/>
    <n v="46.456184971098267"/>
  </r>
  <r>
    <n v="2024"/>
    <s v="Lethbridge"/>
    <n v="301"/>
    <n v="3"/>
    <n v="11"/>
    <x v="1"/>
    <n v="2"/>
    <x v="1"/>
    <n v="59"/>
    <n v="55"/>
    <e v="#DIV/0!"/>
    <n v="76"/>
    <n v="75"/>
    <n v="77"/>
    <n v="73"/>
    <n v="75.25"/>
    <n v="100"/>
    <n v="93"/>
    <n v="99"/>
    <n v="98"/>
    <n v="97.5"/>
    <n v="101"/>
    <n v="101"/>
    <n v="101"/>
    <n v="102"/>
    <n v="101.25"/>
    <n v="110"/>
    <n v="105"/>
    <n v="110"/>
    <n v="104"/>
    <n v="107.25"/>
    <m/>
    <m/>
    <m/>
    <m/>
    <x v="0"/>
    <m/>
    <m/>
    <m/>
    <m/>
    <e v="#DIV/0!"/>
    <d v="2024-07-07T00:00:00"/>
    <m/>
    <m/>
    <m/>
    <m/>
    <x v="0"/>
    <n v="20"/>
    <n v="10"/>
    <n v="10"/>
    <n v="26.666666666666668"/>
    <n v="5"/>
    <m/>
    <m/>
    <n v="3.3333333333333335"/>
    <m/>
    <m/>
    <m/>
    <n v="0"/>
    <n v="29.8"/>
    <n v="17.71"/>
    <n v="40.570469798657719"/>
    <n v="2.2281879194630876"/>
    <d v="2024-08-04T05:28:35"/>
    <d v="2024-08-04T05:28:35"/>
    <n v="6"/>
    <n v="8.6867999999999999"/>
    <n v="8650"/>
    <n v="10.1"/>
    <n v="10349.035317953676"/>
    <n v="192.38591296195938"/>
    <m/>
    <m/>
    <m/>
    <e v="#DIV/0!"/>
  </r>
  <r>
    <n v="2024"/>
    <s v="Lethbridge"/>
    <n v="302"/>
    <n v="3"/>
    <n v="15"/>
    <x v="1"/>
    <n v="6"/>
    <x v="5"/>
    <n v="48"/>
    <n v="38"/>
    <e v="#DIV/0!"/>
    <n v="80"/>
    <n v="71"/>
    <n v="81"/>
    <n v="80"/>
    <n v="78"/>
    <n v="93"/>
    <n v="97"/>
    <n v="92"/>
    <n v="91"/>
    <n v="93.25"/>
    <n v="96"/>
    <n v="100"/>
    <n v="100"/>
    <n v="95"/>
    <n v="97.75"/>
    <n v="95"/>
    <n v="90"/>
    <n v="100"/>
    <n v="100"/>
    <n v="96.25"/>
    <m/>
    <m/>
    <m/>
    <m/>
    <x v="0"/>
    <m/>
    <m/>
    <m/>
    <m/>
    <e v="#DIV/0!"/>
    <d v="2024-07-08T00:00:00"/>
    <m/>
    <m/>
    <m/>
    <m/>
    <x v="0"/>
    <n v="0"/>
    <n v="0"/>
    <n v="0"/>
    <n v="0"/>
    <n v="0"/>
    <m/>
    <m/>
    <n v="0"/>
    <m/>
    <m/>
    <m/>
    <n v="0"/>
    <n v="23.2"/>
    <n v="14.4"/>
    <n v="37.931034482758619"/>
    <n v="1.1724137931034477"/>
    <d v="2024-08-03T04:08:17"/>
    <d v="2024-08-03T04:08:17"/>
    <n v="6"/>
    <n v="8.6867999999999999"/>
    <n v="8400"/>
    <n v="12.9"/>
    <n v="9736.9179628329857"/>
    <n v="181.00680828343371"/>
    <m/>
    <m/>
    <m/>
    <e v="#DIV/0!"/>
  </r>
  <r>
    <n v="2024"/>
    <s v="Lethbridge"/>
    <n v="303"/>
    <n v="3"/>
    <n v="18"/>
    <x v="1"/>
    <n v="9"/>
    <x v="8"/>
    <n v="50"/>
    <n v="67"/>
    <e v="#DIV/0!"/>
    <n v="71"/>
    <n v="76"/>
    <n v="75"/>
    <n v="71"/>
    <n v="73.25"/>
    <n v="91"/>
    <n v="98"/>
    <n v="90"/>
    <n v="100"/>
    <n v="94.75"/>
    <n v="99"/>
    <n v="101"/>
    <n v="101"/>
    <n v="105"/>
    <n v="101.5"/>
    <n v="93"/>
    <n v="90"/>
    <n v="102"/>
    <n v="95"/>
    <n v="95"/>
    <m/>
    <m/>
    <m/>
    <m/>
    <x v="0"/>
    <m/>
    <m/>
    <m/>
    <m/>
    <e v="#DIV/0!"/>
    <d v="2024-07-08T00:00:00"/>
    <m/>
    <m/>
    <m/>
    <m/>
    <x v="0"/>
    <n v="0"/>
    <n v="0"/>
    <n v="0"/>
    <n v="0"/>
    <n v="0"/>
    <m/>
    <m/>
    <n v="0"/>
    <m/>
    <m/>
    <m/>
    <n v="0"/>
    <n v="23.58"/>
    <n v="13.9"/>
    <n v="41.051738761662421"/>
    <n v="2.4206955046649683"/>
    <d v="2024-08-04T10:05:48"/>
    <d v="2024-08-04T10:05:48"/>
    <n v="6"/>
    <n v="8.6867999999999999"/>
    <n v="8550"/>
    <n v="9.9"/>
    <n v="10252.150562104593"/>
    <n v="190.58485019297001"/>
    <m/>
    <m/>
    <m/>
    <e v="#DIV/0!"/>
  </r>
  <r>
    <n v="2024"/>
    <s v="Lethbridge"/>
    <n v="304"/>
    <n v="3"/>
    <n v="14"/>
    <x v="1"/>
    <n v="5"/>
    <x v="4"/>
    <n v="52"/>
    <n v="40"/>
    <e v="#DIV/0!"/>
    <n v="71"/>
    <n v="69"/>
    <n v="62"/>
    <n v="69"/>
    <n v="67.75"/>
    <n v="87"/>
    <n v="90"/>
    <n v="85"/>
    <n v="87"/>
    <n v="87.25"/>
    <n v="99"/>
    <n v="100"/>
    <n v="98"/>
    <n v="98"/>
    <n v="98.75"/>
    <n v="103"/>
    <n v="100"/>
    <n v="103"/>
    <n v="105"/>
    <n v="102.75"/>
    <m/>
    <m/>
    <m/>
    <m/>
    <x v="0"/>
    <m/>
    <m/>
    <m/>
    <m/>
    <e v="#DIV/0!"/>
    <d v="2024-07-08T00:00:00"/>
    <m/>
    <m/>
    <m/>
    <m/>
    <x v="0"/>
    <n v="10"/>
    <n v="0"/>
    <n v="0"/>
    <n v="6.666666666666667"/>
    <n v="0"/>
    <m/>
    <m/>
    <n v="0"/>
    <m/>
    <m/>
    <m/>
    <n v="0"/>
    <n v="22.7"/>
    <n v="12.1"/>
    <n v="46.696035242290748"/>
    <n v="4.6784140969162991"/>
    <d v="2024-08-06T16:16:55"/>
    <d v="2024-08-06T16:16:55"/>
    <n v="6"/>
    <n v="8.6867999999999999"/>
    <n v="8410"/>
    <n v="6.4"/>
    <n v="10476.01024316743"/>
    <n v="194.74634426400991"/>
    <m/>
    <n v="4.0999999999999996"/>
    <n v="4.9000000000000004"/>
    <n v="48.693641618497104"/>
  </r>
  <r>
    <n v="2024"/>
    <s v="Lethbridge"/>
    <n v="305"/>
    <n v="3"/>
    <n v="10"/>
    <x v="1"/>
    <n v="1"/>
    <x v="0"/>
    <n v="24"/>
    <n v="49"/>
    <e v="#DIV/0!"/>
    <n v="75"/>
    <n v="77"/>
    <n v="76"/>
    <n v="75"/>
    <n v="75.75"/>
    <n v="99"/>
    <n v="105"/>
    <n v="92"/>
    <n v="99"/>
    <n v="98.75"/>
    <n v="100"/>
    <n v="101"/>
    <n v="102"/>
    <n v="101"/>
    <n v="101"/>
    <n v="105"/>
    <n v="104"/>
    <n v="107"/>
    <n v="105"/>
    <n v="105.2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5"/>
    <m/>
    <m/>
    <n v="3.3333333333333335"/>
    <m/>
    <m/>
    <m/>
    <n v="0"/>
    <n v="41.55"/>
    <n v="17.829999999999998"/>
    <n v="57.087845968712394"/>
    <n v="8.8351383874849567"/>
    <d v="2024-08-10T20:02:36"/>
    <d v="2024-08-10T20:02:36"/>
    <n v="6"/>
    <n v="8.6867999999999999"/>
    <n v="8400"/>
    <n v="6.2"/>
    <n v="10485.911652281677"/>
    <n v="194.93040892062092"/>
    <m/>
    <m/>
    <m/>
    <e v="#DIV/0!"/>
  </r>
  <r>
    <n v="2024"/>
    <s v="Lethbridge"/>
    <n v="306"/>
    <n v="3"/>
    <n v="13"/>
    <x v="1"/>
    <n v="4"/>
    <x v="3"/>
    <n v="48"/>
    <n v="41"/>
    <e v="#DIV/0!"/>
    <n v="67"/>
    <n v="73"/>
    <n v="74"/>
    <n v="75"/>
    <n v="72.25"/>
    <n v="84"/>
    <n v="86"/>
    <n v="98"/>
    <n v="98"/>
    <n v="91.5"/>
    <n v="101"/>
    <n v="100"/>
    <n v="101"/>
    <n v="98"/>
    <n v="100"/>
    <n v="95"/>
    <n v="102"/>
    <n v="100"/>
    <n v="95"/>
    <n v="98"/>
    <m/>
    <m/>
    <m/>
    <m/>
    <x v="0"/>
    <m/>
    <m/>
    <m/>
    <m/>
    <e v="#DIV/0!"/>
    <d v="2024-07-07T00:00:00"/>
    <m/>
    <m/>
    <m/>
    <m/>
    <x v="0"/>
    <n v="0"/>
    <n v="0"/>
    <n v="0"/>
    <n v="0"/>
    <n v="4"/>
    <m/>
    <m/>
    <n v="2.6666666666666665"/>
    <m/>
    <m/>
    <m/>
    <n v="0"/>
    <n v="29.15"/>
    <n v="13.46"/>
    <n v="53.825042881646645"/>
    <n v="7.5300171526586581"/>
    <d v="2024-08-09T12:43:13"/>
    <d v="2024-08-09T12:43:13"/>
    <n v="6"/>
    <n v="8.6867999999999999"/>
    <n v="8270"/>
    <n v="10.3"/>
    <n v="9872.3836125291164"/>
    <n v="183.52507997650281"/>
    <m/>
    <m/>
    <m/>
    <e v="#DIV/0!"/>
  </r>
  <r>
    <n v="2024"/>
    <s v="Lethbridge"/>
    <n v="307"/>
    <n v="3"/>
    <n v="16"/>
    <x v="1"/>
    <n v="7"/>
    <x v="6"/>
    <n v="38"/>
    <n v="54"/>
    <e v="#DIV/0!"/>
    <n v="74"/>
    <n v="70"/>
    <n v="77"/>
    <n v="74"/>
    <n v="73.75"/>
    <n v="85"/>
    <n v="88"/>
    <n v="87"/>
    <n v="91"/>
    <n v="87.75"/>
    <n v="90"/>
    <n v="94"/>
    <n v="95"/>
    <n v="96"/>
    <n v="93.75"/>
    <n v="100"/>
    <n v="102"/>
    <n v="100"/>
    <n v="98"/>
    <n v="100"/>
    <m/>
    <m/>
    <m/>
    <m/>
    <x v="0"/>
    <m/>
    <m/>
    <m/>
    <m/>
    <e v="#DIV/0!"/>
    <d v="2024-07-08T00:00:00"/>
    <m/>
    <m/>
    <m/>
    <m/>
    <x v="0"/>
    <n v="5"/>
    <n v="0"/>
    <n v="0"/>
    <n v="3.3333333333333335"/>
    <n v="0"/>
    <m/>
    <m/>
    <n v="0"/>
    <m/>
    <m/>
    <m/>
    <n v="0"/>
    <n v="28.7"/>
    <n v="15.05"/>
    <n v="47.560975609756099"/>
    <n v="5.0243902439024399"/>
    <d v="2024-08-07T00:35:07"/>
    <d v="2024-08-07T00:35:07"/>
    <n v="6"/>
    <n v="8.6867999999999999"/>
    <n v="8540"/>
    <n v="10.8"/>
    <n v="10137.871798577657"/>
    <n v="188.46043728125133"/>
    <m/>
    <m/>
    <m/>
    <e v="#DIV/0!"/>
  </r>
  <r>
    <n v="2024"/>
    <s v="Lethbridge"/>
    <n v="308"/>
    <n v="3"/>
    <n v="17"/>
    <x v="1"/>
    <n v="8"/>
    <x v="7"/>
    <n v="40"/>
    <n v="41"/>
    <e v="#DIV/0!"/>
    <n v="79"/>
    <n v="70"/>
    <n v="76"/>
    <n v="72"/>
    <n v="74.25"/>
    <n v="94"/>
    <n v="86"/>
    <n v="93"/>
    <n v="100"/>
    <n v="93.25"/>
    <n v="93"/>
    <n v="101"/>
    <n v="100"/>
    <n v="96"/>
    <n v="97.5"/>
    <n v="97"/>
    <n v="95"/>
    <n v="105"/>
    <n v="100"/>
    <n v="99.25"/>
    <m/>
    <m/>
    <m/>
    <m/>
    <x v="0"/>
    <m/>
    <m/>
    <m/>
    <m/>
    <e v="#DIV/0!"/>
    <d v="2024-07-06T00:00:00"/>
    <m/>
    <m/>
    <m/>
    <m/>
    <x v="0"/>
    <n v="0"/>
    <n v="0"/>
    <n v="0"/>
    <n v="0"/>
    <n v="0"/>
    <m/>
    <m/>
    <n v="0"/>
    <m/>
    <m/>
    <m/>
    <n v="0"/>
    <n v="20.399999999999999"/>
    <n v="16.64"/>
    <n v="18.431372549019599"/>
    <n v="-6.62745098039216"/>
    <d v="2024-07-26T08:56:28"/>
    <d v="2024-07-26T08:56:28"/>
    <n v="6"/>
    <n v="8.6867999999999999"/>
    <n v="8490"/>
    <n v="10.7"/>
    <n v="10089.815362675041"/>
    <n v="187.56708045998474"/>
    <m/>
    <m/>
    <m/>
    <e v="#DIV/0!"/>
  </r>
  <r>
    <n v="2024"/>
    <s v="Lethbridge"/>
    <n v="309"/>
    <n v="3"/>
    <n v="12"/>
    <x v="1"/>
    <n v="3"/>
    <x v="2"/>
    <n v="41"/>
    <n v="57"/>
    <e v="#DIV/0!"/>
    <n v="79"/>
    <n v="80"/>
    <n v="69"/>
    <n v="70"/>
    <n v="74.5"/>
    <n v="96"/>
    <n v="98"/>
    <n v="94"/>
    <n v="99"/>
    <n v="96.75"/>
    <n v="98"/>
    <n v="100"/>
    <n v="97"/>
    <n v="101"/>
    <n v="99"/>
    <n v="103"/>
    <n v="102"/>
    <n v="105"/>
    <n v="107"/>
    <n v="104.25"/>
    <m/>
    <m/>
    <m/>
    <m/>
    <x v="0"/>
    <m/>
    <m/>
    <m/>
    <m/>
    <e v="#DIV/0!"/>
    <d v="2024-07-06T00:00:00"/>
    <m/>
    <m/>
    <m/>
    <m/>
    <x v="0"/>
    <n v="10"/>
    <n v="5"/>
    <n v="0"/>
    <n v="8.3333333333333339"/>
    <n v="0"/>
    <m/>
    <m/>
    <n v="0"/>
    <m/>
    <m/>
    <m/>
    <n v="0"/>
    <n v="36.94"/>
    <n v="22.96"/>
    <n v="37.845154304277202"/>
    <n v="1.1380617217108806"/>
    <d v="2024-08-03T03:18:49"/>
    <d v="2024-08-03T03:18:49"/>
    <n v="6"/>
    <n v="8.6867999999999999"/>
    <n v="8640"/>
    <n v="5.3"/>
    <n v="10888.994823319736"/>
    <n v="202.42362171555919"/>
    <m/>
    <m/>
    <m/>
    <e v="#DIV/0!"/>
  </r>
  <r>
    <n v="2024"/>
    <s v="Lethbridge"/>
    <n v="310"/>
    <n v="3"/>
    <n v="26"/>
    <x v="2"/>
    <n v="8"/>
    <x v="7"/>
    <n v="46"/>
    <n v="52"/>
    <e v="#DIV/0!"/>
    <n v="69"/>
    <n v="66"/>
    <n v="69"/>
    <n v="66"/>
    <n v="67.5"/>
    <n v="77"/>
    <n v="80"/>
    <n v="81"/>
    <n v="82"/>
    <n v="80"/>
    <n v="86"/>
    <n v="85"/>
    <n v="85"/>
    <n v="84"/>
    <n v="85"/>
    <n v="85"/>
    <n v="85"/>
    <n v="87"/>
    <n v="85"/>
    <n v="85.5"/>
    <m/>
    <m/>
    <m/>
    <m/>
    <x v="0"/>
    <m/>
    <m/>
    <m/>
    <m/>
    <e v="#DIV/0!"/>
    <d v="2024-07-07T00:00:00"/>
    <m/>
    <m/>
    <m/>
    <m/>
    <x v="0"/>
    <n v="0"/>
    <n v="0"/>
    <n v="0"/>
    <n v="0"/>
    <n v="0"/>
    <m/>
    <m/>
    <n v="0"/>
    <m/>
    <m/>
    <m/>
    <n v="0"/>
    <n v="27.7"/>
    <n v="16.82"/>
    <n v="39.277978339350177"/>
    <n v="1.711191335740071"/>
    <d v="2024-08-03T17:04:07"/>
    <d v="2024-08-03T17:04:07"/>
    <n v="6"/>
    <n v="8.6867999999999999"/>
    <n v="8950"/>
    <n v="6.1"/>
    <n v="11184.400170240355"/>
    <n v="207.91513136985276"/>
    <m/>
    <m/>
    <m/>
    <e v="#DIV/0!"/>
  </r>
  <r>
    <n v="2024"/>
    <s v="Lethbridge"/>
    <n v="311"/>
    <n v="3"/>
    <n v="19"/>
    <x v="2"/>
    <n v="1"/>
    <x v="0"/>
    <n v="41"/>
    <n v="61"/>
    <e v="#DIV/0!"/>
    <n v="70"/>
    <n v="70"/>
    <n v="68"/>
    <n v="71"/>
    <n v="69.75"/>
    <n v="80"/>
    <n v="81"/>
    <n v="81"/>
    <n v="80"/>
    <n v="80.5"/>
    <n v="81"/>
    <n v="88"/>
    <n v="83"/>
    <n v="87"/>
    <n v="84.75"/>
    <n v="85"/>
    <n v="87"/>
    <n v="90"/>
    <n v="87"/>
    <n v="87.25"/>
    <m/>
    <m/>
    <m/>
    <m/>
    <x v="0"/>
    <m/>
    <m/>
    <m/>
    <m/>
    <e v="#DIV/0!"/>
    <d v="2024-07-07T00:00:00"/>
    <m/>
    <m/>
    <m/>
    <m/>
    <x v="0"/>
    <n v="0"/>
    <n v="0"/>
    <n v="0"/>
    <n v="0"/>
    <n v="0"/>
    <m/>
    <m/>
    <n v="0"/>
    <m/>
    <m/>
    <m/>
    <n v="0"/>
    <n v="38.89"/>
    <n v="24.01"/>
    <n v="38.261763949601438"/>
    <n v="1.3047055798405751"/>
    <d v="2024-08-03T07:18:47"/>
    <d v="2024-08-03T07:18:47"/>
    <n v="6"/>
    <n v="8.6867999999999999"/>
    <n v="9280"/>
    <n v="7.1"/>
    <n v="11473.284427824983"/>
    <n v="213.28541564546444"/>
    <m/>
    <n v="5.16"/>
    <n v="5.27"/>
    <n v="56.008497109826585"/>
  </r>
  <r>
    <n v="2024"/>
    <s v="Lethbridge"/>
    <n v="312"/>
    <n v="3"/>
    <n v="25"/>
    <x v="2"/>
    <n v="7"/>
    <x v="6"/>
    <n v="40"/>
    <n v="54"/>
    <e v="#DIV/0!"/>
    <n v="68"/>
    <n v="71"/>
    <n v="68"/>
    <n v="71"/>
    <n v="69.5"/>
    <n v="81"/>
    <n v="78"/>
    <n v="78"/>
    <n v="78"/>
    <n v="78.75"/>
    <n v="81"/>
    <n v="82"/>
    <n v="88"/>
    <n v="84"/>
    <n v="83.75"/>
    <n v="83"/>
    <n v="85"/>
    <n v="80"/>
    <n v="86"/>
    <n v="83.5"/>
    <m/>
    <m/>
    <m/>
    <m/>
    <x v="0"/>
    <m/>
    <m/>
    <m/>
    <m/>
    <e v="#DIV/0!"/>
    <d v="2024-07-08T00:00:00"/>
    <m/>
    <m/>
    <m/>
    <m/>
    <x v="0"/>
    <n v="0"/>
    <n v="0"/>
    <n v="0"/>
    <n v="0"/>
    <n v="0"/>
    <m/>
    <m/>
    <n v="0"/>
    <m/>
    <m/>
    <m/>
    <n v="0"/>
    <n v="26.71"/>
    <n v="15.9"/>
    <n v="40.471733433171096"/>
    <n v="2.1886933732684382"/>
    <d v="2024-08-04T04:31:43"/>
    <d v="2024-08-04T04:31:43"/>
    <n v="6"/>
    <n v="8.6867999999999999"/>
    <n v="9420"/>
    <n v="9.5"/>
    <n v="11345.497693530626"/>
    <n v="210.90989302076161"/>
    <m/>
    <n v="5.22"/>
    <n v="5.15"/>
    <n v="54.247687861271686"/>
  </r>
  <r>
    <n v="2024"/>
    <s v="Lethbridge"/>
    <n v="313"/>
    <n v="3"/>
    <n v="27"/>
    <x v="2"/>
    <n v="9"/>
    <x v="8"/>
    <n v="51"/>
    <n v="59"/>
    <e v="#DIV/0!"/>
    <n v="74"/>
    <n v="75"/>
    <n v="71"/>
    <n v="73"/>
    <n v="73.25"/>
    <n v="86"/>
    <n v="81"/>
    <n v="79"/>
    <n v="80"/>
    <n v="81.5"/>
    <n v="82"/>
    <n v="81"/>
    <n v="82"/>
    <n v="86"/>
    <n v="82.75"/>
    <n v="84"/>
    <n v="87"/>
    <n v="81"/>
    <n v="83"/>
    <n v="83.75"/>
    <m/>
    <m/>
    <m/>
    <m/>
    <x v="0"/>
    <m/>
    <m/>
    <m/>
    <m/>
    <e v="#DIV/0!"/>
    <d v="2024-07-07T00:00:00"/>
    <m/>
    <m/>
    <m/>
    <m/>
    <x v="0"/>
    <n v="0"/>
    <n v="0"/>
    <n v="0"/>
    <n v="0"/>
    <n v="0"/>
    <m/>
    <m/>
    <n v="0"/>
    <m/>
    <m/>
    <m/>
    <n v="0"/>
    <n v="26.8"/>
    <n v="16.309999999999999"/>
    <n v="39.141791044776127"/>
    <n v="1.656716417910451"/>
    <d v="2024-08-03T15:45:40"/>
    <d v="2024-08-03T15:45:40"/>
    <n v="6"/>
    <n v="8.6867999999999999"/>
    <n v="9180"/>
    <n v="6.4"/>
    <n v="11435.169326073366"/>
    <n v="212.57686567700492"/>
    <m/>
    <m/>
    <m/>
    <e v="#DIV/0!"/>
  </r>
  <r>
    <n v="2024"/>
    <s v="Lethbridge"/>
    <n v="314"/>
    <n v="3"/>
    <n v="20"/>
    <x v="2"/>
    <n v="2"/>
    <x v="1"/>
    <n v="45"/>
    <n v="52"/>
    <e v="#DIV/0!"/>
    <n v="69"/>
    <n v="68"/>
    <n v="70"/>
    <n v="66"/>
    <n v="68.25"/>
    <n v="79"/>
    <n v="80"/>
    <n v="81"/>
    <n v="84"/>
    <n v="81"/>
    <n v="82"/>
    <n v="83"/>
    <n v="84"/>
    <n v="83"/>
    <n v="83"/>
    <n v="83"/>
    <n v="88"/>
    <n v="87"/>
    <n v="91"/>
    <n v="87.25"/>
    <m/>
    <m/>
    <m/>
    <m/>
    <x v="0"/>
    <m/>
    <m/>
    <m/>
    <m/>
    <e v="#DIV/0!"/>
    <d v="2024-07-06T00:00:00"/>
    <m/>
    <m/>
    <m/>
    <m/>
    <x v="0"/>
    <n v="0"/>
    <n v="0"/>
    <n v="0"/>
    <n v="0"/>
    <n v="0"/>
    <m/>
    <m/>
    <n v="0"/>
    <m/>
    <m/>
    <m/>
    <n v="0"/>
    <n v="28"/>
    <n v="17.62"/>
    <n v="37.071428571428569"/>
    <n v="0.82857142857142774"/>
    <d v="2024-08-02T19:53:09"/>
    <d v="2024-08-02T19:53:09"/>
    <n v="6"/>
    <n v="8.6867999999999999"/>
    <n v="8880"/>
    <n v="2.2000000000000002"/>
    <n v="11557.819038972424"/>
    <n v="214.85689239115402"/>
    <m/>
    <n v="5.38"/>
    <n v="5.23"/>
    <n v="59.980231213872827"/>
  </r>
  <r>
    <n v="2024"/>
    <s v="Lethbridge"/>
    <n v="315"/>
    <n v="3"/>
    <n v="24"/>
    <x v="2"/>
    <n v="6"/>
    <x v="5"/>
    <n v="46"/>
    <n v="63"/>
    <e v="#DIV/0!"/>
    <n v="70"/>
    <n v="70"/>
    <n v="68"/>
    <n v="69"/>
    <n v="69.25"/>
    <n v="74"/>
    <n v="76"/>
    <n v="75"/>
    <n v="71"/>
    <n v="74"/>
    <n v="77"/>
    <n v="79"/>
    <n v="73"/>
    <n v="75"/>
    <n v="76"/>
    <n v="80"/>
    <n v="77"/>
    <n v="79"/>
    <n v="81"/>
    <n v="79.25"/>
    <m/>
    <m/>
    <m/>
    <m/>
    <x v="0"/>
    <m/>
    <m/>
    <m/>
    <m/>
    <e v="#DIV/0!"/>
    <d v="2024-07-07T00:00:00"/>
    <m/>
    <m/>
    <m/>
    <m/>
    <x v="0"/>
    <n v="0"/>
    <n v="0"/>
    <n v="0"/>
    <n v="0"/>
    <n v="0"/>
    <m/>
    <m/>
    <n v="0"/>
    <m/>
    <m/>
    <m/>
    <n v="0"/>
    <n v="27.4"/>
    <n v="17.39"/>
    <n v="36.532846715328461"/>
    <n v="0.61313868613138423"/>
    <d v="2024-08-02T14:42:55"/>
    <d v="2024-08-02T14:42:55"/>
    <n v="6"/>
    <n v="8.6867999999999999"/>
    <n v="8600"/>
    <n v="12.5"/>
    <n v="10014.530051708245"/>
    <n v="186.16754583303791"/>
    <m/>
    <m/>
    <m/>
    <e v="#DIV/0!"/>
  </r>
  <r>
    <n v="2024"/>
    <s v="Lethbridge"/>
    <n v="316"/>
    <n v="3"/>
    <n v="21"/>
    <x v="2"/>
    <n v="3"/>
    <x v="2"/>
    <n v="54"/>
    <n v="32"/>
    <e v="#DIV/0!"/>
    <n v="68"/>
    <n v="66"/>
    <n v="67"/>
    <n v="77"/>
    <n v="69.5"/>
    <n v="79"/>
    <n v="80"/>
    <n v="81"/>
    <n v="81"/>
    <n v="80.25"/>
    <n v="79"/>
    <n v="76"/>
    <n v="82"/>
    <n v="83"/>
    <n v="80"/>
    <n v="86"/>
    <n v="83"/>
    <n v="90"/>
    <n v="88"/>
    <n v="86.75"/>
    <m/>
    <m/>
    <m/>
    <m/>
    <x v="0"/>
    <m/>
    <m/>
    <m/>
    <m/>
    <e v="#DIV/0!"/>
    <d v="2024-07-06T00:00:00"/>
    <m/>
    <m/>
    <m/>
    <m/>
    <x v="0"/>
    <n v="0"/>
    <n v="0"/>
    <n v="0"/>
    <n v="0"/>
    <n v="0"/>
    <m/>
    <m/>
    <n v="0"/>
    <m/>
    <m/>
    <m/>
    <n v="0"/>
    <n v="22.5"/>
    <n v="13.9"/>
    <n v="38.222222222222221"/>
    <n v="1.2888888888888885"/>
    <d v="2024-08-03T06:56:00"/>
    <d v="2024-08-03T06:56:00"/>
    <n v="6"/>
    <n v="8.6867999999999999"/>
    <n v="8980"/>
    <n v="14.1"/>
    <n v="10265.818233019017"/>
    <n v="190.83892869073816"/>
    <m/>
    <m/>
    <m/>
    <e v="#DIV/0!"/>
  </r>
  <r>
    <n v="2024"/>
    <s v="Lethbridge"/>
    <n v="317"/>
    <n v="3"/>
    <n v="22"/>
    <x v="2"/>
    <n v="4"/>
    <x v="3"/>
    <n v="36"/>
    <n v="31"/>
    <e v="#DIV/0!"/>
    <n v="66"/>
    <n v="64"/>
    <n v="64"/>
    <n v="65"/>
    <n v="64.75"/>
    <n v="80"/>
    <n v="81"/>
    <n v="84"/>
    <n v="71"/>
    <n v="79"/>
    <n v="85"/>
    <n v="76"/>
    <n v="75"/>
    <n v="78"/>
    <n v="78.5"/>
    <n v="87"/>
    <n v="86"/>
    <n v="83"/>
    <n v="83"/>
    <n v="84.7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0"/>
    <m/>
    <m/>
    <n v="0"/>
    <m/>
    <m/>
    <m/>
    <n v="0"/>
    <n v="22.5"/>
    <n v="14.67"/>
    <n v="34.799999999999997"/>
    <n v="-8.000000000000114E-2"/>
    <d v="2024-08-01T22:04:48"/>
    <d v="2024-08-01T22:04:48"/>
    <n v="6"/>
    <n v="8.6867999999999999"/>
    <n v="9040"/>
    <n v="6.9"/>
    <n v="11200.623043506846"/>
    <n v="208.21671042416574"/>
    <m/>
    <m/>
    <m/>
    <e v="#DIV/0!"/>
  </r>
  <r>
    <n v="2024"/>
    <s v="Lethbridge"/>
    <n v="318"/>
    <n v="3"/>
    <n v="23"/>
    <x v="2"/>
    <n v="5"/>
    <x v="4"/>
    <n v="53"/>
    <n v="60"/>
    <e v="#DIV/0!"/>
    <n v="63"/>
    <n v="58"/>
    <n v="67"/>
    <n v="68"/>
    <n v="64"/>
    <n v="74"/>
    <n v="87"/>
    <n v="77"/>
    <n v="90"/>
    <n v="82"/>
    <m/>
    <m/>
    <n v="84"/>
    <n v="86"/>
    <n v="85"/>
    <n v="82"/>
    <n v="87"/>
    <n v="85"/>
    <n v="87"/>
    <n v="85.25"/>
    <m/>
    <m/>
    <m/>
    <m/>
    <x v="0"/>
    <m/>
    <m/>
    <m/>
    <m/>
    <e v="#DIV/0!"/>
    <d v="2024-07-06T00:00:00"/>
    <m/>
    <m/>
    <m/>
    <m/>
    <x v="0"/>
    <n v="0"/>
    <n v="0"/>
    <n v="0"/>
    <n v="0"/>
    <n v="0"/>
    <m/>
    <m/>
    <n v="0"/>
    <m/>
    <m/>
    <m/>
    <n v="0"/>
    <n v="21.1"/>
    <n v="13.2"/>
    <n v="37.440758293838869"/>
    <n v="0.97630331753554744"/>
    <d v="2024-08-02T23:25:53"/>
    <d v="2024-08-02T23:25:53"/>
    <n v="6"/>
    <n v="8.6867999999999999"/>
    <n v="9450"/>
    <n v="11.5"/>
    <n v="11130.102120259"/>
    <n v="206.90574454327628"/>
    <m/>
    <m/>
    <m/>
    <e v="#DIV/0!"/>
  </r>
  <r>
    <n v="2024"/>
    <s v="Lethbridge"/>
    <n v="319"/>
    <n v="3"/>
    <n v="6"/>
    <x v="0"/>
    <n v="6"/>
    <x v="5"/>
    <n v="38"/>
    <n v="50"/>
    <e v="#DIV/0!"/>
    <n v="71"/>
    <n v="65"/>
    <n v="66"/>
    <n v="69"/>
    <n v="67.75"/>
    <n v="84"/>
    <n v="89"/>
    <n v="76"/>
    <n v="78"/>
    <n v="81.75"/>
    <n v="96"/>
    <n v="82"/>
    <n v="81"/>
    <n v="76"/>
    <n v="83.75"/>
    <n v="91"/>
    <n v="88"/>
    <n v="88"/>
    <n v="85"/>
    <n v="88"/>
    <m/>
    <m/>
    <m/>
    <m/>
    <x v="0"/>
    <m/>
    <m/>
    <m/>
    <m/>
    <e v="#DIV/0!"/>
    <d v="2024-07-10T00:00:00"/>
    <m/>
    <m/>
    <m/>
    <m/>
    <x v="0"/>
    <n v="0"/>
    <n v="0"/>
    <n v="0"/>
    <n v="0"/>
    <n v="0"/>
    <m/>
    <m/>
    <n v="0"/>
    <m/>
    <m/>
    <m/>
    <n v="0"/>
    <n v="28.2"/>
    <n v="15.51"/>
    <n v="45"/>
    <n v="4"/>
    <d v="2024-08-06T00:00:00"/>
    <d v="2024-08-06T00:00:00"/>
    <n v="6"/>
    <n v="8.6867999999999999"/>
    <n v="8650"/>
    <n v="7.4"/>
    <n v="10659.851729060183"/>
    <n v="198.16391034791366"/>
    <m/>
    <m/>
    <m/>
    <e v="#DIV/0!"/>
  </r>
  <r>
    <n v="2024"/>
    <s v="Lethbridge"/>
    <n v="320"/>
    <n v="3"/>
    <n v="4"/>
    <x v="0"/>
    <n v="4"/>
    <x v="3"/>
    <n v="63"/>
    <n v="55"/>
    <e v="#DIV/0!"/>
    <n v="65"/>
    <n v="72"/>
    <n v="75"/>
    <n v="72"/>
    <n v="71"/>
    <n v="73"/>
    <n v="86"/>
    <n v="83"/>
    <n v="91"/>
    <n v="83.25"/>
    <n v="98"/>
    <n v="92"/>
    <n v="93"/>
    <n v="92"/>
    <n v="93.75"/>
    <n v="90"/>
    <n v="94"/>
    <n v="101"/>
    <n v="100"/>
    <n v="96.25"/>
    <m/>
    <m/>
    <m/>
    <m/>
    <x v="0"/>
    <m/>
    <m/>
    <m/>
    <m/>
    <e v="#DIV/0!"/>
    <d v="2024-07-10T00:00:00"/>
    <m/>
    <m/>
    <m/>
    <m/>
    <x v="0"/>
    <n v="10"/>
    <n v="0"/>
    <n v="0"/>
    <n v="6.666666666666667"/>
    <n v="50"/>
    <m/>
    <m/>
    <n v="33.333333333333336"/>
    <m/>
    <m/>
    <m/>
    <n v="0"/>
    <n v="26"/>
    <n v="15"/>
    <n v="42.307692307692307"/>
    <n v="2.9230769230769225"/>
    <d v="2024-08-04T22:09:14"/>
    <d v="2024-08-04T22:09:14"/>
    <n v="6"/>
    <n v="8.6867999999999999"/>
    <n v="8710"/>
    <n v="6.2"/>
    <n v="10872.891725163499"/>
    <n v="202.1242692498343"/>
    <m/>
    <m/>
    <m/>
    <e v="#DIV/0!"/>
  </r>
  <r>
    <n v="2024"/>
    <s v="Lethbridge"/>
    <n v="321"/>
    <n v="3"/>
    <n v="9"/>
    <x v="0"/>
    <n v="9"/>
    <x v="8"/>
    <n v="41"/>
    <n v="54"/>
    <e v="#DIV/0!"/>
    <n v="60"/>
    <n v="65"/>
    <n v="73"/>
    <n v="64"/>
    <n v="65.5"/>
    <n v="78"/>
    <n v="85"/>
    <n v="85"/>
    <n v="85"/>
    <n v="83.25"/>
    <n v="90"/>
    <n v="87"/>
    <n v="92"/>
    <n v="88"/>
    <n v="89.25"/>
    <n v="92"/>
    <n v="97"/>
    <n v="90"/>
    <n v="93"/>
    <n v="93"/>
    <m/>
    <m/>
    <m/>
    <m/>
    <x v="0"/>
    <m/>
    <m/>
    <m/>
    <m/>
    <e v="#DIV/0!"/>
    <d v="2024-07-11T00:00:00"/>
    <m/>
    <m/>
    <m/>
    <m/>
    <x v="0"/>
    <n v="5"/>
    <n v="0"/>
    <n v="0"/>
    <n v="3.3333333333333335"/>
    <n v="50"/>
    <m/>
    <m/>
    <n v="33.333333333333336"/>
    <m/>
    <m/>
    <m/>
    <n v="0"/>
    <n v="30.6"/>
    <n v="16.940000000000001"/>
    <n v="44.640522875816991"/>
    <n v="3.8562091503267966"/>
    <d v="2024-08-05T20:32:56"/>
    <d v="2024-08-05T20:32:56"/>
    <n v="6"/>
    <n v="8.6867999999999999"/>
    <n v="9220"/>
    <n v="5.9"/>
    <n v="11546.347245079305"/>
    <n v="214.64363468416659"/>
    <m/>
    <m/>
    <m/>
    <e v="#DIV/0!"/>
  </r>
  <r>
    <n v="2024"/>
    <s v="Lethbridge"/>
    <n v="322"/>
    <n v="3"/>
    <n v="3"/>
    <x v="0"/>
    <n v="3"/>
    <x v="2"/>
    <n v="48"/>
    <n v="48"/>
    <e v="#DIV/0!"/>
    <n v="62"/>
    <n v="70"/>
    <n v="67"/>
    <n v="65"/>
    <n v="66"/>
    <n v="91"/>
    <n v="91"/>
    <n v="94"/>
    <n v="90"/>
    <n v="91.5"/>
    <n v="96"/>
    <n v="98"/>
    <n v="99"/>
    <n v="96"/>
    <n v="97.25"/>
    <n v="105"/>
    <n v="112"/>
    <n v="110"/>
    <n v="108"/>
    <n v="108.75"/>
    <m/>
    <m/>
    <m/>
    <m/>
    <x v="0"/>
    <m/>
    <m/>
    <m/>
    <m/>
    <e v="#DIV/0!"/>
    <d v="2024-07-10T00:00:00"/>
    <m/>
    <m/>
    <m/>
    <m/>
    <x v="0"/>
    <n v="20"/>
    <n v="0"/>
    <n v="0"/>
    <n v="13.333333333333334"/>
    <n v="50"/>
    <m/>
    <m/>
    <n v="33.333333333333336"/>
    <m/>
    <m/>
    <m/>
    <n v="0"/>
    <n v="28"/>
    <n v="16.190000000000001"/>
    <n v="42.178571428571423"/>
    <n v="2.8714285714285692"/>
    <d v="2024-08-04T20:54:51"/>
    <d v="2024-08-04T20:54:51"/>
    <n v="6"/>
    <n v="8.6867999999999999"/>
    <n v="8900"/>
    <n v="5.9"/>
    <n v="11145.606342863974"/>
    <n v="207.19396406606106"/>
    <m/>
    <m/>
    <m/>
    <e v="#DIV/0!"/>
  </r>
  <r>
    <n v="2024"/>
    <s v="Lethbridge"/>
    <n v="323"/>
    <n v="3"/>
    <n v="5"/>
    <x v="0"/>
    <n v="5"/>
    <x v="4"/>
    <n v="42"/>
    <n v="46"/>
    <e v="#DIV/0!"/>
    <n v="65"/>
    <n v="66"/>
    <n v="64"/>
    <n v="60"/>
    <n v="63.75"/>
    <n v="91"/>
    <n v="80"/>
    <n v="85"/>
    <n v="76"/>
    <n v="83"/>
    <n v="92"/>
    <n v="96"/>
    <n v="102"/>
    <n v="102"/>
    <n v="98"/>
    <n v="106"/>
    <n v="107"/>
    <n v="105"/>
    <n v="100"/>
    <n v="104.5"/>
    <m/>
    <m/>
    <m/>
    <m/>
    <x v="0"/>
    <m/>
    <m/>
    <m/>
    <m/>
    <e v="#DIV/0!"/>
    <d v="2024-07-11T00:00:00"/>
    <m/>
    <m/>
    <m/>
    <m/>
    <x v="0"/>
    <n v="20"/>
    <n v="20"/>
    <n v="0"/>
    <n v="20"/>
    <n v="40"/>
    <m/>
    <m/>
    <n v="26.666666666666668"/>
    <m/>
    <m/>
    <m/>
    <n v="0"/>
    <n v="30.6"/>
    <n v="16.260000000000002"/>
    <n v="46.862745098039213"/>
    <n v="4.7450980392156854"/>
    <d v="2024-08-06T17:52:56"/>
    <d v="2024-08-06T17:52:56"/>
    <n v="6"/>
    <n v="8.6867999999999999"/>
    <n v="9400"/>
    <n v="10"/>
    <n v="11258.860363780967"/>
    <n v="209.29932727541541"/>
    <m/>
    <n v="4.78"/>
    <n v="4.72"/>
    <n v="49.421965317919074"/>
  </r>
  <r>
    <n v="2024"/>
    <s v="Lethbridge"/>
    <n v="324"/>
    <n v="3"/>
    <n v="1"/>
    <x v="0"/>
    <n v="1"/>
    <x v="0"/>
    <n v="54"/>
    <n v="40"/>
    <e v="#DIV/0!"/>
    <n v="76"/>
    <n v="73"/>
    <n v="78"/>
    <n v="77"/>
    <n v="76"/>
    <n v="99"/>
    <n v="102"/>
    <n v="103"/>
    <n v="95"/>
    <n v="99.75"/>
    <n v="104"/>
    <n v="107"/>
    <n v="109"/>
    <n v="110"/>
    <n v="107.5"/>
    <n v="110"/>
    <n v="113"/>
    <n v="111"/>
    <n v="115"/>
    <n v="112.25"/>
    <m/>
    <m/>
    <m/>
    <m/>
    <x v="0"/>
    <m/>
    <m/>
    <m/>
    <m/>
    <e v="#DIV/0!"/>
    <d v="2024-07-08T00:00:00"/>
    <m/>
    <m/>
    <m/>
    <m/>
    <x v="0"/>
    <n v="20"/>
    <n v="30"/>
    <n v="0"/>
    <n v="23.333333333333336"/>
    <n v="60"/>
    <m/>
    <m/>
    <n v="40"/>
    <m/>
    <m/>
    <m/>
    <n v="0"/>
    <n v="29.8"/>
    <n v="18.04"/>
    <n v="39.463087248322154"/>
    <n v="1.7852348993288616"/>
    <d v="2024-08-03T18:50:44"/>
    <d v="2024-08-03T18:50:44"/>
    <n v="6"/>
    <n v="8.6867999999999999"/>
    <n v="8970"/>
    <n v="5.8"/>
    <n v="11245.206001212122"/>
    <n v="209.0454961763792"/>
    <m/>
    <m/>
    <m/>
    <e v="#DIV/0!"/>
  </r>
  <r>
    <n v="2024"/>
    <s v="Lethbridge"/>
    <n v="325"/>
    <n v="3"/>
    <n v="7"/>
    <x v="0"/>
    <n v="7"/>
    <x v="6"/>
    <n v="33"/>
    <n v="55"/>
    <e v="#DIV/0!"/>
    <n v="64"/>
    <n v="66"/>
    <n v="66"/>
    <n v="61"/>
    <n v="64.25"/>
    <n v="76"/>
    <n v="84"/>
    <n v="84"/>
    <n v="94"/>
    <n v="84.5"/>
    <n v="94"/>
    <n v="91"/>
    <n v="103"/>
    <n v="101"/>
    <n v="97.25"/>
    <n v="97"/>
    <n v="104"/>
    <n v="105"/>
    <n v="95"/>
    <n v="100.25"/>
    <m/>
    <m/>
    <m/>
    <m/>
    <x v="0"/>
    <m/>
    <m/>
    <m/>
    <m/>
    <e v="#DIV/0!"/>
    <d v="2024-07-10T00:00:00"/>
    <m/>
    <m/>
    <m/>
    <m/>
    <x v="0"/>
    <n v="10"/>
    <n v="10"/>
    <n v="0"/>
    <n v="10"/>
    <n v="75"/>
    <m/>
    <m/>
    <n v="50"/>
    <m/>
    <m/>
    <m/>
    <n v="0"/>
    <n v="29.04"/>
    <n v="16.559999999999999"/>
    <n v="42.97520661157025"/>
    <n v="3.1900826446281001"/>
    <d v="2024-08-05T04:33:43"/>
    <d v="2024-08-05T04:33:43"/>
    <n v="6"/>
    <n v="8.6867999999999999"/>
    <n v="9590"/>
    <n v="14.3"/>
    <n v="10937.636826428034"/>
    <n v="203.32786408103397"/>
    <m/>
    <n v="4.7300000000000004"/>
    <n v="4.6900000000000004"/>
    <n v="46.664393063583823"/>
  </r>
  <r>
    <n v="2024"/>
    <s v="Lethbridge"/>
    <n v="326"/>
    <n v="3"/>
    <n v="2"/>
    <x v="0"/>
    <n v="2"/>
    <x v="1"/>
    <n v="59"/>
    <n v="30"/>
    <e v="#DIV/0!"/>
    <n v="64"/>
    <n v="69"/>
    <n v="72"/>
    <n v="71"/>
    <n v="69"/>
    <n v="81"/>
    <n v="96"/>
    <n v="84"/>
    <n v="97"/>
    <n v="89.5"/>
    <n v="102"/>
    <n v="100"/>
    <n v="96"/>
    <n v="92"/>
    <n v="97.5"/>
    <n v="107"/>
    <n v="111"/>
    <n v="110"/>
    <n v="109"/>
    <n v="109.25"/>
    <m/>
    <m/>
    <m/>
    <m/>
    <x v="0"/>
    <m/>
    <m/>
    <m/>
    <m/>
    <e v="#DIV/0!"/>
    <d v="2024-07-09T00:00:00"/>
    <m/>
    <m/>
    <m/>
    <m/>
    <x v="0"/>
    <n v="10"/>
    <n v="35"/>
    <n v="5"/>
    <n v="23.333333333333332"/>
    <n v="40"/>
    <m/>
    <m/>
    <n v="26.666666666666668"/>
    <m/>
    <m/>
    <m/>
    <n v="0"/>
    <n v="25.9"/>
    <n v="14.61"/>
    <n v="43.590733590733585"/>
    <n v="3.4362934362934339"/>
    <d v="2024-08-05T10:28:16"/>
    <d v="2024-08-05T10:28:16"/>
    <n v="6"/>
    <n v="8.6867999999999999"/>
    <n v="8740"/>
    <n v="6"/>
    <n v="10933.604397716181"/>
    <n v="203.25290226523668"/>
    <m/>
    <n v="4.95"/>
    <n v="4.8499999999999996"/>
    <n v="53.24855491329479"/>
  </r>
  <r>
    <n v="2024"/>
    <s v="Lethbridge"/>
    <n v="327"/>
    <n v="3"/>
    <n v="8"/>
    <x v="0"/>
    <n v="8"/>
    <x v="7"/>
    <n v="45"/>
    <n v="50"/>
    <e v="#DIV/0!"/>
    <n v="60"/>
    <n v="66"/>
    <n v="68"/>
    <n v="63"/>
    <n v="64.25"/>
    <n v="79"/>
    <n v="87"/>
    <n v="82"/>
    <n v="85"/>
    <n v="83.25"/>
    <n v="103"/>
    <n v="104"/>
    <n v="105"/>
    <n v="104"/>
    <n v="104"/>
    <n v="105"/>
    <n v="105"/>
    <n v="110"/>
    <n v="107"/>
    <n v="106.75"/>
    <m/>
    <m/>
    <m/>
    <m/>
    <x v="0"/>
    <m/>
    <m/>
    <m/>
    <m/>
    <e v="#DIV/0!"/>
    <d v="2024-07-09T00:00:00"/>
    <m/>
    <m/>
    <m/>
    <m/>
    <x v="0"/>
    <n v="10"/>
    <n v="10"/>
    <n v="0"/>
    <n v="10"/>
    <n v="0"/>
    <m/>
    <m/>
    <n v="0"/>
    <m/>
    <m/>
    <m/>
    <n v="0"/>
    <n v="29.7"/>
    <n v="17.02"/>
    <n v="42.693602693602692"/>
    <n v="3.077441077441077"/>
    <d v="2024-08-05T01:51:31"/>
    <d v="2024-08-05T01:51:31"/>
    <n v="6"/>
    <n v="8.6867999999999999"/>
    <n v="9440"/>
    <n v="10.7"/>
    <n v="11218.828860265299"/>
    <n v="208.55515188954723"/>
    <m/>
    <m/>
    <m/>
    <e v="#DIV/0!"/>
  </r>
  <r>
    <n v="2024"/>
    <s v="Lethbridge"/>
    <n v="401"/>
    <n v="4"/>
    <n v="23"/>
    <x v="2"/>
    <n v="5"/>
    <x v="4"/>
    <n v="49"/>
    <n v="46"/>
    <e v="#DIV/0!"/>
    <n v="64"/>
    <n v="63"/>
    <n v="62"/>
    <n v="62"/>
    <n v="62.75"/>
    <n v="85"/>
    <n v="84"/>
    <n v="81"/>
    <n v="82"/>
    <n v="83"/>
    <n v="84"/>
    <n v="82"/>
    <n v="87"/>
    <n v="81"/>
    <n v="83.5"/>
    <n v="85"/>
    <n v="80"/>
    <n v="80"/>
    <n v="75"/>
    <n v="80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0"/>
    <m/>
    <m/>
    <n v="0"/>
    <m/>
    <m/>
    <m/>
    <n v="0"/>
    <n v="23.38"/>
    <n v="14.92"/>
    <n v="36.184773310521813"/>
    <n v="0.473909324208725"/>
    <d v="2024-08-02T11:22:26"/>
    <d v="2024-08-02T11:22:26"/>
    <n v="6"/>
    <n v="8.6867999999999999"/>
    <n v="8119.9999999999991"/>
    <n v="11.3"/>
    <n v="9585.2560565615331"/>
    <n v="178.18745233351567"/>
    <m/>
    <m/>
    <m/>
    <e v="#DIV/0!"/>
  </r>
  <r>
    <n v="2024"/>
    <s v="Lethbridge"/>
    <n v="402"/>
    <n v="4"/>
    <n v="20"/>
    <x v="2"/>
    <n v="2"/>
    <x v="1"/>
    <n v="47"/>
    <n v="42"/>
    <e v="#DIV/0!"/>
    <n v="68"/>
    <n v="66"/>
    <n v="64"/>
    <n v="74"/>
    <n v="68"/>
    <n v="82"/>
    <n v="84"/>
    <n v="85"/>
    <n v="79"/>
    <n v="82.5"/>
    <n v="84"/>
    <n v="86"/>
    <n v="87"/>
    <n v="85"/>
    <n v="85.5"/>
    <n v="85"/>
    <n v="90"/>
    <n v="85"/>
    <n v="85"/>
    <n v="86.25"/>
    <m/>
    <m/>
    <m/>
    <m/>
    <x v="0"/>
    <m/>
    <m/>
    <m/>
    <m/>
    <e v="#DIV/0!"/>
    <d v="2024-07-07T00:00:00"/>
    <m/>
    <m/>
    <m/>
    <m/>
    <x v="0"/>
    <n v="10"/>
    <n v="0"/>
    <n v="0"/>
    <n v="6.666666666666667"/>
    <n v="5"/>
    <m/>
    <m/>
    <n v="3.3333333333333335"/>
    <m/>
    <m/>
    <m/>
    <n v="0"/>
    <n v="23.4"/>
    <n v="14.7"/>
    <n v="37.179487179487182"/>
    <n v="0.87179487179487292"/>
    <d v="2024-08-02T20:55:23"/>
    <d v="2024-08-02T20:55:23"/>
    <n v="6"/>
    <n v="8.6867999999999999"/>
    <n v="9040"/>
    <n v="5.4"/>
    <n v="11381.084209621349"/>
    <n v="211.57143723014045"/>
    <m/>
    <m/>
    <m/>
    <e v="#DIV/0!"/>
  </r>
  <r>
    <n v="2024"/>
    <s v="Lethbridge"/>
    <n v="403"/>
    <n v="4"/>
    <n v="27"/>
    <x v="2"/>
    <n v="9"/>
    <x v="8"/>
    <n v="32"/>
    <n v="53"/>
    <e v="#DIV/0!"/>
    <n v="62"/>
    <n v="61"/>
    <n v="63"/>
    <n v="64"/>
    <n v="62.5"/>
    <n v="78"/>
    <n v="78"/>
    <n v="81"/>
    <n v="81"/>
    <n v="79.5"/>
    <n v="88"/>
    <n v="84"/>
    <n v="82"/>
    <n v="80"/>
    <n v="83.5"/>
    <n v="80"/>
    <n v="85"/>
    <n v="85"/>
    <n v="75"/>
    <n v="81.2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0"/>
    <m/>
    <m/>
    <n v="0"/>
    <m/>
    <m/>
    <m/>
    <n v="0"/>
    <n v="23.18"/>
    <n v="14.8"/>
    <n v="36.151855047454703"/>
    <n v="0.46074201898188105"/>
    <d v="2024-08-02T11:03:28"/>
    <d v="2024-08-02T11:03:28"/>
    <n v="6"/>
    <n v="8.6867999999999999"/>
    <n v="8430"/>
    <n v="10.6"/>
    <n v="10029.728182364792"/>
    <n v="186.45007518498653"/>
    <m/>
    <n v="5.0599999999999996"/>
    <n v="5.05"/>
    <n v="52.244739884393063"/>
  </r>
  <r>
    <n v="2024"/>
    <s v="Lethbridge"/>
    <n v="404"/>
    <n v="4"/>
    <n v="25"/>
    <x v="2"/>
    <n v="7"/>
    <x v="6"/>
    <n v="38"/>
    <n v="46"/>
    <e v="#DIV/0!"/>
    <n v="64"/>
    <n v="69"/>
    <n v="67"/>
    <n v="64"/>
    <n v="66"/>
    <n v="82"/>
    <n v="81"/>
    <n v="87"/>
    <n v="84"/>
    <n v="83.5"/>
    <n v="82"/>
    <n v="80"/>
    <n v="84"/>
    <n v="85"/>
    <n v="82.75"/>
    <n v="85"/>
    <n v="80"/>
    <n v="75"/>
    <n v="80"/>
    <n v="80"/>
    <m/>
    <m/>
    <m/>
    <m/>
    <x v="0"/>
    <m/>
    <m/>
    <m/>
    <m/>
    <e v="#DIV/0!"/>
    <d v="2024-07-06T00:00:00"/>
    <m/>
    <m/>
    <m/>
    <m/>
    <x v="0"/>
    <n v="5"/>
    <n v="0"/>
    <n v="0"/>
    <n v="3.3333333333333335"/>
    <n v="0"/>
    <m/>
    <m/>
    <n v="0"/>
    <m/>
    <m/>
    <m/>
    <n v="0"/>
    <n v="23.8"/>
    <n v="14.57"/>
    <n v="38.781512605042018"/>
    <n v="1.5126050420168071"/>
    <d v="2024-08-03T12:18:09"/>
    <d v="2024-08-03T12:18:09"/>
    <n v="6"/>
    <n v="8.6867999999999999"/>
    <n v="8800"/>
    <n v="5.3"/>
    <n v="11090.642875603435"/>
    <n v="206.17220730288437"/>
    <m/>
    <n v="5.09"/>
    <n v="5.16"/>
    <e v="#REF!"/>
  </r>
  <r>
    <n v="2024"/>
    <s v="Lethbridge"/>
    <n v="405"/>
    <n v="4"/>
    <n v="24"/>
    <x v="2"/>
    <n v="6"/>
    <x v="5"/>
    <n v="47"/>
    <n v="47"/>
    <e v="#DIV/0!"/>
    <n v="70"/>
    <n v="70"/>
    <n v="68"/>
    <n v="65"/>
    <n v="68.25"/>
    <n v="83"/>
    <n v="77"/>
    <n v="78"/>
    <n v="81"/>
    <n v="79.75"/>
    <n v="78"/>
    <n v="77"/>
    <n v="75"/>
    <n v="76"/>
    <n v="76.5"/>
    <n v="80"/>
    <n v="75"/>
    <n v="75"/>
    <n v="75"/>
    <n v="76.25"/>
    <m/>
    <m/>
    <m/>
    <m/>
    <x v="0"/>
    <m/>
    <m/>
    <m/>
    <m/>
    <e v="#DIV/0!"/>
    <d v="2024-07-07T00:00:00"/>
    <m/>
    <m/>
    <m/>
    <m/>
    <x v="0"/>
    <n v="0"/>
    <n v="0"/>
    <n v="0"/>
    <n v="0"/>
    <n v="6"/>
    <m/>
    <m/>
    <n v="4"/>
    <m/>
    <m/>
    <m/>
    <n v="0"/>
    <n v="21.8"/>
    <n v="13.55"/>
    <n v="37.844036697247709"/>
    <n v="1.1376146788990837"/>
    <d v="2024-08-03T03:18:10"/>
    <d v="2024-08-03T03:18:10"/>
    <n v="6"/>
    <n v="8.6867999999999999"/>
    <n v="8360"/>
    <n v="10.3"/>
    <n v="9979.8218864260471"/>
    <n v="185.52232993997137"/>
    <m/>
    <n v="5.08"/>
    <n v="4.8600000000000003"/>
    <n v="51.538612716763005"/>
  </r>
  <r>
    <n v="2024"/>
    <s v="Lethbridge"/>
    <n v="406"/>
    <n v="4"/>
    <n v="22"/>
    <x v="2"/>
    <n v="4"/>
    <x v="3"/>
    <n v="36"/>
    <n v="51"/>
    <e v="#DIV/0!"/>
    <n v="64"/>
    <n v="60"/>
    <n v="63"/>
    <n v="44"/>
    <n v="57.75"/>
    <n v="76"/>
    <n v="80"/>
    <n v="81"/>
    <n v="87"/>
    <n v="81"/>
    <n v="86"/>
    <n v="83"/>
    <n v="82"/>
    <n v="81"/>
    <n v="83"/>
    <n v="90"/>
    <n v="85"/>
    <n v="80"/>
    <n v="80"/>
    <n v="83.75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10"/>
    <m/>
    <m/>
    <n v="6.666666666666667"/>
    <m/>
    <m/>
    <m/>
    <n v="0"/>
    <n v="23.8"/>
    <n v="15.22"/>
    <n v="36.050420168067227"/>
    <n v="0.42016806722689071"/>
    <d v="2024-08-02T10:05:03"/>
    <d v="2024-08-02T10:05:03"/>
    <n v="6"/>
    <n v="8.6867999999999999"/>
    <n v="8540"/>
    <n v="10.6"/>
    <n v="10160.602452834557"/>
    <n v="188.8829943155142"/>
    <m/>
    <n v="5"/>
    <n v="5.07"/>
    <n v="52.038034682080927"/>
  </r>
  <r>
    <n v="2024"/>
    <s v="Lethbridge"/>
    <n v="407"/>
    <n v="4"/>
    <n v="19"/>
    <x v="2"/>
    <n v="1"/>
    <x v="0"/>
    <n v="36"/>
    <n v="49"/>
    <e v="#DIV/0!"/>
    <n v="65"/>
    <n v="64"/>
    <n v="64"/>
    <n v="69"/>
    <n v="65.5"/>
    <n v="80"/>
    <n v="82"/>
    <n v="82"/>
    <n v="75"/>
    <n v="79.75"/>
    <n v="84"/>
    <n v="83"/>
    <n v="82"/>
    <n v="84"/>
    <n v="83.25"/>
    <n v="85"/>
    <n v="80"/>
    <n v="80"/>
    <n v="90"/>
    <n v="83.75"/>
    <m/>
    <m/>
    <m/>
    <m/>
    <x v="0"/>
    <m/>
    <m/>
    <m/>
    <m/>
    <e v="#DIV/0!"/>
    <d v="2024-07-06T00:00:00"/>
    <m/>
    <m/>
    <m/>
    <m/>
    <x v="0"/>
    <n v="5"/>
    <n v="0"/>
    <n v="0"/>
    <n v="3.3333333333333335"/>
    <n v="0"/>
    <m/>
    <m/>
    <n v="0"/>
    <m/>
    <m/>
    <m/>
    <n v="0"/>
    <n v="23.6"/>
    <n v="15.42"/>
    <n v="34.661016949152547"/>
    <n v="-0.13559322033898127"/>
    <d v="2024-08-01T20:44:45"/>
    <d v="2024-08-01T20:44:45"/>
    <n v="6"/>
    <n v="8.6867999999999999"/>
    <n v="8900"/>
    <n v="5.4"/>
    <n v="11204.828480711283"/>
    <n v="208.29488842347899"/>
    <m/>
    <m/>
    <m/>
    <e v="#DIV/0!"/>
  </r>
  <r>
    <n v="2024"/>
    <s v="Lethbridge"/>
    <n v="408"/>
    <n v="4"/>
    <n v="26"/>
    <x v="2"/>
    <n v="8"/>
    <x v="7"/>
    <n v="44"/>
    <n v="46"/>
    <e v="#DIV/0!"/>
    <n v="70"/>
    <n v="67"/>
    <n v="70"/>
    <n v="69"/>
    <n v="69"/>
    <n v="84"/>
    <n v="81"/>
    <n v="87"/>
    <n v="85"/>
    <n v="84.25"/>
    <n v="82"/>
    <n v="85"/>
    <n v="81"/>
    <n v="88"/>
    <n v="84"/>
    <n v="80"/>
    <n v="80"/>
    <n v="80"/>
    <n v="85"/>
    <n v="81.25"/>
    <m/>
    <m/>
    <m/>
    <m/>
    <x v="0"/>
    <m/>
    <m/>
    <m/>
    <m/>
    <e v="#DIV/0!"/>
    <d v="2024-07-06T00:00:00"/>
    <m/>
    <m/>
    <m/>
    <m/>
    <x v="0"/>
    <n v="10"/>
    <n v="0"/>
    <n v="0"/>
    <n v="6.666666666666667"/>
    <n v="50"/>
    <m/>
    <m/>
    <n v="33.333333333333336"/>
    <m/>
    <m/>
    <m/>
    <n v="0"/>
    <n v="21.26"/>
    <n v="13.53"/>
    <n v="36.359360301034812"/>
    <n v="0.54374412041392473"/>
    <d v="2024-08-02T13:02:59"/>
    <d v="2024-08-02T13:02:59"/>
    <n v="6"/>
    <n v="8.6867999999999999"/>
    <n v="9140"/>
    <n v="5.6"/>
    <n v="11482.653503115886"/>
    <n v="213.4595843527953"/>
    <m/>
    <m/>
    <m/>
    <e v="#DIV/0!"/>
  </r>
  <r>
    <n v="2024"/>
    <s v="Lethbridge"/>
    <n v="409"/>
    <n v="4"/>
    <n v="21"/>
    <x v="2"/>
    <n v="3"/>
    <x v="2"/>
    <n v="50"/>
    <n v="62"/>
    <e v="#DIV/0!"/>
    <n v="63"/>
    <n v="66"/>
    <n v="64"/>
    <n v="65"/>
    <n v="64.5"/>
    <n v="72"/>
    <n v="85"/>
    <n v="84"/>
    <n v="86"/>
    <n v="81.75"/>
    <n v="82"/>
    <n v="83"/>
    <n v="85"/>
    <n v="80"/>
    <n v="82.5"/>
    <n v="80"/>
    <n v="85"/>
    <n v="85"/>
    <n v="80"/>
    <n v="82.5"/>
    <m/>
    <m/>
    <m/>
    <m/>
    <x v="0"/>
    <m/>
    <m/>
    <m/>
    <m/>
    <e v="#DIV/0!"/>
    <d v="2024-07-06T00:00:00"/>
    <m/>
    <m/>
    <m/>
    <m/>
    <x v="0"/>
    <n v="10"/>
    <n v="0"/>
    <n v="0"/>
    <n v="6.666666666666667"/>
    <n v="50"/>
    <m/>
    <m/>
    <n v="33.333333333333336"/>
    <m/>
    <m/>
    <m/>
    <n v="0"/>
    <n v="22.2"/>
    <n v="14.37"/>
    <n v="35.270270270270274"/>
    <n v="0.10810810810810949"/>
    <d v="2024-08-02T02:35:41"/>
    <d v="2024-08-02T02:35:41"/>
    <n v="6"/>
    <n v="8.6867999999999999"/>
    <n v="8380"/>
    <n v="9.4"/>
    <n v="10104.068600795146"/>
    <n v="187.83204450196104"/>
    <m/>
    <m/>
    <m/>
    <e v="#DIV/0!"/>
  </r>
  <r>
    <n v="2024"/>
    <s v="Lethbridge"/>
    <n v="410"/>
    <n v="4"/>
    <n v="7"/>
    <x v="0"/>
    <n v="7"/>
    <x v="6"/>
    <n v="42"/>
    <n v="48"/>
    <e v="#DIV/0!"/>
    <n v="72"/>
    <n v="66"/>
    <n v="63"/>
    <n v="46"/>
    <n v="61.75"/>
    <n v="73"/>
    <n v="72"/>
    <n v="82"/>
    <n v="88"/>
    <n v="78.75"/>
    <n v="89"/>
    <n v="98"/>
    <n v="93"/>
    <n v="89"/>
    <n v="92.25"/>
    <n v="95"/>
    <n v="90"/>
    <n v="90"/>
    <n v="85"/>
    <n v="90"/>
    <m/>
    <m/>
    <m/>
    <m/>
    <x v="0"/>
    <m/>
    <m/>
    <m/>
    <m/>
    <e v="#DIV/0!"/>
    <d v="2024-07-08T00:00:00"/>
    <m/>
    <m/>
    <m/>
    <m/>
    <x v="0"/>
    <n v="10"/>
    <n v="0"/>
    <n v="0"/>
    <n v="6.666666666666667"/>
    <n v="25"/>
    <m/>
    <m/>
    <n v="16.666666666666668"/>
    <m/>
    <m/>
    <m/>
    <n v="0"/>
    <n v="26.56"/>
    <n v="15.78"/>
    <n v="40.587349397590359"/>
    <n v="2.2349397590361435"/>
    <d v="2024-08-04T05:38:19"/>
    <d v="2024-08-04T05:38:19"/>
    <n v="6"/>
    <n v="8.6867999999999999"/>
    <n v="8600"/>
    <n v="11.5"/>
    <n v="10128.98182372777"/>
    <n v="188.29517492827267"/>
    <m/>
    <m/>
    <m/>
    <e v="#DIV/0!"/>
  </r>
  <r>
    <n v="2024"/>
    <s v="Lethbridge"/>
    <n v="411"/>
    <n v="4"/>
    <n v="9"/>
    <x v="0"/>
    <n v="9"/>
    <x v="8"/>
    <n v="43"/>
    <n v="47"/>
    <e v="#DIV/0!"/>
    <n v="67"/>
    <n v="63"/>
    <n v="66"/>
    <n v="62"/>
    <n v="64.5"/>
    <n v="86"/>
    <n v="80"/>
    <n v="81"/>
    <n v="81"/>
    <n v="82"/>
    <n v="89"/>
    <n v="87"/>
    <n v="95"/>
    <n v="98"/>
    <n v="92.25"/>
    <n v="90"/>
    <n v="90"/>
    <n v="85"/>
    <n v="110"/>
    <n v="93.75"/>
    <m/>
    <m/>
    <m/>
    <m/>
    <x v="0"/>
    <m/>
    <m/>
    <m/>
    <m/>
    <e v="#DIV/0!"/>
    <d v="2024-07-10T00:00:00"/>
    <m/>
    <m/>
    <m/>
    <m/>
    <x v="0"/>
    <n v="15"/>
    <n v="0"/>
    <n v="0"/>
    <n v="10"/>
    <n v="25"/>
    <m/>
    <m/>
    <n v="16.666666666666668"/>
    <m/>
    <m/>
    <m/>
    <n v="0"/>
    <n v="30.2"/>
    <n v="17.66"/>
    <n v="41.523178807947019"/>
    <n v="2.6092715231788075"/>
    <d v="2024-08-04T14:37:21"/>
    <d v="2024-08-04T14:37:21"/>
    <n v="6"/>
    <n v="8.6867999999999999"/>
    <n v="8310"/>
    <n v="10.9"/>
    <n v="9853.7785454031527"/>
    <n v="183.17921654916117"/>
    <m/>
    <n v="4.6399999999999997"/>
    <n v="4.78"/>
    <n v="48.515722543352595"/>
  </r>
  <r>
    <n v="2024"/>
    <s v="Lethbridge"/>
    <n v="412"/>
    <n v="4"/>
    <n v="6"/>
    <x v="0"/>
    <n v="6"/>
    <x v="5"/>
    <n v="44"/>
    <n v="43"/>
    <e v="#DIV/0!"/>
    <n v="68"/>
    <n v="68"/>
    <n v="58"/>
    <n v="65"/>
    <n v="64.75"/>
    <n v="91"/>
    <n v="91"/>
    <n v="101"/>
    <n v="98"/>
    <n v="95.25"/>
    <n v="102"/>
    <n v="101"/>
    <n v="104"/>
    <n v="100"/>
    <n v="101.75"/>
    <n v="110"/>
    <n v="95"/>
    <n v="95"/>
    <n v="95"/>
    <n v="98.75"/>
    <m/>
    <m/>
    <m/>
    <m/>
    <x v="0"/>
    <m/>
    <m/>
    <m/>
    <m/>
    <e v="#DIV/0!"/>
    <d v="2024-07-07T00:00:00"/>
    <m/>
    <m/>
    <m/>
    <m/>
    <x v="0"/>
    <n v="25"/>
    <n v="0"/>
    <n v="0"/>
    <n v="16.666666666666668"/>
    <n v="50"/>
    <m/>
    <m/>
    <n v="33.333333333333336"/>
    <m/>
    <m/>
    <m/>
    <n v="0"/>
    <n v="23.6"/>
    <n v="14.72"/>
    <n v="37.627118644067799"/>
    <n v="1.0508474576271198"/>
    <d v="2024-08-03T01:13:13"/>
    <d v="2024-08-03T01:13:13"/>
    <n v="6"/>
    <n v="8.6867999999999999"/>
    <n v="7790"/>
    <n v="11.6"/>
    <n v="9164.6058693530358"/>
    <n v="170.36767321233208"/>
    <m/>
    <n v="4.93"/>
    <n v="5.03"/>
    <n v="50.893872832369958"/>
  </r>
  <r>
    <n v="2024"/>
    <s v="Lethbridge"/>
    <n v="413"/>
    <n v="4"/>
    <n v="4"/>
    <x v="0"/>
    <n v="4"/>
    <x v="3"/>
    <n v="38"/>
    <n v="54"/>
    <e v="#DIV/0!"/>
    <n v="71"/>
    <n v="58"/>
    <n v="68"/>
    <n v="70"/>
    <n v="66.75"/>
    <n v="87"/>
    <n v="83"/>
    <n v="90"/>
    <n v="94"/>
    <n v="88.5"/>
    <n v="85"/>
    <n v="87"/>
    <n v="86"/>
    <n v="91"/>
    <n v="87.25"/>
    <n v="90"/>
    <n v="95"/>
    <n v="95"/>
    <n v="95"/>
    <n v="93.75"/>
    <m/>
    <m/>
    <m/>
    <m/>
    <x v="0"/>
    <m/>
    <m/>
    <m/>
    <m/>
    <e v="#DIV/0!"/>
    <d v="2024-07-10T00:00:00"/>
    <m/>
    <m/>
    <m/>
    <m/>
    <x v="0"/>
    <n v="10"/>
    <n v="0"/>
    <n v="0"/>
    <n v="6.666666666666667"/>
    <n v="0"/>
    <m/>
    <m/>
    <n v="0"/>
    <m/>
    <m/>
    <m/>
    <n v="0"/>
    <n v="24.75"/>
    <n v="14.65"/>
    <n v="40.808080808080803"/>
    <n v="2.3232323232323209"/>
    <d v="2024-08-04T07:45:27"/>
    <d v="2024-08-04T07:45:27"/>
    <n v="6"/>
    <n v="8.6867999999999999"/>
    <n v="7920"/>
    <n v="10.7"/>
    <n v="9412.4072641208877"/>
    <n v="174.97423760224726"/>
    <m/>
    <m/>
    <m/>
    <e v="#DIV/0!"/>
  </r>
  <r>
    <n v="2024"/>
    <s v="Lethbridge"/>
    <n v="414"/>
    <n v="4"/>
    <n v="8"/>
    <x v="0"/>
    <n v="8"/>
    <x v="7"/>
    <n v="46"/>
    <n v="39"/>
    <e v="#DIV/0!"/>
    <n v="62"/>
    <n v="55"/>
    <n v="51"/>
    <n v="50"/>
    <n v="54.5"/>
    <n v="90"/>
    <n v="87"/>
    <n v="76"/>
    <n v="85"/>
    <n v="84.5"/>
    <n v="92"/>
    <n v="99"/>
    <n v="99"/>
    <n v="89"/>
    <n v="94.75"/>
    <n v="90"/>
    <n v="95"/>
    <n v="95"/>
    <n v="90"/>
    <n v="92.5"/>
    <m/>
    <m/>
    <m/>
    <m/>
    <x v="0"/>
    <m/>
    <m/>
    <m/>
    <m/>
    <e v="#DIV/0!"/>
    <d v="2024-07-08T00:00:00"/>
    <m/>
    <m/>
    <m/>
    <m/>
    <x v="0"/>
    <n v="35"/>
    <n v="0"/>
    <n v="0"/>
    <n v="23.333333333333332"/>
    <n v="40"/>
    <m/>
    <m/>
    <n v="26.666666666666668"/>
    <m/>
    <m/>
    <m/>
    <n v="0"/>
    <n v="27"/>
    <n v="16.36"/>
    <n v="39.407407407407405"/>
    <n v="1.762962962962962"/>
    <d v="2024-08-03T18:18:40"/>
    <d v="2024-08-03T18:18:40"/>
    <n v="6"/>
    <n v="8.6867999999999999"/>
    <n v="8270"/>
    <n v="11.7"/>
    <n v="9718.2995873614364"/>
    <n v="180.66069745736004"/>
    <m/>
    <m/>
    <m/>
    <e v="#DIV/0!"/>
  </r>
  <r>
    <n v="2024"/>
    <s v="Lethbridge"/>
    <n v="415"/>
    <n v="4"/>
    <n v="5"/>
    <x v="0"/>
    <n v="5"/>
    <x v="4"/>
    <n v="39"/>
    <n v="52"/>
    <e v="#DIV/0!"/>
    <n v="55"/>
    <n v="57"/>
    <n v="61"/>
    <n v="55"/>
    <n v="57"/>
    <n v="82"/>
    <n v="76"/>
    <n v="85"/>
    <n v="80"/>
    <n v="80.75"/>
    <n v="91"/>
    <n v="87"/>
    <n v="88"/>
    <n v="90"/>
    <n v="89"/>
    <n v="90"/>
    <n v="95"/>
    <n v="100"/>
    <n v="110"/>
    <n v="98.75"/>
    <m/>
    <m/>
    <m/>
    <m/>
    <x v="0"/>
    <m/>
    <m/>
    <m/>
    <m/>
    <e v="#DIV/0!"/>
    <d v="2024-07-10T00:00:00"/>
    <m/>
    <m/>
    <m/>
    <m/>
    <x v="0"/>
    <n v="25"/>
    <n v="0"/>
    <n v="0"/>
    <n v="16.666666666666668"/>
    <n v="40"/>
    <m/>
    <m/>
    <n v="26.666666666666668"/>
    <m/>
    <m/>
    <m/>
    <n v="0"/>
    <n v="25.8"/>
    <n v="14.66"/>
    <n v="43.178294573643413"/>
    <n v="3.2713178294573653"/>
    <d v="2024-08-05T06:30:42"/>
    <d v="2024-08-05T06:30:42"/>
    <n v="6"/>
    <n v="8.6867999999999999"/>
    <n v="8140.0000000000009"/>
    <n v="11.9"/>
    <n v="9543.8671017963352"/>
    <n v="177.41804227698316"/>
    <m/>
    <m/>
    <m/>
    <e v="#DIV/0!"/>
  </r>
  <r>
    <n v="2024"/>
    <s v="Lethbridge"/>
    <n v="416"/>
    <n v="4"/>
    <n v="3"/>
    <x v="0"/>
    <n v="3"/>
    <x v="2"/>
    <n v="42"/>
    <n v="50"/>
    <e v="#DIV/0!"/>
    <n v="67"/>
    <n v="63"/>
    <n v="57"/>
    <n v="59"/>
    <n v="61.5"/>
    <n v="92"/>
    <n v="94"/>
    <n v="87"/>
    <n v="81"/>
    <n v="88.5"/>
    <n v="95"/>
    <n v="94"/>
    <n v="96"/>
    <n v="95"/>
    <n v="95"/>
    <n v="90"/>
    <n v="100"/>
    <n v="110"/>
    <n v="95"/>
    <n v="98.75"/>
    <m/>
    <m/>
    <m/>
    <m/>
    <x v="0"/>
    <m/>
    <m/>
    <m/>
    <m/>
    <e v="#DIV/0!"/>
    <d v="2024-07-08T00:00:00"/>
    <m/>
    <m/>
    <m/>
    <m/>
    <x v="0"/>
    <n v="10"/>
    <n v="0"/>
    <n v="0"/>
    <n v="6.666666666666667"/>
    <n v="2"/>
    <m/>
    <m/>
    <n v="1.3333333333333333"/>
    <m/>
    <m/>
    <m/>
    <n v="0"/>
    <n v="27.1"/>
    <n v="16.079999999999998"/>
    <n v="40.664206642066432"/>
    <n v="2.2656826568265727"/>
    <d v="2024-08-04T06:22:35"/>
    <d v="2024-08-04T06:22:35"/>
    <n v="6"/>
    <n v="8.6867999999999999"/>
    <n v="7940"/>
    <n v="11.5"/>
    <n v="9351.6413581858706"/>
    <n v="173.84461499191681"/>
    <m/>
    <m/>
    <m/>
    <e v="#DIV/0!"/>
  </r>
  <r>
    <n v="2024"/>
    <s v="Lethbridge"/>
    <n v="417"/>
    <n v="4"/>
    <n v="2"/>
    <x v="0"/>
    <n v="2"/>
    <x v="1"/>
    <n v="52"/>
    <n v="50"/>
    <e v="#DIV/0!"/>
    <n v="55"/>
    <n v="59"/>
    <n v="70"/>
    <n v="55"/>
    <n v="59.75"/>
    <n v="88"/>
    <n v="80"/>
    <n v="92"/>
    <n v="87"/>
    <n v="86.75"/>
    <n v="97"/>
    <n v="101"/>
    <n v="102"/>
    <n v="100"/>
    <n v="100"/>
    <n v="95"/>
    <n v="110"/>
    <n v="100"/>
    <n v="90"/>
    <n v="98.75"/>
    <m/>
    <m/>
    <m/>
    <m/>
    <x v="0"/>
    <m/>
    <m/>
    <m/>
    <m/>
    <e v="#DIV/0!"/>
    <d v="2024-07-09T00:00:00"/>
    <m/>
    <m/>
    <m/>
    <m/>
    <x v="0"/>
    <n v="15"/>
    <n v="0"/>
    <n v="0"/>
    <n v="10"/>
    <n v="0"/>
    <m/>
    <m/>
    <n v="0"/>
    <m/>
    <m/>
    <m/>
    <n v="0"/>
    <n v="27.6"/>
    <n v="16.11"/>
    <n v="41.630434782608702"/>
    <n v="2.6521739130434812"/>
    <d v="2024-08-04T15:39:08"/>
    <d v="2024-08-04T15:39:08"/>
    <n v="6"/>
    <n v="8.6867999999999999"/>
    <n v="8400"/>
    <n v="6.2"/>
    <n v="10485.911652281677"/>
    <n v="194.93040892062092"/>
    <m/>
    <m/>
    <m/>
    <e v="#DIV/0!"/>
  </r>
  <r>
    <n v="2024"/>
    <s v="Lethbridge"/>
    <n v="418"/>
    <n v="4"/>
    <n v="1"/>
    <x v="0"/>
    <n v="1"/>
    <x v="0"/>
    <n v="47"/>
    <n v="46"/>
    <e v="#DIV/0!"/>
    <n v="67"/>
    <n v="72"/>
    <n v="64"/>
    <n v="58"/>
    <n v="65.25"/>
    <n v="82"/>
    <n v="85"/>
    <n v="98"/>
    <n v="87"/>
    <n v="88"/>
    <n v="99"/>
    <n v="101"/>
    <n v="105"/>
    <n v="101"/>
    <n v="101.5"/>
    <n v="100"/>
    <n v="110"/>
    <n v="110"/>
    <n v="95"/>
    <n v="103.75"/>
    <m/>
    <m/>
    <m/>
    <m/>
    <x v="0"/>
    <m/>
    <m/>
    <m/>
    <m/>
    <e v="#DIV/0!"/>
    <d v="2024-07-07T00:00:00"/>
    <m/>
    <m/>
    <m/>
    <m/>
    <x v="0"/>
    <n v="10"/>
    <n v="0"/>
    <n v="0"/>
    <n v="6.666666666666667"/>
    <n v="0"/>
    <m/>
    <m/>
    <n v="0"/>
    <m/>
    <m/>
    <m/>
    <n v="0"/>
    <n v="27.3"/>
    <n v="16.059999999999999"/>
    <n v="41.172161172161175"/>
    <n v="2.4688644688644699"/>
    <d v="2024-08-04T11:15:10"/>
    <d v="2024-08-04T11:15:10"/>
    <n v="6"/>
    <n v="8.6867999999999999"/>
    <n v="8380"/>
    <n v="13.1"/>
    <n v="9691.4300376280153"/>
    <n v="180.16119941744387"/>
    <m/>
    <n v="5.04"/>
    <n v="5.23"/>
    <n v="51.587456647398838"/>
  </r>
  <r>
    <n v="2024"/>
    <s v="Lethbridge"/>
    <n v="419"/>
    <n v="4"/>
    <n v="13"/>
    <x v="1"/>
    <n v="4"/>
    <x v="3"/>
    <n v="49"/>
    <n v="45"/>
    <e v="#DIV/0!"/>
    <n v="70"/>
    <n v="74"/>
    <n v="76"/>
    <n v="72"/>
    <n v="73"/>
    <n v="97"/>
    <n v="99"/>
    <n v="88"/>
    <n v="89"/>
    <n v="93.25"/>
    <n v="95"/>
    <n v="97"/>
    <n v="98"/>
    <n v="97"/>
    <n v="96.75"/>
    <n v="95"/>
    <n v="100"/>
    <n v="105"/>
    <n v="100"/>
    <n v="100"/>
    <m/>
    <m/>
    <m/>
    <m/>
    <x v="0"/>
    <m/>
    <m/>
    <m/>
    <m/>
    <e v="#DIV/0!"/>
    <d v="2024-07-07T00:00:00"/>
    <m/>
    <m/>
    <m/>
    <m/>
    <x v="0"/>
    <n v="5"/>
    <n v="0"/>
    <n v="0"/>
    <n v="3.3333333333333335"/>
    <n v="0"/>
    <m/>
    <m/>
    <n v="0"/>
    <m/>
    <m/>
    <m/>
    <n v="0"/>
    <n v="22.84"/>
    <n v="15.04"/>
    <n v="34.150612959719794"/>
    <n v="-0.33975481611208236"/>
    <d v="2024-08-01T15:50:45"/>
    <d v="2024-08-01T15:50:45"/>
    <n v="6"/>
    <n v="8.6867999999999999"/>
    <n v="8220"/>
    <n v="12.5"/>
    <n v="9572.027561051369"/>
    <n v="177.94153799390364"/>
    <m/>
    <m/>
    <m/>
    <e v="#DIV/0!"/>
  </r>
  <r>
    <n v="2024"/>
    <s v="Lethbridge"/>
    <n v="420"/>
    <n v="4"/>
    <n v="10"/>
    <x v="1"/>
    <n v="1"/>
    <x v="0"/>
    <n v="49"/>
    <n v="38"/>
    <e v="#DIV/0!"/>
    <n v="75"/>
    <n v="68"/>
    <n v="78"/>
    <n v="74"/>
    <n v="73.75"/>
    <n v="87"/>
    <n v="99"/>
    <n v="97"/>
    <n v="103"/>
    <n v="96.5"/>
    <n v="102"/>
    <n v="101"/>
    <n v="98"/>
    <n v="100"/>
    <n v="100.25"/>
    <n v="100"/>
    <n v="105"/>
    <n v="105"/>
    <n v="100"/>
    <n v="102.5"/>
    <m/>
    <m/>
    <m/>
    <m/>
    <x v="0"/>
    <m/>
    <m/>
    <m/>
    <m/>
    <e v="#DIV/0!"/>
    <d v="2024-07-06T00:00:00"/>
    <m/>
    <m/>
    <m/>
    <m/>
    <x v="0"/>
    <n v="40"/>
    <n v="0"/>
    <n v="0"/>
    <n v="26.666666666666668"/>
    <n v="0"/>
    <m/>
    <m/>
    <n v="0"/>
    <m/>
    <m/>
    <m/>
    <n v="0"/>
    <n v="18.989999999999998"/>
    <n v="15.86"/>
    <n v="16.482359136387569"/>
    <n v="-7.4070563454449729"/>
    <d v="2024-07-25T14:13:50"/>
    <d v="2024-07-25T14:13:50"/>
    <n v="6"/>
    <n v="8.6867999999999999"/>
    <n v="8280"/>
    <n v="12.2"/>
    <n v="9674.9543057954379"/>
    <n v="179.85491978722288"/>
    <m/>
    <m/>
    <m/>
    <e v="#DIV/0!"/>
  </r>
  <r>
    <n v="2024"/>
    <s v="Lethbridge"/>
    <n v="421"/>
    <n v="4"/>
    <n v="16"/>
    <x v="1"/>
    <n v="7"/>
    <x v="6"/>
    <n v="42"/>
    <n v="51"/>
    <e v="#DIV/0!"/>
    <n v="74"/>
    <n v="72"/>
    <n v="70"/>
    <n v="69"/>
    <n v="71.25"/>
    <n v="90"/>
    <n v="92"/>
    <n v="89"/>
    <n v="90"/>
    <n v="90.25"/>
    <n v="95"/>
    <n v="99"/>
    <n v="98"/>
    <n v="96"/>
    <n v="97"/>
    <n v="100"/>
    <n v="95"/>
    <n v="100"/>
    <n v="100"/>
    <n v="98.75"/>
    <m/>
    <m/>
    <m/>
    <m/>
    <x v="0"/>
    <m/>
    <m/>
    <m/>
    <m/>
    <e v="#DIV/0!"/>
    <d v="2024-07-07T00:00:00"/>
    <m/>
    <m/>
    <m/>
    <m/>
    <x v="0"/>
    <n v="30"/>
    <n v="0"/>
    <n v="0"/>
    <n v="20"/>
    <n v="0"/>
    <m/>
    <m/>
    <n v="0"/>
    <m/>
    <m/>
    <m/>
    <n v="0"/>
    <n v="24.1"/>
    <n v="13.56"/>
    <n v="43.734439834024897"/>
    <n v="3.493775933609959"/>
    <d v="2024-08-05T11:51:02"/>
    <d v="2024-08-05T11:51:02"/>
    <n v="6"/>
    <n v="8.6867999999999999"/>
    <n v="8380"/>
    <n v="12.8"/>
    <n v="9724.8872184253523"/>
    <n v="180.78315982970204"/>
    <m/>
    <n v="4.4400000000000004"/>
    <n v="4.2699999999999996"/>
    <n v="43.902427745664738"/>
  </r>
  <r>
    <n v="2024"/>
    <s v="Lethbridge"/>
    <n v="422"/>
    <n v="4"/>
    <n v="14"/>
    <x v="1"/>
    <n v="5"/>
    <x v="4"/>
    <n v="45"/>
    <n v="56"/>
    <e v="#DIV/0!"/>
    <n v="68"/>
    <n v="66"/>
    <n v="70"/>
    <n v="68"/>
    <n v="68"/>
    <n v="98"/>
    <n v="97"/>
    <n v="92"/>
    <n v="93"/>
    <n v="95"/>
    <n v="94"/>
    <n v="97"/>
    <n v="96"/>
    <n v="99"/>
    <n v="96.5"/>
    <n v="95"/>
    <n v="100"/>
    <n v="105"/>
    <n v="100"/>
    <n v="100"/>
    <m/>
    <m/>
    <m/>
    <m/>
    <x v="0"/>
    <m/>
    <m/>
    <m/>
    <m/>
    <e v="#DIV/0!"/>
    <d v="2024-07-07T00:00:00"/>
    <m/>
    <m/>
    <m/>
    <m/>
    <x v="0"/>
    <n v="20"/>
    <n v="0"/>
    <n v="0"/>
    <n v="13.333333333333334"/>
    <n v="0"/>
    <m/>
    <m/>
    <n v="0"/>
    <m/>
    <m/>
    <m/>
    <n v="0"/>
    <n v="21.3"/>
    <n v="13.19"/>
    <n v="38.075117370892023"/>
    <n v="1.2300469483568093"/>
    <d v="2024-08-03T05:31:16"/>
    <d v="2024-08-03T05:31:16"/>
    <n v="6"/>
    <n v="8.6867999999999999"/>
    <n v="8460"/>
    <n v="11.4"/>
    <n v="9975.3502823099352"/>
    <n v="185.43920396601803"/>
    <m/>
    <n v="4.37"/>
    <n v="4.4000000000000004"/>
    <n v="44.914566473988437"/>
  </r>
  <r>
    <n v="2024"/>
    <s v="Lethbridge"/>
    <n v="423"/>
    <n v="4"/>
    <n v="15"/>
    <x v="1"/>
    <n v="6"/>
    <x v="5"/>
    <n v="45"/>
    <n v="39"/>
    <e v="#DIV/0!"/>
    <n v="78"/>
    <n v="80"/>
    <n v="85"/>
    <n v="80"/>
    <n v="80.75"/>
    <n v="99"/>
    <n v="96"/>
    <n v="92"/>
    <n v="87"/>
    <n v="93.5"/>
    <n v="95"/>
    <n v="98"/>
    <n v="98"/>
    <n v="97"/>
    <n v="97"/>
    <n v="100"/>
    <n v="95"/>
    <n v="100"/>
    <n v="100"/>
    <n v="98.75"/>
    <m/>
    <m/>
    <m/>
    <m/>
    <x v="0"/>
    <m/>
    <m/>
    <m/>
    <m/>
    <e v="#DIV/0!"/>
    <d v="2024-07-08T00:00:00"/>
    <m/>
    <m/>
    <m/>
    <m/>
    <x v="0"/>
    <n v="0"/>
    <n v="0"/>
    <n v="0"/>
    <n v="0"/>
    <n v="0"/>
    <m/>
    <m/>
    <n v="0"/>
    <m/>
    <m/>
    <m/>
    <n v="0"/>
    <n v="24.59"/>
    <n v="14.51"/>
    <n v="40.99227328182188"/>
    <n v="2.3969093127287522"/>
    <d v="2024-08-04T09:31:33"/>
    <d v="2024-08-04T09:31:33"/>
    <n v="6"/>
    <n v="8.6867999999999999"/>
    <n v="8210"/>
    <n v="11.9"/>
    <n v="9625.9396690107988"/>
    <n v="178.94375025725202"/>
    <m/>
    <n v="3.83"/>
    <n v="4.43"/>
    <n v="42.063930635838148"/>
  </r>
  <r>
    <n v="2024"/>
    <s v="Lethbridge"/>
    <n v="424"/>
    <n v="4"/>
    <n v="12"/>
    <x v="1"/>
    <n v="3"/>
    <x v="2"/>
    <n v="44"/>
    <n v="50"/>
    <e v="#DIV/0!"/>
    <n v="71"/>
    <n v="78"/>
    <n v="74"/>
    <n v="75"/>
    <n v="74.5"/>
    <n v="101"/>
    <n v="104"/>
    <n v="98"/>
    <n v="102"/>
    <n v="101.25"/>
    <n v="104"/>
    <n v="105"/>
    <n v="104"/>
    <n v="104"/>
    <n v="104.25"/>
    <n v="100"/>
    <n v="110"/>
    <n v="100"/>
    <n v="110"/>
    <n v="105"/>
    <m/>
    <m/>
    <m/>
    <m/>
    <x v="0"/>
    <m/>
    <m/>
    <m/>
    <m/>
    <e v="#DIV/0!"/>
    <d v="2024-07-06T00:00:00"/>
    <m/>
    <m/>
    <m/>
    <m/>
    <x v="0"/>
    <n v="20"/>
    <n v="0"/>
    <n v="0"/>
    <n v="13.333333333333334"/>
    <n v="0"/>
    <m/>
    <m/>
    <n v="0"/>
    <m/>
    <m/>
    <m/>
    <n v="0"/>
    <n v="28.12"/>
    <n v="16.62"/>
    <n v="40.896159317211946"/>
    <n v="2.3584637268847786"/>
    <d v="2024-08-04T08:36:11"/>
    <d v="2024-08-04T08:36:11"/>
    <n v="6"/>
    <n v="8.6867999999999999"/>
    <n v="8150"/>
    <n v="10.7"/>
    <n v="9685.7473740637924"/>
    <n v="180.05556015887819"/>
    <m/>
    <m/>
    <m/>
    <e v="#DIV/0!"/>
  </r>
  <r>
    <n v="2024"/>
    <s v="Lethbridge"/>
    <n v="425"/>
    <n v="4"/>
    <n v="11"/>
    <x v="1"/>
    <n v="2"/>
    <x v="1"/>
    <n v="42"/>
    <n v="49"/>
    <e v="#DIV/0!"/>
    <n v="76"/>
    <n v="72"/>
    <n v="74"/>
    <n v="70"/>
    <n v="73"/>
    <n v="107"/>
    <n v="103"/>
    <n v="103"/>
    <n v="102"/>
    <n v="103.75"/>
    <n v="97"/>
    <n v="100"/>
    <n v="102"/>
    <n v="102"/>
    <n v="100.25"/>
    <n v="100"/>
    <n v="110"/>
    <n v="110"/>
    <n v="100"/>
    <n v="105"/>
    <m/>
    <m/>
    <m/>
    <m/>
    <x v="0"/>
    <m/>
    <m/>
    <m/>
    <m/>
    <e v="#DIV/0!"/>
    <d v="2024-07-06T00:00:00"/>
    <m/>
    <m/>
    <m/>
    <m/>
    <x v="0"/>
    <n v="10"/>
    <n v="0"/>
    <n v="0"/>
    <n v="6.666666666666667"/>
    <n v="0"/>
    <m/>
    <m/>
    <n v="0"/>
    <m/>
    <m/>
    <m/>
    <n v="0"/>
    <n v="16.5"/>
    <n v="12.85"/>
    <n v="22.121212121212121"/>
    <n v="-5.1515151515151514"/>
    <d v="2024-07-27T20:21:49"/>
    <d v="2024-07-27T20:21:49"/>
    <n v="6"/>
    <n v="8.6867999999999999"/>
    <n v="7960"/>
    <n v="10"/>
    <n v="9534.098776137922"/>
    <n v="177.23645160769215"/>
    <m/>
    <m/>
    <m/>
    <e v="#DIV/0!"/>
  </r>
  <r>
    <n v="2024"/>
    <s v="Lethbridge"/>
    <n v="426"/>
    <n v="4"/>
    <n v="17"/>
    <x v="1"/>
    <n v="8"/>
    <x v="7"/>
    <n v="48"/>
    <n v="56"/>
    <e v="#DIV/0!"/>
    <n v="63"/>
    <n v="72"/>
    <n v="73"/>
    <n v="70"/>
    <n v="69.5"/>
    <n v="99"/>
    <n v="98"/>
    <n v="107"/>
    <n v="97"/>
    <n v="100.25"/>
    <n v="101"/>
    <n v="101"/>
    <n v="102"/>
    <n v="101"/>
    <n v="101.25"/>
    <n v="90"/>
    <n v="110"/>
    <n v="100"/>
    <n v="100"/>
    <n v="100"/>
    <m/>
    <m/>
    <m/>
    <m/>
    <x v="0"/>
    <m/>
    <m/>
    <m/>
    <m/>
    <e v="#DIV/0!"/>
    <d v="2024-07-07T00:00:00"/>
    <m/>
    <m/>
    <m/>
    <m/>
    <x v="0"/>
    <n v="40"/>
    <n v="15"/>
    <n v="5"/>
    <n v="36.666666666666671"/>
    <n v="0"/>
    <m/>
    <m/>
    <n v="0"/>
    <m/>
    <m/>
    <m/>
    <n v="0"/>
    <n v="25.42"/>
    <n v="13.94"/>
    <n v="45.161290322580648"/>
    <n v="4.0645161290322589"/>
    <d v="2024-08-06T01:32:54"/>
    <d v="2024-08-06T01:32:54"/>
    <n v="6"/>
    <n v="8.6867999999999999"/>
    <n v="7550"/>
    <n v="10.199999999999999"/>
    <n v="9022.925222269334"/>
    <n v="167.7338663114171"/>
    <m/>
    <n v="4.3899999999999997"/>
    <n v="4.1399999999999997"/>
    <n v="44.277109826589594"/>
  </r>
  <r>
    <n v="2024"/>
    <s v="Lethbridge"/>
    <n v="427"/>
    <n v="4"/>
    <n v="18"/>
    <x v="1"/>
    <n v="9"/>
    <x v="8"/>
    <n v="44"/>
    <n v="60"/>
    <e v="#DIV/0!"/>
    <n v="79"/>
    <n v="78"/>
    <n v="72"/>
    <n v="79"/>
    <n v="77"/>
    <n v="97"/>
    <n v="103"/>
    <n v="101"/>
    <n v="98"/>
    <n v="99.75"/>
    <n v="99"/>
    <n v="98"/>
    <n v="99"/>
    <n v="91"/>
    <n v="96.75"/>
    <n v="115"/>
    <n v="100"/>
    <n v="100"/>
    <n v="100"/>
    <n v="103.75"/>
    <m/>
    <m/>
    <m/>
    <m/>
    <x v="0"/>
    <m/>
    <m/>
    <m/>
    <m/>
    <e v="#DIV/0!"/>
    <d v="2024-07-06T00:00:00"/>
    <m/>
    <m/>
    <m/>
    <m/>
    <x v="0"/>
    <n v="5"/>
    <n v="10"/>
    <n v="0"/>
    <n v="6.666666666666667"/>
    <m/>
    <m/>
    <m/>
    <n v="0"/>
    <m/>
    <m/>
    <m/>
    <n v="0"/>
    <n v="27.34"/>
    <n v="16.440000000000001"/>
    <n v="39.868324798829548"/>
    <n v="1.947329919531819"/>
    <d v="2024-08-03T22:44:09"/>
    <d v="2024-08-03T22:44:09"/>
    <n v="6"/>
    <n v="8.6867999999999999"/>
    <n v="8410"/>
    <n v="10.1"/>
    <n v="10061.894453640511"/>
    <n v="187.04803792024026"/>
    <m/>
    <m/>
    <m/>
    <e v="#DIV/0!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n v="101"/>
    <n v="1"/>
    <n v="1"/>
    <s v="CDC_Austenson"/>
    <x v="0"/>
    <x v="0"/>
    <n v="44"/>
    <n v="51"/>
    <n v="196.85039370078741"/>
    <n v="51"/>
    <n v="59"/>
    <n v="57"/>
    <n v="52"/>
    <n v="54.75"/>
    <n v="90"/>
    <n v="81"/>
    <n v="77"/>
    <n v="75"/>
    <n v="80.75"/>
    <n v="97"/>
    <n v="92"/>
    <n v="103"/>
    <n v="103"/>
    <n v="98.75"/>
    <n v="100"/>
    <n v="97"/>
    <n v="101"/>
    <n v="95"/>
    <n v="98.25"/>
    <m/>
    <m/>
    <m/>
    <m/>
    <e v="#DIV/0!"/>
    <m/>
    <m/>
    <m/>
    <m/>
    <e v="#DIV/0!"/>
    <d v="2024-07-08T00:00:00"/>
    <m/>
    <m/>
    <m/>
    <m/>
    <e v="#DIV/0!"/>
    <n v="5"/>
    <n v="0"/>
    <n v="0"/>
    <n v="3.3333333333333335"/>
    <n v="5"/>
    <n v="0"/>
    <n v="0"/>
    <n v="3.3333333333333335"/>
    <n v="0"/>
    <n v="0"/>
    <n v="0"/>
    <n v="0"/>
    <n v="38.99"/>
    <n v="21.4"/>
    <n v="45.114131828674026"/>
    <n v="4.0456527314696107"/>
    <d v="2024-08-06T01:05:44"/>
    <d v="2024-08-06T01:05:44"/>
    <n v="6"/>
    <n v="8.6867999999999999"/>
    <n v="8650"/>
    <n v="13.9"/>
    <n v="9911.5899986185941"/>
    <n v="184.25391664098669"/>
    <m/>
    <n v="5.07"/>
    <n v="4.96"/>
    <x v="0"/>
  </r>
  <r>
    <n v="102"/>
    <n v="1"/>
    <n v="2"/>
    <s v="CDC_Austenson"/>
    <x v="1"/>
    <x v="1"/>
    <n v="64"/>
    <n v="26"/>
    <n v="186.48984666390388"/>
    <n v="50"/>
    <n v="56"/>
    <n v="54"/>
    <n v="58"/>
    <n v="54.5"/>
    <n v="78"/>
    <n v="76"/>
    <n v="81"/>
    <n v="82"/>
    <n v="79.25"/>
    <n v="95"/>
    <n v="103"/>
    <n v="100"/>
    <n v="102"/>
    <n v="100"/>
    <n v="95"/>
    <n v="110"/>
    <n v="105"/>
    <n v="95"/>
    <n v="101.25"/>
    <m/>
    <m/>
    <m/>
    <m/>
    <e v="#DIV/0!"/>
    <m/>
    <m/>
    <m/>
    <m/>
    <e v="#DIV/0!"/>
    <d v="2024-07-08T00:00:00"/>
    <m/>
    <m/>
    <m/>
    <m/>
    <e v="#DIV/0!"/>
    <n v="50"/>
    <n v="0"/>
    <n v="0"/>
    <n v="33.333333333333336"/>
    <n v="50"/>
    <n v="0"/>
    <n v="0"/>
    <n v="33.333333333333336"/>
    <m/>
    <m/>
    <m/>
    <n v="0"/>
    <n v="33.270000000000003"/>
    <n v="17.8"/>
    <n v="46.498346859032161"/>
    <n v="4.5993387436128641"/>
    <d v="2024-08-06T14:23:03"/>
    <d v="2024-08-06T14:23:03"/>
    <n v="6"/>
    <n v="8.6867999999999999"/>
    <n v="8780"/>
    <n v="7.2"/>
    <n v="10843.427048041265"/>
    <n v="201.57652845717737"/>
    <m/>
    <n v="5.18"/>
    <n v="5.17"/>
    <x v="1"/>
  </r>
  <r>
    <n v="103"/>
    <n v="1"/>
    <n v="3"/>
    <s v="CDC_Austenson"/>
    <x v="2"/>
    <x v="2"/>
    <n v="43"/>
    <n v="49"/>
    <n v="190.63406547865728"/>
    <n v="59"/>
    <n v="64"/>
    <n v="62"/>
    <n v="58"/>
    <n v="60.75"/>
    <n v="84"/>
    <n v="86"/>
    <n v="85"/>
    <n v="80"/>
    <n v="83.75"/>
    <n v="102"/>
    <n v="110"/>
    <n v="103"/>
    <n v="98"/>
    <n v="103.25"/>
    <n v="100"/>
    <n v="105"/>
    <n v="110"/>
    <n v="110"/>
    <n v="106.25"/>
    <m/>
    <m/>
    <m/>
    <m/>
    <e v="#DIV/0!"/>
    <m/>
    <m/>
    <m/>
    <m/>
    <e v="#DIV/0!"/>
    <d v="2024-07-09T00:00:00"/>
    <m/>
    <m/>
    <m/>
    <m/>
    <e v="#DIV/0!"/>
    <n v="30"/>
    <n v="0"/>
    <n v="0"/>
    <n v="20"/>
    <n v="30"/>
    <n v="0"/>
    <n v="0"/>
    <n v="20"/>
    <m/>
    <m/>
    <m/>
    <n v="0"/>
    <n v="32.76"/>
    <n v="18.3"/>
    <n v="44.139194139194132"/>
    <n v="3.6556776556776525"/>
    <d v="2024-08-05T15:44:11"/>
    <d v="2024-08-05T15:44:11"/>
    <n v="6"/>
    <n v="8.6867999999999999"/>
    <n v="9010"/>
    <n v="7.5"/>
    <n v="11091.507918066372"/>
    <n v="206.18828822046461"/>
    <m/>
    <n v="5.04"/>
    <n v="4.92"/>
    <x v="2"/>
  </r>
  <r>
    <n v="104"/>
    <n v="1"/>
    <n v="4"/>
    <s v="CDC_Austenson"/>
    <x v="3"/>
    <x v="3"/>
    <n v="44"/>
    <n v="58"/>
    <n v="211.35515955242437"/>
    <n v="68"/>
    <n v="63"/>
    <n v="65"/>
    <n v="59"/>
    <n v="63.75"/>
    <n v="75"/>
    <n v="77"/>
    <n v="85"/>
    <n v="84"/>
    <n v="80.25"/>
    <n v="90"/>
    <n v="95"/>
    <n v="92"/>
    <n v="93"/>
    <n v="92.5"/>
    <n v="100"/>
    <n v="90"/>
    <n v="95"/>
    <n v="90"/>
    <n v="93.75"/>
    <m/>
    <m/>
    <m/>
    <m/>
    <e v="#DIV/0!"/>
    <m/>
    <m/>
    <m/>
    <m/>
    <e v="#DIV/0!"/>
    <d v="2024-07-09T00:00:00"/>
    <m/>
    <m/>
    <m/>
    <m/>
    <e v="#DIV/0!"/>
    <n v="30"/>
    <n v="0"/>
    <n v="0"/>
    <n v="20"/>
    <n v="30"/>
    <n v="0"/>
    <n v="0"/>
    <n v="20"/>
    <m/>
    <m/>
    <m/>
    <n v="0"/>
    <n v="34.020000000000003"/>
    <n v="17.8"/>
    <n v="47.677836566725453"/>
    <n v="5.0711346266901813"/>
    <d v="2024-08-07T01:42:26"/>
    <d v="2024-08-07T01:42:26"/>
    <n v="6"/>
    <n v="8.6867999999999999"/>
    <n v="8770"/>
    <n v="8.4"/>
    <n v="10691.019874417127"/>
    <n v="198.74331817826709"/>
    <m/>
    <n v="6.8"/>
    <n v="5.24"/>
    <x v="3"/>
  </r>
  <r>
    <n v="105"/>
    <n v="1"/>
    <n v="5"/>
    <s v="CDC_Austenson"/>
    <x v="4"/>
    <x v="4"/>
    <n v="30"/>
    <n v="54"/>
    <n v="174.05719021964362"/>
    <n v="56"/>
    <n v="45"/>
    <n v="50"/>
    <n v="47"/>
    <n v="49.5"/>
    <n v="61"/>
    <n v="72"/>
    <n v="66"/>
    <n v="75"/>
    <n v="68.5"/>
    <n v="88"/>
    <n v="92"/>
    <n v="89"/>
    <n v="92"/>
    <n v="90.25"/>
    <n v="90"/>
    <n v="95"/>
    <n v="110"/>
    <n v="100"/>
    <n v="98.75"/>
    <m/>
    <m/>
    <m/>
    <m/>
    <e v="#DIV/0!"/>
    <m/>
    <m/>
    <m/>
    <m/>
    <e v="#DIV/0!"/>
    <d v="2024-07-09T00:00:00"/>
    <m/>
    <m/>
    <m/>
    <m/>
    <e v="#DIV/0!"/>
    <n v="5"/>
    <n v="0"/>
    <n v="0"/>
    <n v="3.3333333333333335"/>
    <n v="10"/>
    <n v="0"/>
    <n v="0"/>
    <n v="6.666666666666667"/>
    <m/>
    <m/>
    <m/>
    <n v="0"/>
    <n v="38.42"/>
    <n v="20"/>
    <n v="47.943779281624153"/>
    <n v="5.177511712649661"/>
    <d v="2024-08-07T04:15:37"/>
    <d v="2024-08-07T04:15:37"/>
    <n v="6"/>
    <n v="8.6867999999999999"/>
    <n v="8710"/>
    <n v="7.3"/>
    <n v="10745.384466126403"/>
    <n v="199.75394199850365"/>
    <m/>
    <n v="4.6900000000000004"/>
    <n v="4.92"/>
    <x v="4"/>
  </r>
  <r>
    <n v="106"/>
    <n v="1"/>
    <n v="6"/>
    <s v="CDC_Austenson"/>
    <x v="5"/>
    <x v="5"/>
    <n v="42"/>
    <n v="33"/>
    <n v="155.40820555325323"/>
    <n v="64"/>
    <n v="64"/>
    <n v="60"/>
    <n v="57"/>
    <n v="61.25"/>
    <n v="71"/>
    <n v="76"/>
    <n v="74"/>
    <n v="76"/>
    <n v="74.25"/>
    <n v="77"/>
    <n v="85"/>
    <n v="80"/>
    <n v="78"/>
    <n v="80"/>
    <n v="80"/>
    <n v="80"/>
    <n v="85"/>
    <n v="80"/>
    <n v="81.25"/>
    <m/>
    <m/>
    <m/>
    <m/>
    <e v="#DIV/0!"/>
    <m/>
    <m/>
    <m/>
    <m/>
    <e v="#DIV/0!"/>
    <d v="2024-07-09T00:00:00"/>
    <m/>
    <m/>
    <m/>
    <m/>
    <e v="#DIV/0!"/>
    <n v="50"/>
    <n v="0"/>
    <n v="0"/>
    <n v="33.333333333333336"/>
    <n v="5"/>
    <n v="0"/>
    <n v="0"/>
    <n v="3.3333333333333335"/>
    <m/>
    <m/>
    <m/>
    <n v="0"/>
    <n v="29.71"/>
    <n v="15.3"/>
    <n v="48.502187815550322"/>
    <n v="5.4008751262201287"/>
    <d v="2024-08-07T09:37:16"/>
    <d v="2024-08-07T09:37:16"/>
    <n v="6"/>
    <n v="8.6867999999999999"/>
    <m/>
    <m/>
    <m/>
    <m/>
    <m/>
    <n v="5.16"/>
    <n v="4.92"/>
    <x v="5"/>
  </r>
  <r>
    <n v="107"/>
    <n v="1"/>
    <n v="7"/>
    <s v="CDC_Austenson"/>
    <x v="6"/>
    <x v="6"/>
    <n v="39"/>
    <n v="39"/>
    <n v="161.62453377538336"/>
    <n v="55"/>
    <n v="46"/>
    <n v="64"/>
    <n v="46"/>
    <n v="52.75"/>
    <n v="61"/>
    <n v="66"/>
    <n v="69"/>
    <n v="73"/>
    <n v="67.25"/>
    <n v="94"/>
    <n v="93"/>
    <n v="94"/>
    <n v="91"/>
    <n v="93"/>
    <n v="90"/>
    <n v="90"/>
    <n v="95"/>
    <n v="90"/>
    <n v="91.25"/>
    <m/>
    <m/>
    <m/>
    <m/>
    <e v="#DIV/0!"/>
    <m/>
    <m/>
    <m/>
    <m/>
    <e v="#DIV/0!"/>
    <d v="2024-07-09T00:00:00"/>
    <m/>
    <m/>
    <m/>
    <m/>
    <e v="#DIV/0!"/>
    <n v="10"/>
    <n v="0"/>
    <n v="0"/>
    <n v="6.666666666666667"/>
    <n v="30"/>
    <n v="0"/>
    <n v="0"/>
    <n v="20"/>
    <m/>
    <m/>
    <m/>
    <n v="0"/>
    <n v="35.409999999999997"/>
    <n v="18.5"/>
    <n v="47.754871505224507"/>
    <n v="5.1019486020898031"/>
    <d v="2024-08-07T02:26:48"/>
    <d v="2024-08-07T02:26:48"/>
    <n v="6"/>
    <n v="8.6867999999999999"/>
    <n v="9410"/>
    <n v="12.6"/>
    <n v="10945.235891756305"/>
    <n v="203.46912875700824"/>
    <m/>
    <n v="5.01"/>
    <n v="5.13"/>
    <x v="6"/>
  </r>
  <r>
    <n v="108"/>
    <n v="1"/>
    <n v="8"/>
    <s v="CDC_Austenson"/>
    <x v="7"/>
    <x v="7"/>
    <n v="45"/>
    <n v="23"/>
    <n v="140.90343970161626"/>
    <n v="52"/>
    <n v="54"/>
    <n v="59"/>
    <n v="56"/>
    <n v="55.25"/>
    <n v="75"/>
    <n v="77"/>
    <n v="74"/>
    <n v="67"/>
    <n v="73.25"/>
    <n v="100"/>
    <n v="101"/>
    <n v="103"/>
    <n v="99"/>
    <n v="100.75"/>
    <n v="95"/>
    <n v="100"/>
    <n v="110"/>
    <n v="100"/>
    <n v="101.25"/>
    <m/>
    <m/>
    <m/>
    <m/>
    <e v="#DIV/0!"/>
    <m/>
    <m/>
    <m/>
    <m/>
    <e v="#DIV/0!"/>
    <d v="2024-07-09T00:00:00"/>
    <m/>
    <m/>
    <m/>
    <m/>
    <e v="#DIV/0!"/>
    <n v="40"/>
    <n v="0"/>
    <n v="0"/>
    <n v="26.666666666666668"/>
    <n v="60"/>
    <n v="0"/>
    <n v="0"/>
    <n v="40"/>
    <m/>
    <m/>
    <m/>
    <n v="0"/>
    <n v="31.3"/>
    <n v="15.2"/>
    <n v="51.437699680511187"/>
    <n v="6.5750798722044745"/>
    <d v="2024-08-08T13:48:07"/>
    <d v="2024-08-08T13:48:07"/>
    <n v="6"/>
    <n v="8.6867999999999999"/>
    <n v="8960"/>
    <n v="8.3000000000000007"/>
    <n v="10934.562598598204"/>
    <n v="203.27071497394098"/>
    <m/>
    <n v="4.95"/>
    <n v="4.7300000000000004"/>
    <x v="7"/>
  </r>
  <r>
    <n v="109"/>
    <n v="1"/>
    <n v="9"/>
    <s v="CDC_Austenson"/>
    <x v="8"/>
    <x v="8"/>
    <n v="38"/>
    <n v="38"/>
    <n v="157.48031496062993"/>
    <n v="54"/>
    <n v="55"/>
    <n v="50"/>
    <n v="51"/>
    <n v="52.5"/>
    <n v="69"/>
    <n v="69"/>
    <n v="70"/>
    <n v="76"/>
    <n v="71"/>
    <n v="87"/>
    <n v="92"/>
    <n v="85"/>
    <n v="89"/>
    <n v="88.25"/>
    <n v="90"/>
    <n v="95"/>
    <n v="90"/>
    <n v="100"/>
    <n v="93.75"/>
    <m/>
    <m/>
    <m/>
    <m/>
    <e v="#DIV/0!"/>
    <m/>
    <m/>
    <m/>
    <m/>
    <e v="#DIV/0!"/>
    <d v="2024-07-09T00:00:00"/>
    <m/>
    <m/>
    <m/>
    <m/>
    <e v="#DIV/0!"/>
    <n v="5"/>
    <n v="0"/>
    <n v="0"/>
    <n v="3.3333333333333335"/>
    <n v="10"/>
    <n v="0"/>
    <n v="0"/>
    <n v="6.666666666666667"/>
    <m/>
    <m/>
    <m/>
    <n v="0"/>
    <n v="38"/>
    <n v="19.899999999999999"/>
    <n v="47.631578947368425"/>
    <n v="5.0526315789473699"/>
    <d v="2024-08-07T01:15:47"/>
    <d v="2024-08-07T01:15:47"/>
    <n v="6"/>
    <n v="8.6867999999999999"/>
    <n v="9400"/>
    <n v="19.2"/>
    <n v="10107.954637705578"/>
    <n v="187.90428493170626"/>
    <m/>
    <n v="5.41"/>
    <n v="5.52"/>
    <x v="8"/>
  </r>
  <r>
    <n v="110"/>
    <n v="1"/>
    <n v="10"/>
    <s v="AB_Hague"/>
    <x v="0"/>
    <x v="0"/>
    <n v="48"/>
    <n v="38"/>
    <n v="178.20140903439702"/>
    <n v="69"/>
    <n v="74"/>
    <n v="70"/>
    <n v="66"/>
    <n v="69.75"/>
    <n v="99"/>
    <n v="89"/>
    <n v="96"/>
    <n v="95"/>
    <n v="94.75"/>
    <n v="105"/>
    <n v="102"/>
    <n v="103"/>
    <n v="110"/>
    <n v="105"/>
    <n v="110"/>
    <n v="100"/>
    <n v="120"/>
    <n v="110"/>
    <n v="110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5"/>
    <n v="0"/>
    <n v="0"/>
    <n v="3.3333333333333335"/>
    <m/>
    <m/>
    <m/>
    <n v="0"/>
    <n v="33.97"/>
    <n v="17.5"/>
    <n v="48.483956432146009"/>
    <n v="5.3935825728584037"/>
    <d v="2024-08-07T09:26:46"/>
    <d v="2024-08-07T09:26:46"/>
    <n v="6"/>
    <n v="8.6867999999999999"/>
    <n v="8770"/>
    <n v="7.9"/>
    <n v="10749.3769698015"/>
    <n v="199.82816161810482"/>
    <m/>
    <n v="4.71"/>
    <n v="4.82"/>
    <x v="9"/>
  </r>
  <r>
    <n v="111"/>
    <n v="1"/>
    <n v="11"/>
    <s v="AB_Hague"/>
    <x v="1"/>
    <x v="1"/>
    <n v="37"/>
    <n v="50"/>
    <n v="180.27351844177375"/>
    <n v="59"/>
    <n v="62"/>
    <n v="71"/>
    <n v="73"/>
    <n v="66.25"/>
    <n v="99"/>
    <n v="95"/>
    <n v="95"/>
    <n v="86"/>
    <n v="93.75"/>
    <n v="95"/>
    <n v="102"/>
    <n v="98"/>
    <n v="101"/>
    <n v="99"/>
    <n v="100"/>
    <n v="110"/>
    <n v="110"/>
    <n v="100"/>
    <n v="105"/>
    <m/>
    <m/>
    <m/>
    <m/>
    <e v="#DIV/0!"/>
    <m/>
    <m/>
    <m/>
    <m/>
    <e v="#DIV/0!"/>
    <d v="2024-07-07T00:00:00"/>
    <m/>
    <m/>
    <m/>
    <m/>
    <e v="#DIV/0!"/>
    <n v="40"/>
    <n v="0"/>
    <n v="0"/>
    <n v="26.666666666666668"/>
    <n v="45"/>
    <n v="0"/>
    <n v="0"/>
    <n v="30"/>
    <m/>
    <m/>
    <m/>
    <n v="0"/>
    <n v="27.81"/>
    <n v="13.3"/>
    <n v="52.175476447321103"/>
    <n v="6.8701905789284412"/>
    <d v="2024-08-08T20:53:04"/>
    <d v="2024-08-08T20:53:04"/>
    <n v="6"/>
    <n v="8.6867999999999999"/>
    <n v="8500"/>
    <n v="12.5"/>
    <n v="9898.082027851171"/>
    <n v="184.00280692800254"/>
    <m/>
    <n v="4.41"/>
    <n v="4.58"/>
    <x v="10"/>
  </r>
  <r>
    <n v="112"/>
    <n v="1"/>
    <n v="12"/>
    <s v="AB_Hague"/>
    <x v="2"/>
    <x v="2"/>
    <n v="43"/>
    <n v="45"/>
    <n v="182.34562784915045"/>
    <n v="73"/>
    <n v="75"/>
    <n v="68"/>
    <n v="76"/>
    <n v="73"/>
    <n v="83"/>
    <n v="88"/>
    <n v="83"/>
    <n v="91"/>
    <n v="86.25"/>
    <n v="102"/>
    <n v="101"/>
    <n v="96"/>
    <n v="99"/>
    <n v="99.5"/>
    <n v="100"/>
    <n v="100"/>
    <n v="110"/>
    <n v="110"/>
    <n v="105"/>
    <m/>
    <m/>
    <m/>
    <m/>
    <e v="#DIV/0!"/>
    <m/>
    <m/>
    <m/>
    <m/>
    <e v="#DIV/0!"/>
    <d v="2024-07-08T00:00:00"/>
    <m/>
    <m/>
    <m/>
    <m/>
    <e v="#DIV/0!"/>
    <n v="25"/>
    <n v="0"/>
    <n v="0"/>
    <n v="16.666666666666668"/>
    <n v="60"/>
    <n v="0"/>
    <n v="0"/>
    <n v="40"/>
    <m/>
    <m/>
    <m/>
    <n v="0"/>
    <n v="29.77"/>
    <n v="14"/>
    <n v="52.972791400738991"/>
    <n v="7.1891165602955969"/>
    <d v="2024-08-09T04:32:20"/>
    <d v="2024-08-09T04:32:20"/>
    <n v="6"/>
    <n v="8.6867999999999999"/>
    <n v="8810"/>
    <n v="8.1"/>
    <n v="10774.955610013307"/>
    <n v="200.3036619810166"/>
    <m/>
    <n v="4.96"/>
    <n v="4.7300000000000004"/>
    <x v="11"/>
  </r>
  <r>
    <n v="113"/>
    <n v="1"/>
    <n v="13"/>
    <s v="AB_Hague"/>
    <x v="3"/>
    <x v="3"/>
    <n v="21"/>
    <n v="44"/>
    <n v="134.68711147948613"/>
    <n v="74"/>
    <n v="64"/>
    <n v="71"/>
    <n v="80"/>
    <n v="72.25"/>
    <n v="87"/>
    <n v="91"/>
    <n v="86"/>
    <n v="88"/>
    <n v="88"/>
    <n v="94"/>
    <n v="97"/>
    <n v="99"/>
    <n v="96"/>
    <n v="96.5"/>
    <n v="95"/>
    <n v="100"/>
    <n v="100"/>
    <n v="110"/>
    <n v="101.25"/>
    <m/>
    <m/>
    <m/>
    <m/>
    <e v="#DIV/0!"/>
    <m/>
    <m/>
    <m/>
    <m/>
    <e v="#DIV/0!"/>
    <d v="2024-07-08T00:00:00"/>
    <m/>
    <m/>
    <m/>
    <m/>
    <e v="#DIV/0!"/>
    <n v="5"/>
    <n v="0"/>
    <n v="0"/>
    <n v="3.3333333333333335"/>
    <n v="10"/>
    <n v="0"/>
    <n v="0"/>
    <n v="6.666666666666667"/>
    <m/>
    <m/>
    <m/>
    <n v="0"/>
    <n v="30.27"/>
    <n v="14.2"/>
    <n v="53.088866864882725"/>
    <n v="7.2355467459530898"/>
    <d v="2024-08-09T05:39:11"/>
    <d v="2024-08-09T05:39:11"/>
    <n v="6"/>
    <n v="8.6867999999999999"/>
    <n v="9480"/>
    <n v="16.2"/>
    <n v="10572.469131957834"/>
    <n v="196.53949027357513"/>
    <m/>
    <n v="4.66"/>
    <n v="4.7699999999999996"/>
    <x v="12"/>
  </r>
  <r>
    <n v="114"/>
    <n v="1"/>
    <n v="14"/>
    <s v="AB_Hague"/>
    <x v="4"/>
    <x v="4"/>
    <n v="49"/>
    <n v="46"/>
    <n v="196.85039370078741"/>
    <n v="57"/>
    <n v="51"/>
    <n v="58"/>
    <n v="76"/>
    <n v="60.5"/>
    <n v="81"/>
    <n v="85"/>
    <n v="85"/>
    <n v="71"/>
    <n v="80.5"/>
    <n v="94"/>
    <n v="103"/>
    <n v="104"/>
    <n v="100"/>
    <n v="100.25"/>
    <n v="100"/>
    <n v="110"/>
    <n v="95"/>
    <n v="100"/>
    <n v="101.25"/>
    <m/>
    <m/>
    <m/>
    <m/>
    <e v="#DIV/0!"/>
    <m/>
    <m/>
    <m/>
    <m/>
    <e v="#DIV/0!"/>
    <d v="2024-07-08T00:00:00"/>
    <m/>
    <m/>
    <m/>
    <m/>
    <e v="#DIV/0!"/>
    <n v="30"/>
    <n v="0"/>
    <n v="0"/>
    <n v="20"/>
    <n v="30"/>
    <n v="0"/>
    <n v="0"/>
    <n v="20"/>
    <m/>
    <m/>
    <m/>
    <n v="0"/>
    <n v="34.76"/>
    <n v="15.6"/>
    <n v="55.12082853855005"/>
    <n v="8.0483314154200194"/>
    <d v="2024-08-10T01:09:36"/>
    <d v="2024-08-10T01:09:36"/>
    <n v="6"/>
    <n v="8.6867999999999999"/>
    <n v="8880"/>
    <n v="8.8000000000000007"/>
    <n v="10777.843521004961"/>
    <n v="200.35734750586147"/>
    <m/>
    <n v="4.59"/>
    <n v="4.82"/>
    <x v="13"/>
  </r>
  <r>
    <n v="115"/>
    <n v="1"/>
    <n v="15"/>
    <s v="AB_Hague"/>
    <x v="5"/>
    <x v="5"/>
    <n v="35"/>
    <n v="52"/>
    <n v="180.27351844177375"/>
    <n v="78"/>
    <n v="76"/>
    <n v="65"/>
    <n v="64"/>
    <n v="70.75"/>
    <n v="81"/>
    <n v="96"/>
    <n v="84"/>
    <n v="79"/>
    <n v="85"/>
    <n v="90"/>
    <n v="96"/>
    <n v="90"/>
    <n v="98"/>
    <n v="93.5"/>
    <n v="95"/>
    <n v="95"/>
    <n v="100"/>
    <n v="100"/>
    <n v="97.5"/>
    <m/>
    <m/>
    <m/>
    <m/>
    <e v="#DIV/0!"/>
    <m/>
    <m/>
    <m/>
    <m/>
    <e v="#DIV/0!"/>
    <d v="2024-07-08T00:00:00"/>
    <m/>
    <m/>
    <m/>
    <m/>
    <e v="#DIV/0!"/>
    <n v="5"/>
    <n v="0"/>
    <n v="0"/>
    <n v="3.3333333333333335"/>
    <n v="10"/>
    <n v="0"/>
    <n v="0"/>
    <n v="6.666666666666667"/>
    <m/>
    <m/>
    <m/>
    <n v="0"/>
    <n v="30.77"/>
    <n v="13.4"/>
    <n v="56.451088722781925"/>
    <n v="8.5804354891127694"/>
    <d v="2024-08-10T13:55:50"/>
    <d v="2024-08-10T13:55:50"/>
    <n v="6"/>
    <n v="8.6867999999999999"/>
    <n v="9180"/>
    <n v="3.1"/>
    <n v="11838.332347184927"/>
    <n v="220.07156286433516"/>
    <m/>
    <n v="4.8600000000000003"/>
    <n v="4.58"/>
    <x v="14"/>
  </r>
  <r>
    <n v="116"/>
    <n v="1"/>
    <n v="16"/>
    <s v="AB_Hague"/>
    <x v="6"/>
    <x v="6"/>
    <n v="54"/>
    <n v="39"/>
    <n v="192.70617488603401"/>
    <n v="70"/>
    <n v="73"/>
    <n v="72"/>
    <n v="71"/>
    <n v="71.5"/>
    <n v="94"/>
    <n v="97"/>
    <n v="88"/>
    <n v="84"/>
    <n v="90.75"/>
    <n v="96"/>
    <n v="101"/>
    <n v="100"/>
    <n v="92"/>
    <n v="97.25"/>
    <n v="100"/>
    <n v="110"/>
    <n v="100"/>
    <n v="90"/>
    <n v="100"/>
    <m/>
    <m/>
    <m/>
    <m/>
    <e v="#DIV/0!"/>
    <m/>
    <m/>
    <m/>
    <m/>
    <e v="#DIV/0!"/>
    <d v="2024-07-08T00:00:00"/>
    <m/>
    <m/>
    <m/>
    <m/>
    <e v="#DIV/0!"/>
    <n v="40"/>
    <n v="0"/>
    <n v="0"/>
    <n v="26.666666666666668"/>
    <n v="60"/>
    <n v="0"/>
    <n v="0"/>
    <n v="40"/>
    <m/>
    <m/>
    <m/>
    <n v="0"/>
    <n v="34.799999999999997"/>
    <n v="15.6"/>
    <n v="55.172413793103438"/>
    <n v="8.0689655172413755"/>
    <d v="2024-08-10T01:39:19"/>
    <d v="2024-08-10T01:39:19"/>
    <n v="6"/>
    <n v="8.6867999999999999"/>
    <n v="9540"/>
    <n v="15.4"/>
    <n v="10740.952787047039"/>
    <n v="199.67155822074625"/>
    <m/>
    <n v="4.8899999999999997"/>
    <n v="5.08"/>
    <x v="15"/>
  </r>
  <r>
    <n v="117"/>
    <n v="1"/>
    <n v="17"/>
    <s v="AB_Hague"/>
    <x v="7"/>
    <x v="7"/>
    <n v="38"/>
    <n v="48"/>
    <n v="178.20140903439702"/>
    <n v="75"/>
    <n v="76"/>
    <n v="68"/>
    <n v="60"/>
    <n v="69.75"/>
    <n v="87"/>
    <n v="81"/>
    <n v="97"/>
    <n v="91"/>
    <n v="89"/>
    <n v="101"/>
    <n v="104"/>
    <n v="105"/>
    <n v="107"/>
    <n v="104.25"/>
    <n v="100"/>
    <n v="100"/>
    <n v="110"/>
    <n v="100"/>
    <n v="102.5"/>
    <m/>
    <m/>
    <m/>
    <m/>
    <e v="#DIV/0!"/>
    <m/>
    <m/>
    <m/>
    <m/>
    <e v="#DIV/0!"/>
    <d v="2024-07-08T00:00:00"/>
    <m/>
    <m/>
    <m/>
    <m/>
    <e v="#DIV/0!"/>
    <n v="50"/>
    <n v="0"/>
    <n v="0"/>
    <n v="33.333333333333336"/>
    <n v="70"/>
    <n v="0"/>
    <n v="0"/>
    <n v="46.666666666666664"/>
    <m/>
    <m/>
    <m/>
    <n v="0"/>
    <n v="20.13"/>
    <n v="9"/>
    <n v="55.290611028315936"/>
    <n v="8.1162444113263739"/>
    <d v="2024-08-10T02:47:24"/>
    <d v="2024-08-10T02:47:24"/>
    <n v="6"/>
    <n v="8.6867999999999999"/>
    <n v="9310"/>
    <n v="12.6"/>
    <n v="10828.92095135507"/>
    <n v="201.30686383929299"/>
    <m/>
    <n v="4.3899999999999997"/>
    <n v="4.4800000000000004"/>
    <x v="16"/>
  </r>
  <r>
    <n v="118"/>
    <n v="1"/>
    <n v="18"/>
    <s v="AB_Hague"/>
    <x v="8"/>
    <x v="8"/>
    <n v="47"/>
    <n v="34"/>
    <n v="167.84086199751349"/>
    <n v="71"/>
    <n v="75"/>
    <n v="73"/>
    <n v="60"/>
    <n v="69.75"/>
    <n v="96"/>
    <n v="91"/>
    <n v="97"/>
    <n v="77"/>
    <n v="90.25"/>
    <n v="93"/>
    <n v="95"/>
    <n v="90"/>
    <n v="97"/>
    <n v="93.75"/>
    <n v="100"/>
    <n v="100"/>
    <n v="110"/>
    <n v="105"/>
    <n v="103.75"/>
    <m/>
    <m/>
    <m/>
    <m/>
    <e v="#DIV/0!"/>
    <m/>
    <m/>
    <m/>
    <m/>
    <e v="#DIV/0!"/>
    <d v="2024-07-08T00:00:00"/>
    <m/>
    <m/>
    <m/>
    <m/>
    <e v="#DIV/0!"/>
    <n v="10"/>
    <n v="0"/>
    <n v="0"/>
    <n v="6.666666666666667"/>
    <n v="50"/>
    <n v="0"/>
    <n v="0"/>
    <n v="33.333333333333336"/>
    <m/>
    <m/>
    <m/>
    <n v="0"/>
    <n v="31.28"/>
    <n v="15.7"/>
    <n v="49.808184143222512"/>
    <n v="5.9232736572890046"/>
    <d v="2024-08-07T22:09:31"/>
    <d v="2024-08-07T22:09:31"/>
    <n v="6"/>
    <n v="8.6867999999999999"/>
    <n v="9240"/>
    <n v="14.1"/>
    <n v="10563.046823284601"/>
    <n v="196.36433197131632"/>
    <m/>
    <n v="4.45"/>
    <n v="5"/>
    <x v="17"/>
  </r>
  <r>
    <n v="119"/>
    <n v="1"/>
    <n v="19"/>
    <s v="Esma"/>
    <x v="0"/>
    <x v="0"/>
    <n v="38"/>
    <n v="49"/>
    <n v="180.27351844177375"/>
    <n v="66"/>
    <n v="65"/>
    <n v="63"/>
    <n v="47"/>
    <n v="60.25"/>
    <n v="86"/>
    <n v="86"/>
    <n v="80"/>
    <n v="85"/>
    <n v="84.25"/>
    <n v="80"/>
    <n v="84"/>
    <n v="90"/>
    <n v="82"/>
    <n v="84"/>
    <n v="75"/>
    <n v="90"/>
    <n v="70"/>
    <n v="99"/>
    <n v="83.5"/>
    <m/>
    <m/>
    <m/>
    <m/>
    <e v="#DIV/0!"/>
    <m/>
    <m/>
    <m/>
    <m/>
    <e v="#DIV/0!"/>
    <d v="2024-07-07T00:00:00"/>
    <m/>
    <m/>
    <m/>
    <m/>
    <e v="#DIV/0!"/>
    <n v="0"/>
    <n v="0"/>
    <n v="0"/>
    <n v="0"/>
    <n v="10"/>
    <n v="0"/>
    <n v="0"/>
    <n v="6.666666666666667"/>
    <m/>
    <m/>
    <m/>
    <n v="0"/>
    <n v="32.950000000000003"/>
    <n v="16.7"/>
    <n v="49.317147192716241"/>
    <n v="5.7268588770864968"/>
    <d v="2024-08-07T17:26:41"/>
    <d v="2024-08-07T17:26:41"/>
    <n v="6"/>
    <n v="8.6867999999999999"/>
    <n v="8660"/>
    <n v="7"/>
    <n v="10718.275366172475"/>
    <n v="199.24999078141141"/>
    <m/>
    <n v="5.08"/>
    <n v="5.28"/>
    <x v="18"/>
  </r>
  <r>
    <n v="120"/>
    <n v="1"/>
    <n v="20"/>
    <s v="Esma"/>
    <x v="1"/>
    <x v="1"/>
    <n v="57"/>
    <n v="48"/>
    <n v="217.5714877745545"/>
    <n v="60"/>
    <n v="62"/>
    <n v="69"/>
    <n v="68"/>
    <n v="64.75"/>
    <n v="90"/>
    <n v="80"/>
    <n v="87"/>
    <n v="83"/>
    <n v="85"/>
    <n v="85"/>
    <n v="85"/>
    <n v="84"/>
    <n v="80"/>
    <n v="83.5"/>
    <n v="90"/>
    <n v="85"/>
    <n v="90"/>
    <n v="85"/>
    <n v="87.5"/>
    <m/>
    <m/>
    <m/>
    <m/>
    <e v="#DIV/0!"/>
    <m/>
    <m/>
    <m/>
    <m/>
    <e v="#DIV/0!"/>
    <d v="2024-07-07T00:00:00"/>
    <m/>
    <m/>
    <m/>
    <m/>
    <e v="#DIV/0!"/>
    <n v="0"/>
    <n v="0"/>
    <n v="0"/>
    <n v="0"/>
    <n v="5"/>
    <n v="0"/>
    <n v="0"/>
    <n v="3.3333333333333335"/>
    <m/>
    <m/>
    <m/>
    <n v="0"/>
    <n v="29.08"/>
    <n v="10.5"/>
    <n v="63.892709766162305"/>
    <n v="11.557083906464921"/>
    <d v="2024-08-13T13:22:12"/>
    <d v="2024-08-13T13:22:12"/>
    <n v="6"/>
    <n v="8.6867999999999999"/>
    <n v="9780"/>
    <n v="14.6"/>
    <n v="11115.28993162438"/>
    <n v="206.63038975455578"/>
    <m/>
    <n v="5.68"/>
    <n v="5.69"/>
    <x v="19"/>
  </r>
  <r>
    <n v="121"/>
    <n v="1"/>
    <n v="21"/>
    <s v="Esma"/>
    <x v="2"/>
    <x v="2"/>
    <n v="29"/>
    <n v="39"/>
    <n v="140.90343970161626"/>
    <n v="62"/>
    <n v="64"/>
    <n v="63"/>
    <n v="65"/>
    <n v="63.5"/>
    <n v="88"/>
    <n v="86"/>
    <n v="87"/>
    <n v="91"/>
    <n v="88"/>
    <n v="90"/>
    <n v="92"/>
    <n v="89"/>
    <n v="80"/>
    <n v="87.75"/>
    <n v="85"/>
    <n v="85"/>
    <n v="80"/>
    <n v="85"/>
    <n v="83.7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0"/>
    <n v="0"/>
    <n v="0"/>
    <n v="0"/>
    <m/>
    <m/>
    <m/>
    <n v="0"/>
    <n v="42.16"/>
    <n v="21.8"/>
    <n v="48.292220113851982"/>
    <n v="5.316888045540793"/>
    <d v="2024-08-07T07:36:19"/>
    <d v="2024-08-07T07:36:19"/>
    <n v="6"/>
    <n v="8.6867999999999999"/>
    <n v="10040"/>
    <n v="16.600000000000001"/>
    <n v="11143.556857644087"/>
    <n v="207.1558646613324"/>
    <m/>
    <n v="5.23"/>
    <n v="5.33"/>
    <x v="20"/>
  </r>
  <r>
    <n v="122"/>
    <n v="1"/>
    <n v="22"/>
    <s v="Esma"/>
    <x v="3"/>
    <x v="3"/>
    <n v="53"/>
    <n v="38"/>
    <n v="188.56195607128058"/>
    <n v="65"/>
    <n v="69"/>
    <n v="63"/>
    <n v="68"/>
    <n v="66.25"/>
    <n v="85"/>
    <n v="82"/>
    <n v="85"/>
    <n v="88"/>
    <n v="85"/>
    <n v="80"/>
    <n v="86"/>
    <n v="80"/>
    <n v="84"/>
    <n v="82.5"/>
    <n v="90"/>
    <n v="90"/>
    <n v="85"/>
    <n v="90"/>
    <n v="88.7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5"/>
    <n v="0"/>
    <n v="0"/>
    <n v="3.3333333333333335"/>
    <m/>
    <m/>
    <m/>
    <n v="0"/>
    <n v="28.9"/>
    <n v="15.6"/>
    <n v="46.020761245674741"/>
    <n v="4.4083044982698967"/>
    <d v="2024-08-06T09:47:58"/>
    <d v="2024-08-06T09:47:58"/>
    <n v="6"/>
    <n v="8.6867999999999999"/>
    <n v="9150"/>
    <n v="7.2"/>
    <n v="11300.382402002002"/>
    <n v="210.071211319268"/>
    <m/>
    <n v="5.44"/>
    <n v="5.41"/>
    <x v="21"/>
  </r>
  <r>
    <n v="123"/>
    <n v="1"/>
    <n v="23"/>
    <s v="Esma"/>
    <x v="4"/>
    <x v="4"/>
    <n v="33"/>
    <n v="52"/>
    <n v="176.12929962702032"/>
    <n v="67"/>
    <n v="61"/>
    <n v="67"/>
    <n v="61"/>
    <n v="64"/>
    <n v="81"/>
    <n v="82"/>
    <n v="87"/>
    <n v="92"/>
    <n v="85.5"/>
    <n v="85"/>
    <n v="88"/>
    <n v="92"/>
    <n v="88"/>
    <n v="88.25"/>
    <n v="80"/>
    <n v="90"/>
    <n v="90"/>
    <n v="80"/>
    <n v="8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5"/>
    <n v="0"/>
    <n v="0"/>
    <n v="3.3333333333333335"/>
    <m/>
    <m/>
    <m/>
    <n v="0"/>
    <n v="41.28"/>
    <n v="23.6"/>
    <n v="42.829457364341081"/>
    <n v="3.1317829457364326"/>
    <d v="2024-08-05T03:09:46"/>
    <d v="2024-08-05T03:09:46"/>
    <n v="6"/>
    <n v="8.6867999999999999"/>
    <n v="9680"/>
    <n v="14.1"/>
    <n v="11066.04905296482"/>
    <n v="205.71501444614088"/>
    <m/>
    <n v="5.16"/>
    <n v="5.28"/>
    <x v="22"/>
  </r>
  <r>
    <n v="124"/>
    <n v="1"/>
    <n v="24"/>
    <s v="Esma"/>
    <x v="5"/>
    <x v="5"/>
    <n v="54"/>
    <n v="46"/>
    <n v="207.21094073767097"/>
    <n v="60"/>
    <n v="66"/>
    <n v="71"/>
    <n v="65"/>
    <n v="65.5"/>
    <n v="92"/>
    <n v="96"/>
    <n v="90"/>
    <n v="87"/>
    <n v="91.25"/>
    <n v="87"/>
    <n v="89"/>
    <n v="96"/>
    <n v="83"/>
    <n v="88.75"/>
    <n v="85"/>
    <n v="95"/>
    <n v="95"/>
    <n v="85"/>
    <n v="90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0"/>
    <n v="0"/>
    <n v="0"/>
    <n v="0"/>
    <m/>
    <m/>
    <m/>
    <n v="0"/>
    <n v="34.46"/>
    <n v="16.8"/>
    <n v="51.24782356355194"/>
    <n v="6.4991294254207759"/>
    <d v="2024-08-08T11:58:45"/>
    <d v="2024-08-08T11:58:45"/>
    <n v="6"/>
    <n v="8.6867999999999999"/>
    <n v="9430"/>
    <n v="11.3"/>
    <n v="11131.645888346708"/>
    <n v="206.93444279618879"/>
    <m/>
    <n v="6.64"/>
    <n v="5.27"/>
    <x v="23"/>
  </r>
  <r>
    <n v="125"/>
    <n v="1"/>
    <n v="25"/>
    <s v="Esma"/>
    <x v="6"/>
    <x v="6"/>
    <n v="33"/>
    <n v="47"/>
    <n v="165.76875259013676"/>
    <n v="65"/>
    <n v="69"/>
    <n v="72"/>
    <n v="65"/>
    <n v="67.75"/>
    <n v="84"/>
    <n v="85"/>
    <n v="77"/>
    <n v="82"/>
    <n v="82"/>
    <n v="89"/>
    <n v="81"/>
    <n v="89"/>
    <n v="80"/>
    <n v="84.75"/>
    <n v="80"/>
    <n v="85"/>
    <n v="90"/>
    <n v="80"/>
    <n v="83.75"/>
    <m/>
    <m/>
    <m/>
    <m/>
    <e v="#DIV/0!"/>
    <m/>
    <m/>
    <m/>
    <m/>
    <e v="#DIV/0!"/>
    <d v="2024-07-07T00:00:00"/>
    <m/>
    <m/>
    <m/>
    <m/>
    <e v="#DIV/0!"/>
    <n v="10"/>
    <n v="0"/>
    <n v="0"/>
    <n v="6.666666666666667"/>
    <n v="0"/>
    <n v="0"/>
    <n v="0"/>
    <n v="0"/>
    <m/>
    <m/>
    <m/>
    <n v="0"/>
    <n v="28.5"/>
    <n v="17.8"/>
    <n v="37.543859649122808"/>
    <n v="1.0175438596491233"/>
    <d v="2024-08-03T00:25:16"/>
    <d v="2024-08-03T00:25:16"/>
    <n v="6"/>
    <n v="8.6867999999999999"/>
    <n v="9900"/>
    <n v="14.5"/>
    <n v="11264.849119293614"/>
    <n v="209.4106567048172"/>
    <m/>
    <n v="5.16"/>
    <n v="5.32"/>
    <x v="24"/>
  </r>
  <r>
    <n v="126"/>
    <n v="1"/>
    <n v="26"/>
    <s v="Esma"/>
    <x v="7"/>
    <x v="7"/>
    <n v="50"/>
    <n v="35"/>
    <n v="176.12929962702032"/>
    <n v="61"/>
    <n v="68"/>
    <n v="67"/>
    <n v="73"/>
    <n v="67.25"/>
    <n v="85"/>
    <n v="90"/>
    <n v="87"/>
    <n v="85"/>
    <n v="86.75"/>
    <n v="86"/>
    <n v="93"/>
    <n v="82"/>
    <n v="84"/>
    <n v="86.25"/>
    <n v="90"/>
    <n v="85"/>
    <n v="90"/>
    <n v="90"/>
    <n v="88.7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35"/>
    <n v="0"/>
    <n v="0"/>
    <n v="23.333333333333332"/>
    <m/>
    <m/>
    <m/>
    <n v="0"/>
    <n v="29.25"/>
    <n v="17.399999999999999"/>
    <n v="40.512820512820518"/>
    <n v="2.2051282051282071"/>
    <d v="2024-08-04T04:55:23"/>
    <d v="2024-08-04T04:55:23"/>
    <n v="6"/>
    <n v="8.6867999999999999"/>
    <n v="9460"/>
    <n v="11.6"/>
    <n v="11129.2903111784"/>
    <n v="206.8906532206241"/>
    <m/>
    <n v="5.21"/>
    <n v="5.42"/>
    <x v="25"/>
  </r>
  <r>
    <n v="127"/>
    <n v="1"/>
    <n v="27"/>
    <s v="Esma"/>
    <x v="8"/>
    <x v="8"/>
    <n v="47"/>
    <n v="45"/>
    <n v="190.63406547865728"/>
    <n v="74"/>
    <n v="69"/>
    <n v="74"/>
    <n v="66"/>
    <n v="70.75"/>
    <n v="85"/>
    <n v="84"/>
    <n v="88"/>
    <n v="90"/>
    <n v="86.75"/>
    <n v="82"/>
    <n v="87"/>
    <n v="83"/>
    <n v="77"/>
    <n v="82.25"/>
    <n v="85"/>
    <n v="80"/>
    <n v="85"/>
    <n v="90"/>
    <n v="85"/>
    <m/>
    <m/>
    <m/>
    <m/>
    <e v="#DIV/0!"/>
    <m/>
    <m/>
    <m/>
    <m/>
    <e v="#DIV/0!"/>
    <d v="2024-07-07T00:00:00"/>
    <m/>
    <m/>
    <m/>
    <m/>
    <e v="#DIV/0!"/>
    <n v="0"/>
    <n v="0"/>
    <n v="0"/>
    <n v="0"/>
    <n v="60"/>
    <n v="0"/>
    <n v="0"/>
    <n v="40"/>
    <m/>
    <m/>
    <m/>
    <n v="0"/>
    <n v="28.72"/>
    <n v="16.7"/>
    <n v="41.852367688022284"/>
    <n v="2.7409470752089136"/>
    <d v="2024-08-04T17:46:58"/>
    <d v="2024-08-04T17:46:58"/>
    <n v="6"/>
    <n v="8.6867999999999999"/>
    <n v="10260"/>
    <n v="14.4"/>
    <n v="11688.134358927678"/>
    <n v="217.27942077493762"/>
    <m/>
    <n v="5.03"/>
    <n v="5.15"/>
    <x v="26"/>
  </r>
  <r>
    <n v="201"/>
    <n v="2"/>
    <n v="27"/>
    <s v="Esma"/>
    <x v="8"/>
    <x v="8"/>
    <n v="46"/>
    <n v="33"/>
    <n v="163.69664318276006"/>
    <n v="60"/>
    <n v="55"/>
    <n v="66"/>
    <n v="47"/>
    <n v="57"/>
    <n v="85"/>
    <n v="82"/>
    <n v="79"/>
    <n v="84"/>
    <n v="82.5"/>
    <n v="83"/>
    <n v="82"/>
    <n v="80"/>
    <n v="80"/>
    <n v="81.25"/>
    <n v="80"/>
    <n v="90"/>
    <n v="85"/>
    <n v="90"/>
    <n v="86.2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10"/>
    <n v="0"/>
    <n v="0"/>
    <n v="6.666666666666667"/>
    <m/>
    <m/>
    <m/>
    <n v="0"/>
    <n v="28.1"/>
    <n v="15.1"/>
    <n v="46.263345195729542"/>
    <n v="4.5053380782918167"/>
    <d v="2024-08-06T12:07:41"/>
    <d v="2024-08-06T12:07:41"/>
    <n v="6"/>
    <n v="8.6867999999999999"/>
    <n v="8480"/>
    <n v="14.3"/>
    <n v="9671.6538360906889"/>
    <n v="179.7935649016859"/>
    <m/>
    <n v="5.05"/>
    <n v="5.0599999999999996"/>
    <x v="27"/>
  </r>
  <r>
    <n v="202"/>
    <n v="2"/>
    <n v="26"/>
    <s v="Esma"/>
    <x v="7"/>
    <x v="7"/>
    <n v="37"/>
    <n v="33"/>
    <n v="209.28305014504767"/>
    <n v="60"/>
    <n v="35"/>
    <n v="45"/>
    <n v="56"/>
    <n v="49"/>
    <n v="81"/>
    <n v="80"/>
    <n v="83"/>
    <n v="84"/>
    <n v="82"/>
    <n v="81"/>
    <n v="89"/>
    <n v="85"/>
    <n v="84"/>
    <n v="84.75"/>
    <n v="85"/>
    <n v="85"/>
    <n v="90"/>
    <n v="80"/>
    <n v="85"/>
    <m/>
    <m/>
    <m/>
    <m/>
    <e v="#DIV/0!"/>
    <m/>
    <m/>
    <m/>
    <m/>
    <e v="#DIV/0!"/>
    <d v="2024-07-08T00:00:00"/>
    <m/>
    <m/>
    <m/>
    <m/>
    <e v="#DIV/0!"/>
    <n v="10"/>
    <n v="0"/>
    <n v="0"/>
    <n v="6.666666666666667"/>
    <n v="0"/>
    <n v="0"/>
    <n v="0"/>
    <n v="0"/>
    <m/>
    <m/>
    <m/>
    <n v="0"/>
    <n v="25.21"/>
    <n v="13.9"/>
    <n v="44.863149543831817"/>
    <n v="3.9452598175327269"/>
    <d v="2024-08-05T22:41:10"/>
    <d v="2024-08-05T22:41:10"/>
    <n v="6"/>
    <n v="8.6867999999999999"/>
    <n v="8220"/>
    <n v="13.9"/>
    <n v="9418.8751200745482"/>
    <n v="175.09447338600123"/>
    <m/>
    <n v="5.52"/>
    <n v="5.44"/>
    <x v="28"/>
  </r>
  <r>
    <n v="203"/>
    <n v="2"/>
    <n v="24"/>
    <s v="Esma"/>
    <x v="5"/>
    <x v="5"/>
    <n v="50"/>
    <n v="51"/>
    <n v="174.05719021964362"/>
    <n v="57"/>
    <n v="62"/>
    <n v="64"/>
    <n v="54"/>
    <n v="59.25"/>
    <n v="69"/>
    <n v="72"/>
    <n v="73"/>
    <n v="70"/>
    <n v="71"/>
    <n v="71"/>
    <n v="78"/>
    <n v="73"/>
    <n v="72"/>
    <n v="73.5"/>
    <n v="70"/>
    <n v="75"/>
    <n v="70"/>
    <n v="75"/>
    <n v="72.5"/>
    <m/>
    <m/>
    <m/>
    <m/>
    <e v="#DIV/0!"/>
    <m/>
    <m/>
    <m/>
    <m/>
    <e v="#DIV/0!"/>
    <d v="2024-07-08T00:00:00"/>
    <m/>
    <m/>
    <m/>
    <m/>
    <e v="#DIV/0!"/>
    <n v="0"/>
    <n v="0"/>
    <n v="0"/>
    <n v="0"/>
    <n v="40"/>
    <n v="0"/>
    <n v="0"/>
    <n v="26.666666666666668"/>
    <m/>
    <m/>
    <m/>
    <n v="0"/>
    <n v="24.8"/>
    <n v="14.8"/>
    <n v="40.322580645161288"/>
    <n v="2.1290322580645151"/>
    <d v="2024-08-04T03:05:48"/>
    <d v="2024-08-04T03:05:48"/>
    <n v="6"/>
    <n v="8.6867999999999999"/>
    <n v="8180"/>
    <n v="14.4"/>
    <n v="9318.610044447214"/>
    <n v="173.23057133908281"/>
    <m/>
    <n v="5.31"/>
    <n v="5.3"/>
    <x v="29"/>
  </r>
  <r>
    <n v="204"/>
    <n v="2"/>
    <n v="22"/>
    <s v="Esma"/>
    <x v="3"/>
    <x v="3"/>
    <n v="46"/>
    <n v="38"/>
    <n v="180.27351844177375"/>
    <n v="54"/>
    <n v="62"/>
    <n v="63"/>
    <n v="53"/>
    <n v="58"/>
    <n v="75"/>
    <n v="76"/>
    <n v="71"/>
    <n v="76"/>
    <n v="74.5"/>
    <n v="80"/>
    <n v="78"/>
    <n v="81"/>
    <n v="76"/>
    <n v="78.75"/>
    <n v="80"/>
    <n v="80"/>
    <n v="75"/>
    <n v="90"/>
    <n v="81.25"/>
    <m/>
    <m/>
    <m/>
    <m/>
    <e v="#DIV/0!"/>
    <m/>
    <m/>
    <m/>
    <m/>
    <e v="#DIV/0!"/>
    <d v="2024-07-07T00:00:00"/>
    <m/>
    <m/>
    <m/>
    <m/>
    <e v="#DIV/0!"/>
    <n v="0"/>
    <n v="0"/>
    <n v="0"/>
    <n v="0"/>
    <n v="90"/>
    <n v="0"/>
    <n v="0"/>
    <n v="60"/>
    <m/>
    <m/>
    <m/>
    <n v="0"/>
    <n v="25.72"/>
    <n v="14.7"/>
    <n v="42.846034214618975"/>
    <n v="3.1384136858475897"/>
    <d v="2024-08-05T03:19:19"/>
    <d v="2024-08-05T03:19:19"/>
    <n v="6"/>
    <n v="8.6867999999999999"/>
    <n v="7980"/>
    <n v="16.2"/>
    <n v="8899.6100920910885"/>
    <n v="165.44146966066768"/>
    <m/>
    <n v="5.4"/>
    <n v="5.38"/>
    <x v="30"/>
  </r>
  <r>
    <n v="205"/>
    <n v="2"/>
    <n v="19"/>
    <s v="Esma"/>
    <x v="0"/>
    <x v="0"/>
    <n v="41"/>
    <n v="46"/>
    <n v="207.21094073767097"/>
    <n v="56"/>
    <n v="63"/>
    <n v="61"/>
    <n v="57"/>
    <n v="59.25"/>
    <n v="69"/>
    <n v="60"/>
    <n v="81"/>
    <n v="82"/>
    <n v="73"/>
    <n v="80"/>
    <n v="87"/>
    <n v="79"/>
    <n v="83"/>
    <n v="82.25"/>
    <n v="80"/>
    <n v="90"/>
    <n v="95"/>
    <n v="75"/>
    <n v="85"/>
    <m/>
    <m/>
    <m/>
    <m/>
    <e v="#DIV/0!"/>
    <m/>
    <m/>
    <m/>
    <m/>
    <e v="#DIV/0!"/>
    <d v="2024-07-07T00:00:00"/>
    <m/>
    <m/>
    <m/>
    <m/>
    <e v="#DIV/0!"/>
    <n v="10"/>
    <n v="0"/>
    <n v="0"/>
    <n v="6.666666666666667"/>
    <n v="65"/>
    <n v="0"/>
    <n v="0"/>
    <n v="43.333333333333336"/>
    <m/>
    <m/>
    <m/>
    <n v="0"/>
    <n v="28.8"/>
    <n v="15.5"/>
    <n v="46.180555555555557"/>
    <n v="4.4722222222222232"/>
    <d v="2024-08-06T11:20:00"/>
    <d v="2024-08-06T11:20:00"/>
    <n v="6"/>
    <n v="8.6867999999999999"/>
    <n v="8800"/>
    <n v="8"/>
    <n v="10774.436584535544"/>
    <n v="200.29401343046845"/>
    <m/>
    <n v="5.52"/>
    <n v="5.52"/>
    <x v="31"/>
  </r>
  <r>
    <n v="206"/>
    <n v="2"/>
    <n v="25"/>
    <s v="Esma"/>
    <x v="6"/>
    <x v="6"/>
    <n v="48"/>
    <n v="52"/>
    <n v="186.48984666390388"/>
    <n v="63"/>
    <n v="59"/>
    <n v="61"/>
    <n v="62"/>
    <n v="61.25"/>
    <n v="67"/>
    <n v="77"/>
    <n v="71"/>
    <n v="74"/>
    <n v="72.25"/>
    <n v="79"/>
    <n v="77"/>
    <n v="70"/>
    <n v="80"/>
    <n v="76.5"/>
    <n v="75"/>
    <n v="80"/>
    <n v="80"/>
    <n v="80"/>
    <n v="78.7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70"/>
    <n v="0"/>
    <n v="0"/>
    <n v="46.666666666666664"/>
    <m/>
    <m/>
    <m/>
    <n v="0"/>
    <n v="22.88"/>
    <n v="14.8"/>
    <n v="35.314685314685306"/>
    <n v="0.12587412587412244"/>
    <d v="2024-08-02T03:01:16"/>
    <d v="2024-08-02T03:01:16"/>
    <n v="6"/>
    <n v="8.6867999999999999"/>
    <m/>
    <m/>
    <m/>
    <m/>
    <m/>
    <m/>
    <m/>
    <x v="32"/>
  </r>
  <r>
    <n v="207"/>
    <n v="2"/>
    <n v="23"/>
    <s v="Esma"/>
    <x v="4"/>
    <x v="4"/>
    <n v="42"/>
    <n v="48"/>
    <n v="192.70617488603401"/>
    <n v="60"/>
    <n v="55"/>
    <n v="56"/>
    <n v="57"/>
    <n v="57"/>
    <n v="78"/>
    <n v="75"/>
    <n v="77"/>
    <n v="78"/>
    <n v="77"/>
    <n v="82"/>
    <n v="80"/>
    <n v="79"/>
    <n v="82"/>
    <n v="80.75"/>
    <n v="86"/>
    <n v="89"/>
    <n v="86"/>
    <n v="84"/>
    <n v="86.25"/>
    <m/>
    <m/>
    <m/>
    <m/>
    <e v="#DIV/0!"/>
    <m/>
    <m/>
    <m/>
    <m/>
    <e v="#DIV/0!"/>
    <d v="2024-07-07T00:00:00"/>
    <m/>
    <m/>
    <m/>
    <m/>
    <e v="#DIV/0!"/>
    <n v="10"/>
    <n v="0"/>
    <n v="0"/>
    <n v="6.666666666666667"/>
    <n v="54"/>
    <n v="0"/>
    <n v="0"/>
    <n v="36"/>
    <m/>
    <m/>
    <m/>
    <n v="0"/>
    <n v="25.8"/>
    <n v="13.8"/>
    <n v="46.511627906976742"/>
    <n v="4.604651162790697"/>
    <d v="2024-08-06T14:30:42"/>
    <d v="2024-08-06T14:30:42"/>
    <n v="6"/>
    <n v="8.6867999999999999"/>
    <n v="9320"/>
    <n v="9.8000000000000007"/>
    <n v="11187.847031746525"/>
    <n v="207.97920764144183"/>
    <m/>
    <n v="5.61"/>
    <n v="5.62"/>
    <x v="33"/>
  </r>
  <r>
    <n v="208"/>
    <n v="2"/>
    <n v="21"/>
    <s v="Esma"/>
    <x v="2"/>
    <x v="2"/>
    <n v="42"/>
    <n v="51"/>
    <n v="192.70617488603401"/>
    <n v="59"/>
    <n v="58"/>
    <n v="59"/>
    <n v="61"/>
    <n v="59.25"/>
    <n v="77"/>
    <n v="75"/>
    <n v="78"/>
    <n v="75"/>
    <n v="76.25"/>
    <n v="85"/>
    <n v="78"/>
    <n v="84"/>
    <n v="81"/>
    <n v="82"/>
    <n v="87"/>
    <n v="84"/>
    <n v="88"/>
    <n v="83"/>
    <n v="85.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50"/>
    <n v="0"/>
    <n v="0"/>
    <n v="33.333333333333336"/>
    <m/>
    <m/>
    <m/>
    <n v="0"/>
    <n v="27.1"/>
    <n v="15"/>
    <n v="44.649446494464947"/>
    <n v="3.8597785977859784"/>
    <d v="2024-08-05T20:38:05"/>
    <d v="2024-08-05T20:38:05"/>
    <n v="6"/>
    <n v="8.6867999999999999"/>
    <n v="8440"/>
    <n v="16.5"/>
    <n v="9378.9234666323846"/>
    <n v="174.35178239252508"/>
    <m/>
    <n v="5.56"/>
    <n v="5.33"/>
    <x v="34"/>
  </r>
  <r>
    <n v="209"/>
    <n v="2"/>
    <n v="20"/>
    <s v="Esma"/>
    <x v="1"/>
    <x v="1"/>
    <n v="45"/>
    <n v="48"/>
    <n v="200.99461251554084"/>
    <n v="56"/>
    <n v="56"/>
    <n v="51"/>
    <n v="60"/>
    <n v="55.75"/>
    <n v="77"/>
    <n v="67"/>
    <n v="78"/>
    <n v="73"/>
    <n v="73.75"/>
    <n v="80"/>
    <n v="81"/>
    <n v="83"/>
    <n v="77"/>
    <n v="80.25"/>
    <n v="81"/>
    <n v="82"/>
    <n v="84"/>
    <n v="83"/>
    <n v="82.5"/>
    <m/>
    <m/>
    <m/>
    <m/>
    <e v="#DIV/0!"/>
    <m/>
    <m/>
    <m/>
    <m/>
    <e v="#DIV/0!"/>
    <d v="2024-07-07T00:00:00"/>
    <m/>
    <m/>
    <m/>
    <m/>
    <e v="#DIV/0!"/>
    <n v="0"/>
    <n v="0"/>
    <n v="0"/>
    <n v="0"/>
    <n v="85"/>
    <n v="0"/>
    <n v="0"/>
    <n v="56.666666666666664"/>
    <m/>
    <m/>
    <m/>
    <n v="0"/>
    <n v="24.6"/>
    <n v="13.9"/>
    <n v="43.495934959349597"/>
    <n v="3.3983739837398388"/>
    <d v="2024-08-05T09:33:40"/>
    <d v="2024-08-05T09:33:40"/>
    <n v="6"/>
    <n v="8.6867999999999999"/>
    <n v="8620"/>
    <n v="15.5"/>
    <n v="9693.6658396860712"/>
    <n v="180.20276240442055"/>
    <m/>
    <n v="5.43"/>
    <n v="5.42"/>
    <x v="35"/>
  </r>
  <r>
    <n v="210"/>
    <n v="2"/>
    <n v="8"/>
    <s v="CDC_Austenson"/>
    <x v="7"/>
    <x v="7"/>
    <n v="48"/>
    <n v="49"/>
    <n v="186.48984666390388"/>
    <n v="45"/>
    <n v="65"/>
    <n v="45"/>
    <n v="47"/>
    <n v="50.5"/>
    <n v="60"/>
    <n v="80"/>
    <n v="74"/>
    <n v="82"/>
    <n v="74"/>
    <n v="93"/>
    <n v="94"/>
    <n v="99"/>
    <n v="95"/>
    <n v="95.25"/>
    <n v="104"/>
    <n v="101"/>
    <n v="110"/>
    <n v="100"/>
    <n v="103.75"/>
    <m/>
    <m/>
    <m/>
    <m/>
    <e v="#DIV/0!"/>
    <m/>
    <m/>
    <m/>
    <m/>
    <e v="#DIV/0!"/>
    <d v="2024-07-08T00:00:00"/>
    <m/>
    <m/>
    <m/>
    <m/>
    <e v="#DIV/0!"/>
    <n v="80"/>
    <n v="0"/>
    <n v="0"/>
    <n v="53.333333333333336"/>
    <n v="42"/>
    <n v="0"/>
    <n v="0"/>
    <n v="28"/>
    <m/>
    <m/>
    <m/>
    <n v="0"/>
    <n v="32.5"/>
    <n v="17.7"/>
    <n v="45.53846153846154"/>
    <n v="4.2153846153846164"/>
    <d v="2024-08-06T05:10:09"/>
    <d v="2024-08-06T05:10:09"/>
    <n v="6"/>
    <n v="8.6867999999999999"/>
    <n v="8600"/>
    <n v="14.9"/>
    <n v="9739.8457988613918"/>
    <n v="181.06123600447461"/>
    <m/>
    <n v="4.91"/>
    <n v="5"/>
    <x v="36"/>
  </r>
  <r>
    <n v="211"/>
    <n v="2"/>
    <n v="1"/>
    <s v="CDC_Austenson"/>
    <x v="0"/>
    <x v="0"/>
    <n v="42"/>
    <n v="48"/>
    <n v="194.77828429341071"/>
    <n v="48"/>
    <n v="50"/>
    <n v="56"/>
    <n v="61"/>
    <n v="53.75"/>
    <n v="93"/>
    <n v="80"/>
    <n v="77"/>
    <n v="64"/>
    <n v="78.5"/>
    <n v="99"/>
    <n v="98"/>
    <n v="97"/>
    <n v="100"/>
    <n v="98.5"/>
    <n v="104"/>
    <n v="106"/>
    <n v="104"/>
    <n v="107"/>
    <n v="105.25"/>
    <m/>
    <m/>
    <m/>
    <m/>
    <e v="#DIV/0!"/>
    <m/>
    <m/>
    <m/>
    <m/>
    <e v="#DIV/0!"/>
    <d v="2024-07-09T00:00:00"/>
    <m/>
    <m/>
    <m/>
    <m/>
    <e v="#DIV/0!"/>
    <n v="80"/>
    <n v="0"/>
    <n v="0"/>
    <n v="53.333333333333336"/>
    <n v="0"/>
    <n v="0"/>
    <n v="0"/>
    <n v="0"/>
    <m/>
    <m/>
    <m/>
    <n v="0"/>
    <n v="22.8"/>
    <n v="17.8"/>
    <n v="21.929824561403507"/>
    <n v="-5.2280701754385976"/>
    <d v="2024-07-27T18:31:35"/>
    <d v="2024-07-27T18:31:35"/>
    <n v="6"/>
    <n v="8.6867999999999999"/>
    <n v="8980"/>
    <n v="7.8"/>
    <n v="11018.724576069304"/>
    <n v="204.8352645551345"/>
    <m/>
    <n v="5.32"/>
    <n v="5.29"/>
    <x v="37"/>
  </r>
  <r>
    <n v="212"/>
    <n v="2"/>
    <n v="2"/>
    <s v="CDC_Austenson"/>
    <x v="1"/>
    <x v="1"/>
    <n v="54"/>
    <n v="40"/>
    <n v="190.63406547865728"/>
    <n v="48"/>
    <n v="50"/>
    <n v="61"/>
    <n v="54"/>
    <n v="53.25"/>
    <n v="74"/>
    <n v="73"/>
    <n v="67"/>
    <n v="83"/>
    <n v="74.25"/>
    <n v="92"/>
    <n v="93"/>
    <n v="98"/>
    <n v="95"/>
    <n v="94.5"/>
    <n v="103"/>
    <n v="105"/>
    <n v="106"/>
    <n v="98"/>
    <n v="103"/>
    <m/>
    <m/>
    <m/>
    <m/>
    <e v="#DIV/0!"/>
    <m/>
    <m/>
    <m/>
    <m/>
    <e v="#DIV/0!"/>
    <d v="2024-07-09T00:00:00"/>
    <m/>
    <m/>
    <m/>
    <m/>
    <e v="#DIV/0!"/>
    <n v="60"/>
    <n v="0"/>
    <n v="0"/>
    <n v="40"/>
    <n v="25"/>
    <n v="0"/>
    <n v="0"/>
    <n v="16.666666666666668"/>
    <m/>
    <m/>
    <m/>
    <n v="0"/>
    <n v="28.6"/>
    <n v="17.7"/>
    <n v="38.111888111888113"/>
    <n v="1.2447552447552455"/>
    <d v="2024-08-03T05:52:27"/>
    <d v="2024-08-03T05:52:27"/>
    <n v="6"/>
    <n v="8.6867999999999999"/>
    <n v="8600"/>
    <n v="15.7"/>
    <n v="9648.2843812457741"/>
    <n v="179.35913272828682"/>
    <m/>
    <n v="5.42"/>
    <n v="5.24"/>
    <x v="38"/>
  </r>
  <r>
    <n v="213"/>
    <n v="2"/>
    <n v="6"/>
    <s v="CDC_Austenson"/>
    <x v="5"/>
    <x v="5"/>
    <n v="44"/>
    <n v="48"/>
    <n v="230.00414421881476"/>
    <n v="58"/>
    <n v="63"/>
    <n v="60"/>
    <n v="63"/>
    <n v="61"/>
    <n v="89"/>
    <n v="74"/>
    <n v="62"/>
    <n v="57"/>
    <n v="70.5"/>
    <n v="82"/>
    <n v="89"/>
    <n v="90"/>
    <n v="82"/>
    <n v="85.75"/>
    <n v="85"/>
    <n v="81"/>
    <n v="83"/>
    <n v="88"/>
    <n v="84.25"/>
    <m/>
    <m/>
    <m/>
    <m/>
    <e v="#DIV/0!"/>
    <m/>
    <m/>
    <m/>
    <m/>
    <e v="#DIV/0!"/>
    <d v="2024-07-10T00:00:00"/>
    <m/>
    <m/>
    <m/>
    <m/>
    <e v="#DIV/0!"/>
    <n v="0"/>
    <n v="0"/>
    <n v="0"/>
    <n v="0"/>
    <n v="0"/>
    <n v="0"/>
    <n v="0"/>
    <n v="0"/>
    <m/>
    <m/>
    <m/>
    <n v="0"/>
    <n v="29.4"/>
    <n v="15.2"/>
    <n v="48.299319727891152"/>
    <n v="5.3197278911564609"/>
    <d v="2024-08-07T07:40:24"/>
    <d v="2024-08-07T07:40:24"/>
    <n v="6"/>
    <n v="8.6867999999999999"/>
    <n v="8750"/>
    <n v="7.9"/>
    <n v="10724.862997236389"/>
    <n v="199.37245315375338"/>
    <m/>
    <n v="4.84"/>
    <n v="5.05"/>
    <x v="39"/>
  </r>
  <r>
    <n v="214"/>
    <n v="2"/>
    <n v="9"/>
    <s v="CDC_Austenson"/>
    <x v="8"/>
    <x v="8"/>
    <n v="54"/>
    <n v="57"/>
    <n v="176.12929962702032"/>
    <n v="60"/>
    <n v="58"/>
    <n v="58"/>
    <n v="59"/>
    <n v="58.75"/>
    <n v="72"/>
    <n v="78"/>
    <n v="78"/>
    <n v="75"/>
    <n v="75.75"/>
    <n v="84"/>
    <n v="85"/>
    <n v="95"/>
    <n v="96"/>
    <n v="90"/>
    <n v="93"/>
    <n v="98"/>
    <n v="95"/>
    <n v="100"/>
    <n v="96.5"/>
    <m/>
    <m/>
    <m/>
    <m/>
    <e v="#DIV/0!"/>
    <m/>
    <m/>
    <m/>
    <m/>
    <e v="#DIV/0!"/>
    <d v="2024-07-10T00:00:00"/>
    <m/>
    <m/>
    <m/>
    <m/>
    <e v="#DIV/0!"/>
    <n v="0"/>
    <n v="0"/>
    <n v="0"/>
    <n v="0"/>
    <n v="40"/>
    <n v="0"/>
    <n v="0"/>
    <n v="26.666666666666668"/>
    <m/>
    <m/>
    <m/>
    <n v="0"/>
    <n v="29.9"/>
    <n v="16.100000000000001"/>
    <n v="46.153846153846146"/>
    <n v="4.4615384615384581"/>
    <d v="2024-08-06T11:04:37"/>
    <d v="2024-08-06T11:04:37"/>
    <n v="6"/>
    <n v="8.6867999999999999"/>
    <n v="8740"/>
    <n v="7.5"/>
    <n v="10759.131987114328"/>
    <n v="200.0095048886638"/>
    <m/>
    <n v="5.1100000000000003"/>
    <n v="5.2"/>
    <x v="40"/>
  </r>
  <r>
    <n v="215"/>
    <n v="2"/>
    <n v="4"/>
    <s v="CDC_Austenson"/>
    <x v="3"/>
    <x v="3"/>
    <n v="47"/>
    <n v="38"/>
    <n v="155.40820555325323"/>
    <n v="59"/>
    <n v="69"/>
    <n v="64"/>
    <n v="62"/>
    <n v="63.5"/>
    <n v="90"/>
    <n v="80"/>
    <n v="72"/>
    <n v="79"/>
    <n v="80.25"/>
    <n v="94"/>
    <n v="93"/>
    <n v="86"/>
    <n v="81"/>
    <n v="88.5"/>
    <n v="92"/>
    <n v="88"/>
    <n v="98"/>
    <n v="97"/>
    <n v="93.75"/>
    <m/>
    <m/>
    <m/>
    <m/>
    <e v="#DIV/0!"/>
    <m/>
    <m/>
    <m/>
    <m/>
    <e v="#DIV/0!"/>
    <d v="2024-07-09T00:00:00"/>
    <m/>
    <m/>
    <m/>
    <m/>
    <e v="#DIV/0!"/>
    <n v="0"/>
    <n v="0"/>
    <n v="0"/>
    <n v="0"/>
    <n v="50"/>
    <n v="0"/>
    <n v="0"/>
    <n v="33.333333333333336"/>
    <m/>
    <m/>
    <m/>
    <n v="0"/>
    <n v="29.8"/>
    <n v="12.9"/>
    <n v="56.711409395973142"/>
    <n v="8.6845637583892561"/>
    <d v="2024-08-10T16:25:46"/>
    <d v="2024-08-10T16:25:46"/>
    <n v="6"/>
    <n v="8.6867999999999999"/>
    <n v="8160"/>
    <n v="15.7"/>
    <n v="9154.6512268564547"/>
    <n v="170.18261896079306"/>
    <m/>
    <n v="5.38"/>
    <n v="5.08"/>
    <x v="41"/>
  </r>
  <r>
    <n v="216"/>
    <n v="2"/>
    <n v="5"/>
    <s v="CDC_Austenson"/>
    <x v="4"/>
    <x v="4"/>
    <n v="45"/>
    <n v="30"/>
    <n v="169.91297140489019"/>
    <n v="60"/>
    <n v="61"/>
    <n v="54"/>
    <n v="55"/>
    <n v="57.5"/>
    <n v="73"/>
    <n v="82"/>
    <n v="79"/>
    <n v="85"/>
    <n v="79.75"/>
    <n v="85"/>
    <n v="92"/>
    <n v="99"/>
    <n v="89"/>
    <n v="91.25"/>
    <n v="105"/>
    <n v="103"/>
    <n v="104"/>
    <n v="102"/>
    <n v="103.5"/>
    <m/>
    <m/>
    <m/>
    <m/>
    <e v="#DIV/0!"/>
    <m/>
    <m/>
    <m/>
    <m/>
    <e v="#DIV/0!"/>
    <d v="2024-07-09T00:00:00"/>
    <m/>
    <m/>
    <m/>
    <m/>
    <e v="#DIV/0!"/>
    <n v="60"/>
    <n v="0"/>
    <n v="0"/>
    <n v="40"/>
    <n v="50"/>
    <n v="0"/>
    <n v="0"/>
    <n v="33.333333333333336"/>
    <m/>
    <m/>
    <m/>
    <n v="0"/>
    <n v="28.8"/>
    <n v="15.4"/>
    <n v="46.527777777777779"/>
    <n v="4.6111111111111116"/>
    <d v="2024-08-06T14:40:00"/>
    <d v="2024-08-06T14:40:00"/>
    <n v="6"/>
    <n v="8.6867999999999999"/>
    <n v="8520"/>
    <n v="14.9"/>
    <n v="9649.2425821277975"/>
    <n v="179.37694543699109"/>
    <m/>
    <n v="4.78"/>
    <n v="4.99"/>
    <x v="42"/>
  </r>
  <r>
    <n v="217"/>
    <n v="2"/>
    <n v="3"/>
    <s v="CDC_Austenson"/>
    <x v="2"/>
    <x v="2"/>
    <n v="42"/>
    <n v="40"/>
    <n v="169.91297140489019"/>
    <n v="62"/>
    <n v="54"/>
    <n v="58"/>
    <n v="61"/>
    <n v="58.75"/>
    <n v="91"/>
    <n v="91"/>
    <n v="80"/>
    <n v="73"/>
    <n v="83.75"/>
    <n v="99"/>
    <n v="97"/>
    <n v="94"/>
    <n v="98"/>
    <n v="97"/>
    <n v="103"/>
    <n v="106"/>
    <n v="105"/>
    <n v="109"/>
    <n v="105.75"/>
    <m/>
    <m/>
    <m/>
    <m/>
    <e v="#DIV/0!"/>
    <m/>
    <m/>
    <m/>
    <m/>
    <e v="#DIV/0!"/>
    <d v="2024-07-09T00:00:00"/>
    <m/>
    <m/>
    <m/>
    <m/>
    <e v="#DIV/0!"/>
    <n v="40"/>
    <n v="0"/>
    <n v="0"/>
    <n v="26.666666666666668"/>
    <n v="60"/>
    <n v="0"/>
    <n v="0"/>
    <n v="40"/>
    <m/>
    <m/>
    <m/>
    <n v="0"/>
    <n v="32.200000000000003"/>
    <n v="17.3"/>
    <n v="46.273291925465841"/>
    <n v="4.5093167701863361"/>
    <d v="2024-08-06T12:13:25"/>
    <d v="2024-08-06T12:13:25"/>
    <n v="6"/>
    <n v="8.6867999999999999"/>
    <n v="8710"/>
    <n v="7.6"/>
    <n v="10710.609759116283"/>
    <n v="199.10748911177708"/>
    <m/>
    <n v="5.01"/>
    <n v="5.09"/>
    <x v="43"/>
  </r>
  <r>
    <n v="218"/>
    <n v="2"/>
    <n v="7"/>
    <s v="CDC_Austenson"/>
    <x v="6"/>
    <x v="6"/>
    <n v="43"/>
    <n v="39"/>
    <n v="151.2639867384998"/>
    <n v="62"/>
    <n v="65"/>
    <n v="66"/>
    <n v="60"/>
    <n v="63.25"/>
    <n v="71"/>
    <n v="70"/>
    <n v="80"/>
    <n v="85"/>
    <n v="76.5"/>
    <n v="88"/>
    <n v="87"/>
    <n v="86"/>
    <n v="91"/>
    <n v="88"/>
    <n v="85"/>
    <n v="93"/>
    <n v="97"/>
    <n v="100"/>
    <n v="93.75"/>
    <m/>
    <m/>
    <m/>
    <m/>
    <e v="#DIV/0!"/>
    <m/>
    <m/>
    <m/>
    <m/>
    <e v="#DIV/0!"/>
    <d v="2024-07-09T00:00:00"/>
    <m/>
    <m/>
    <m/>
    <m/>
    <e v="#DIV/0!"/>
    <n v="10"/>
    <n v="0"/>
    <n v="0"/>
    <n v="6.666666666666667"/>
    <n v="40"/>
    <n v="0"/>
    <n v="0"/>
    <n v="26.666666666666668"/>
    <m/>
    <m/>
    <m/>
    <n v="0"/>
    <n v="29.4"/>
    <n v="16.100000000000001"/>
    <n v="45.238095238095234"/>
    <n v="4.0952380952380931"/>
    <d v="2024-08-06T02:17:09"/>
    <d v="2024-08-06T02:17:09"/>
    <n v="6"/>
    <n v="8.6867999999999999"/>
    <n v="8640"/>
    <n v="7.5"/>
    <n v="10636.029790465422"/>
    <n v="197.72106661762643"/>
    <m/>
    <n v="4.8899999999999997"/>
    <n v="5.14"/>
    <x v="44"/>
  </r>
  <r>
    <n v="219"/>
    <n v="2"/>
    <n v="12"/>
    <s v="AB_Hague"/>
    <x v="2"/>
    <x v="2"/>
    <n v="23"/>
    <n v="50"/>
    <n v="140.90343970161626"/>
    <n v="67"/>
    <n v="71"/>
    <n v="73"/>
    <n v="71"/>
    <n v="70.5"/>
    <n v="105"/>
    <n v="93"/>
    <n v="100"/>
    <n v="84"/>
    <n v="95.5"/>
    <n v="97"/>
    <n v="106"/>
    <n v="98"/>
    <n v="94"/>
    <n v="98.75"/>
    <n v="109"/>
    <n v="110"/>
    <n v="112"/>
    <n v="111"/>
    <n v="110.5"/>
    <m/>
    <m/>
    <m/>
    <m/>
    <e v="#DIV/0!"/>
    <m/>
    <m/>
    <m/>
    <m/>
    <e v="#DIV/0!"/>
    <d v="2024-07-08T00:00:00"/>
    <m/>
    <m/>
    <m/>
    <m/>
    <e v="#DIV/0!"/>
    <n v="40"/>
    <n v="0"/>
    <n v="0"/>
    <n v="26.666666666666668"/>
    <n v="0"/>
    <n v="0"/>
    <n v="0"/>
    <n v="0"/>
    <m/>
    <m/>
    <m/>
    <n v="0"/>
    <n v="25.1"/>
    <n v="14.7"/>
    <n v="41.434262948207177"/>
    <n v="2.5737051792828707"/>
    <d v="2024-08-04T13:46:08"/>
    <d v="2024-08-04T13:46:08"/>
    <n v="6"/>
    <n v="8.6867999999999999"/>
    <n v="8460"/>
    <n v="14.3"/>
    <n v="9648.8433317602867"/>
    <n v="179.36952347503097"/>
    <m/>
    <n v="4.8"/>
    <n v="4.4400000000000004"/>
    <x v="45"/>
  </r>
  <r>
    <n v="220"/>
    <n v="2"/>
    <n v="11"/>
    <s v="AB_Hague"/>
    <x v="1"/>
    <x v="1"/>
    <n v="36"/>
    <n v="32"/>
    <n v="182.34562784915045"/>
    <n v="74"/>
    <n v="69"/>
    <n v="71"/>
    <n v="76"/>
    <n v="72.5"/>
    <n v="82"/>
    <n v="92"/>
    <n v="101"/>
    <n v="95"/>
    <n v="92.5"/>
    <n v="86"/>
    <n v="95"/>
    <n v="103"/>
    <n v="105"/>
    <n v="97.25"/>
    <n v="100"/>
    <n v="106"/>
    <n v="107"/>
    <n v="111"/>
    <n v="106"/>
    <m/>
    <m/>
    <m/>
    <m/>
    <e v="#DIV/0!"/>
    <m/>
    <m/>
    <m/>
    <m/>
    <e v="#DIV/0!"/>
    <d v="2024-07-07T00:00:00"/>
    <m/>
    <m/>
    <m/>
    <m/>
    <e v="#DIV/0!"/>
    <n v="95"/>
    <n v="0"/>
    <n v="0"/>
    <n v="63.333333333333336"/>
    <n v="0"/>
    <n v="0"/>
    <n v="0"/>
    <n v="0"/>
    <m/>
    <m/>
    <m/>
    <n v="0"/>
    <n v="26.1"/>
    <n v="15.4"/>
    <n v="40.996168582375482"/>
    <n v="2.3984674329501927"/>
    <d v="2024-08-04T09:33:48"/>
    <d v="2024-08-04T09:33:48"/>
    <n v="6"/>
    <n v="8.6867999999999999"/>
    <n v="8570"/>
    <n v="14.3"/>
    <n v="9774.3011055775005"/>
    <n v="181.70175132163303"/>
    <m/>
    <n v="4.75"/>
    <n v="4.5599999999999996"/>
    <x v="46"/>
  </r>
  <r>
    <n v="221"/>
    <n v="2"/>
    <n v="18"/>
    <s v="AB_Hague"/>
    <x v="8"/>
    <x v="8"/>
    <n v="41"/>
    <n v="47"/>
    <n v="180.27351844177375"/>
    <n v="72"/>
    <n v="74"/>
    <n v="74"/>
    <n v="74"/>
    <n v="73.5"/>
    <n v="94"/>
    <n v="95"/>
    <n v="102"/>
    <n v="87"/>
    <n v="94.5"/>
    <n v="99"/>
    <n v="105"/>
    <n v="102"/>
    <n v="101"/>
    <n v="101.75"/>
    <n v="101"/>
    <n v="109"/>
    <n v="100"/>
    <n v="107"/>
    <n v="104.25"/>
    <m/>
    <m/>
    <m/>
    <m/>
    <e v="#DIV/0!"/>
    <m/>
    <m/>
    <m/>
    <m/>
    <e v="#DIV/0!"/>
    <d v="2024-07-07T00:00:00"/>
    <m/>
    <m/>
    <m/>
    <m/>
    <e v="#DIV/0!"/>
    <n v="70"/>
    <n v="0"/>
    <n v="0"/>
    <n v="46.666666666666664"/>
    <n v="0"/>
    <n v="0"/>
    <n v="0"/>
    <n v="0"/>
    <m/>
    <m/>
    <m/>
    <n v="0"/>
    <n v="38.299999999999997"/>
    <n v="14.4"/>
    <n v="62.402088772845957"/>
    <n v="10.960835509138382"/>
    <d v="2024-08-12T23:03:36"/>
    <d v="2024-08-12T23:03:36"/>
    <n v="6"/>
    <n v="8.6867999999999999"/>
    <n v="8480"/>
    <n v="15.9"/>
    <n v="9491.0862032115183"/>
    <n v="176.43685890585513"/>
    <m/>
    <n v="4.67"/>
    <n v="4.42"/>
    <x v="47"/>
  </r>
  <r>
    <n v="222"/>
    <n v="2"/>
    <n v="13"/>
    <s v="AB_Hague"/>
    <x v="3"/>
    <x v="3"/>
    <n v="44"/>
    <n v="43"/>
    <n v="194.77828429341071"/>
    <n v="79"/>
    <n v="80"/>
    <n v="74"/>
    <n v="76"/>
    <n v="77.25"/>
    <n v="96"/>
    <n v="95"/>
    <n v="92"/>
    <n v="100"/>
    <n v="95.75"/>
    <n v="95"/>
    <n v="103"/>
    <n v="102"/>
    <n v="101"/>
    <n v="100.25"/>
    <n v="100"/>
    <n v="102"/>
    <n v="106"/>
    <n v="107"/>
    <n v="103.75"/>
    <m/>
    <m/>
    <m/>
    <m/>
    <e v="#DIV/0!"/>
    <m/>
    <m/>
    <m/>
    <m/>
    <e v="#DIV/0!"/>
    <d v="2024-07-08T00:00:00"/>
    <m/>
    <m/>
    <m/>
    <m/>
    <e v="#DIV/0!"/>
    <n v="50"/>
    <n v="0"/>
    <n v="0"/>
    <n v="33.333333333333336"/>
    <n v="0"/>
    <n v="0"/>
    <n v="0"/>
    <n v="0"/>
    <m/>
    <m/>
    <m/>
    <n v="0"/>
    <n v="26.7"/>
    <n v="14.7"/>
    <n v="44.943820224719097"/>
    <n v="3.9775280898876391"/>
    <d v="2024-08-05T23:27:38"/>
    <d v="2024-08-05T23:27:38"/>
    <n v="6"/>
    <n v="8.6867999999999999"/>
    <n v="8930"/>
    <n v="7.3"/>
    <n v="11016.794865959675"/>
    <n v="204.79939173899396"/>
    <m/>
    <n v="4.53"/>
    <n v="4.58"/>
    <x v="48"/>
  </r>
  <r>
    <n v="223"/>
    <n v="2"/>
    <n v="14"/>
    <s v="AB_Hague"/>
    <x v="4"/>
    <x v="4"/>
    <n v="42"/>
    <n v="52"/>
    <n v="223.78781599668463"/>
    <n v="76"/>
    <n v="69"/>
    <n v="70"/>
    <n v="67"/>
    <n v="70.5"/>
    <n v="97"/>
    <n v="95"/>
    <n v="92"/>
    <n v="89"/>
    <n v="93.25"/>
    <n v="96"/>
    <n v="101"/>
    <n v="102"/>
    <n v="101"/>
    <n v="100"/>
    <n v="103"/>
    <n v="110"/>
    <n v="108"/>
    <n v="110"/>
    <n v="107.75"/>
    <m/>
    <m/>
    <m/>
    <m/>
    <e v="#DIV/0!"/>
    <m/>
    <m/>
    <m/>
    <m/>
    <e v="#DIV/0!"/>
    <d v="2024-07-08T00:00:00"/>
    <m/>
    <m/>
    <m/>
    <m/>
    <e v="#DIV/0!"/>
    <n v="85"/>
    <n v="0"/>
    <n v="0"/>
    <n v="56.666666666666664"/>
    <n v="0"/>
    <n v="0"/>
    <n v="0"/>
    <n v="0"/>
    <m/>
    <m/>
    <m/>
    <n v="0"/>
    <n v="28.6"/>
    <n v="11.8"/>
    <n v="58.74125874125874"/>
    <n v="9.4965034965034967"/>
    <d v="2024-08-11T11:54:58"/>
    <d v="2024-08-11T11:54:58"/>
    <n v="6"/>
    <n v="8.6867999999999999"/>
    <n v="9410"/>
    <n v="13.7"/>
    <n v="10807.481206619785"/>
    <n v="200.90830448203445"/>
    <m/>
    <n v="4.28"/>
    <n v="4.34"/>
    <x v="49"/>
  </r>
  <r>
    <n v="224"/>
    <n v="2"/>
    <n v="16"/>
    <s v="AB_Hague"/>
    <x v="6"/>
    <x v="6"/>
    <n v="57"/>
    <n v="51"/>
    <n v="192.70617488603401"/>
    <n v="75"/>
    <n v="71"/>
    <n v="76"/>
    <n v="75"/>
    <n v="74.25"/>
    <n v="94"/>
    <n v="92"/>
    <n v="95"/>
    <n v="101"/>
    <n v="95.5"/>
    <n v="102"/>
    <n v="102"/>
    <n v="101"/>
    <n v="101"/>
    <n v="101.5"/>
    <n v="95"/>
    <n v="103"/>
    <n v="104"/>
    <n v="101"/>
    <n v="100.75"/>
    <m/>
    <m/>
    <m/>
    <m/>
    <e v="#DIV/0!"/>
    <m/>
    <m/>
    <m/>
    <m/>
    <e v="#DIV/0!"/>
    <d v="2024-07-08T00:00:00"/>
    <m/>
    <m/>
    <m/>
    <m/>
    <e v="#DIV/0!"/>
    <n v="40"/>
    <n v="0"/>
    <n v="0"/>
    <n v="26.666666666666668"/>
    <n v="5"/>
    <n v="0"/>
    <n v="0"/>
    <n v="3.3333333333333335"/>
    <m/>
    <m/>
    <m/>
    <n v="0"/>
    <n v="24.5"/>
    <n v="13.3"/>
    <n v="45.714285714285715"/>
    <n v="4.2857142857142865"/>
    <d v="2024-08-06T06:51:26"/>
    <d v="2024-08-06T06:51:26"/>
    <n v="6"/>
    <n v="8.6867999999999999"/>
    <n v="8940"/>
    <n v="7.6"/>
    <n v="10993.438719460342"/>
    <n v="204.36520696432689"/>
    <m/>
    <n v="4.66"/>
    <n v="4.6500000000000004"/>
    <x v="50"/>
  </r>
  <r>
    <n v="225"/>
    <n v="2"/>
    <n v="15"/>
    <s v="AB_Hague"/>
    <x v="5"/>
    <x v="5"/>
    <n v="43"/>
    <n v="50"/>
    <n v="213.4272689598011"/>
    <n v="89"/>
    <n v="78"/>
    <n v="77"/>
    <n v="63"/>
    <n v="76.75"/>
    <n v="102"/>
    <n v="102"/>
    <n v="97"/>
    <n v="89"/>
    <n v="97.5"/>
    <n v="74"/>
    <n v="76"/>
    <n v="77"/>
    <n v="86"/>
    <n v="78.25"/>
    <n v="102"/>
    <n v="100"/>
    <n v="95"/>
    <n v="93"/>
    <n v="97.5"/>
    <m/>
    <m/>
    <m/>
    <m/>
    <e v="#DIV/0!"/>
    <m/>
    <m/>
    <m/>
    <m/>
    <e v="#DIV/0!"/>
    <d v="2024-07-08T00:00:00"/>
    <m/>
    <m/>
    <m/>
    <m/>
    <e v="#DIV/0!"/>
    <n v="0"/>
    <n v="0"/>
    <n v="0"/>
    <n v="0"/>
    <n v="5"/>
    <n v="0"/>
    <n v="0"/>
    <n v="3.3333333333333335"/>
    <m/>
    <m/>
    <m/>
    <n v="0"/>
    <n v="24.2"/>
    <n v="13.9"/>
    <n v="42.561983471074377"/>
    <n v="3.0247933884297509"/>
    <d v="2024-08-05T00:35:42"/>
    <d v="2024-08-05T00:35:42"/>
    <n v="6"/>
    <n v="8.6867999999999999"/>
    <n v="9010"/>
    <n v="8"/>
    <n v="11031.553821211959"/>
    <n v="205.07375693278641"/>
    <m/>
    <n v="4.42"/>
    <n v="4.41"/>
    <x v="51"/>
  </r>
  <r>
    <n v="226"/>
    <n v="2"/>
    <n v="10"/>
    <s v="AB_Hague"/>
    <x v="0"/>
    <x v="0"/>
    <n v="55"/>
    <n v="48"/>
    <n v="167.84086199751349"/>
    <n v="82"/>
    <n v="84"/>
    <n v="86"/>
    <n v="79"/>
    <n v="82.75"/>
    <n v="103"/>
    <n v="105"/>
    <n v="110"/>
    <n v="98"/>
    <n v="104"/>
    <n v="102"/>
    <n v="104"/>
    <n v="106"/>
    <n v="105"/>
    <n v="104.25"/>
    <n v="111"/>
    <n v="112"/>
    <n v="110"/>
    <n v="115"/>
    <n v="112"/>
    <m/>
    <m/>
    <m/>
    <m/>
    <e v="#DIV/0!"/>
    <m/>
    <m/>
    <m/>
    <m/>
    <e v="#DIV/0!"/>
    <d v="2024-07-07T00:00:00"/>
    <m/>
    <m/>
    <m/>
    <m/>
    <e v="#DIV/0!"/>
    <n v="80"/>
    <n v="10"/>
    <n v="5"/>
    <n v="61.666666666666671"/>
    <n v="4"/>
    <n v="0"/>
    <n v="0"/>
    <n v="2.6666666666666665"/>
    <m/>
    <m/>
    <m/>
    <n v="0"/>
    <n v="26.3"/>
    <n v="14.7"/>
    <n v="44.106463878326998"/>
    <n v="3.6425855513307992"/>
    <d v="2024-08-05T15:25:19"/>
    <d v="2024-08-05T15:25:19"/>
    <n v="6"/>
    <n v="8.6867999999999999"/>
    <n v="9230"/>
    <n v="10.4"/>
    <n v="11006.10826445599"/>
    <n v="204.60073055719468"/>
    <m/>
    <n v="4.79"/>
    <n v="4.87"/>
    <x v="52"/>
  </r>
  <r>
    <n v="227"/>
    <n v="2"/>
    <n v="17"/>
    <s v="AB_Hague"/>
    <x v="7"/>
    <x v="7"/>
    <n v="36"/>
    <n v="45"/>
    <e v="#REF!"/>
    <n v="72"/>
    <n v="77"/>
    <n v="75"/>
    <n v="78"/>
    <n v="75.5"/>
    <n v="97"/>
    <n v="97"/>
    <n v="107"/>
    <n v="95"/>
    <n v="99"/>
    <n v="102"/>
    <n v="102"/>
    <n v="101"/>
    <n v="101"/>
    <n v="101.5"/>
    <n v="110"/>
    <n v="114"/>
    <n v="115"/>
    <n v="116"/>
    <n v="113.75"/>
    <m/>
    <m/>
    <m/>
    <m/>
    <e v="#DIV/0!"/>
    <m/>
    <m/>
    <m/>
    <m/>
    <e v="#DIV/0!"/>
    <d v="2024-07-07T00:00:00"/>
    <m/>
    <m/>
    <m/>
    <m/>
    <e v="#DIV/0!"/>
    <n v="0"/>
    <n v="5"/>
    <n v="20"/>
    <n v="21.666666666666668"/>
    <n v="0"/>
    <n v="0"/>
    <n v="0"/>
    <n v="0"/>
    <m/>
    <m/>
    <m/>
    <n v="0"/>
    <n v="25.5"/>
    <n v="12.8"/>
    <n v="49.803921568627445"/>
    <n v="5.921568627450978"/>
    <d v="2024-08-07T22:07:04"/>
    <d v="2024-08-07T22:07:04"/>
    <n v="6"/>
    <n v="8.6867999999999999"/>
    <n v="9440"/>
    <n v="9.9"/>
    <n v="11319.333486113139"/>
    <n v="210.4235071136417"/>
    <m/>
    <n v="4.41"/>
    <n v="4.51"/>
    <x v="53"/>
  </r>
  <r>
    <n v="301"/>
    <n v="3"/>
    <n v="11"/>
    <s v="AB_Hague"/>
    <x v="1"/>
    <x v="1"/>
    <n v="59"/>
    <n v="55"/>
    <n v="236.22047244094489"/>
    <n v="76"/>
    <n v="75"/>
    <n v="77"/>
    <n v="73"/>
    <n v="75.25"/>
    <n v="100"/>
    <n v="93"/>
    <n v="99"/>
    <n v="98"/>
    <n v="97.5"/>
    <n v="101"/>
    <n v="101"/>
    <n v="101"/>
    <n v="102"/>
    <n v="101.25"/>
    <n v="110"/>
    <n v="105"/>
    <n v="110"/>
    <n v="104"/>
    <n v="107.25"/>
    <m/>
    <m/>
    <m/>
    <m/>
    <e v="#DIV/0!"/>
    <m/>
    <m/>
    <m/>
    <m/>
    <e v="#DIV/0!"/>
    <d v="2024-07-07T00:00:00"/>
    <m/>
    <m/>
    <m/>
    <m/>
    <e v="#DIV/0!"/>
    <n v="20"/>
    <n v="10"/>
    <n v="10"/>
    <n v="26.666666666666668"/>
    <n v="5"/>
    <n v="0"/>
    <n v="0"/>
    <n v="3.3333333333333335"/>
    <m/>
    <m/>
    <m/>
    <n v="0"/>
    <n v="29.8"/>
    <n v="17.71"/>
    <n v="40.570469798657719"/>
    <n v="2.2281879194630876"/>
    <d v="2024-08-04T05:28:35"/>
    <d v="2024-08-04T05:28:35"/>
    <n v="6"/>
    <n v="8.6867999999999999"/>
    <n v="8650"/>
    <n v="10.1"/>
    <n v="10349.035317953676"/>
    <n v="192.38591296195938"/>
    <m/>
    <m/>
    <m/>
    <x v="32"/>
  </r>
  <r>
    <n v="302"/>
    <n v="3"/>
    <n v="15"/>
    <s v="AB_Hague"/>
    <x v="5"/>
    <x v="5"/>
    <n v="48"/>
    <n v="38"/>
    <n v="178.20140903439702"/>
    <n v="80"/>
    <n v="71"/>
    <n v="81"/>
    <n v="80"/>
    <n v="78"/>
    <n v="93"/>
    <n v="97"/>
    <n v="92"/>
    <n v="91"/>
    <n v="93.25"/>
    <n v="96"/>
    <n v="100"/>
    <n v="100"/>
    <n v="95"/>
    <n v="97.75"/>
    <n v="95"/>
    <n v="90"/>
    <n v="100"/>
    <n v="100"/>
    <n v="96.25"/>
    <m/>
    <m/>
    <m/>
    <m/>
    <e v="#DIV/0!"/>
    <m/>
    <m/>
    <m/>
    <m/>
    <e v="#DIV/0!"/>
    <d v="2024-07-08T00:00:00"/>
    <m/>
    <m/>
    <m/>
    <m/>
    <e v="#DIV/0!"/>
    <n v="0"/>
    <n v="0"/>
    <n v="0"/>
    <n v="0"/>
    <n v="0"/>
    <n v="0"/>
    <n v="0"/>
    <n v="0"/>
    <m/>
    <m/>
    <m/>
    <n v="0"/>
    <n v="23.2"/>
    <n v="14.4"/>
    <n v="37.931034482758619"/>
    <n v="1.1724137931034477"/>
    <d v="2024-08-03T04:08:17"/>
    <d v="2024-08-03T04:08:17"/>
    <n v="6"/>
    <n v="8.6867999999999999"/>
    <n v="8400"/>
    <n v="12.9"/>
    <n v="9736.9179628329857"/>
    <n v="181.00680828343371"/>
    <m/>
    <n v="4.7"/>
    <n v="4.7300000000000004"/>
    <x v="54"/>
  </r>
  <r>
    <n v="303"/>
    <n v="3"/>
    <n v="18"/>
    <s v="AB_Hague"/>
    <x v="8"/>
    <x v="8"/>
    <n v="50"/>
    <n v="67"/>
    <n v="242.43680066307502"/>
    <n v="71"/>
    <n v="76"/>
    <n v="75"/>
    <n v="71"/>
    <n v="73.25"/>
    <n v="91"/>
    <n v="98"/>
    <n v="90"/>
    <n v="100"/>
    <n v="94.75"/>
    <n v="99"/>
    <n v="101"/>
    <n v="101"/>
    <n v="105"/>
    <n v="101.5"/>
    <n v="93"/>
    <n v="90"/>
    <n v="102"/>
    <n v="95"/>
    <n v="95"/>
    <m/>
    <m/>
    <m/>
    <m/>
    <e v="#DIV/0!"/>
    <m/>
    <m/>
    <m/>
    <m/>
    <e v="#DIV/0!"/>
    <d v="2024-07-08T00:00:00"/>
    <m/>
    <m/>
    <m/>
    <m/>
    <e v="#DIV/0!"/>
    <n v="0"/>
    <n v="0"/>
    <n v="0"/>
    <n v="0"/>
    <n v="0"/>
    <n v="0"/>
    <n v="0"/>
    <n v="0"/>
    <m/>
    <m/>
    <m/>
    <n v="0"/>
    <n v="23.58"/>
    <n v="13.9"/>
    <n v="41.051738761662421"/>
    <n v="2.4206955046649683"/>
    <d v="2024-08-04T10:05:48"/>
    <d v="2024-08-04T10:05:48"/>
    <n v="6"/>
    <n v="8.6867999999999999"/>
    <n v="8550"/>
    <n v="9.9"/>
    <n v="10252.150562104593"/>
    <n v="190.58485019297001"/>
    <m/>
    <n v="4.58"/>
    <n v="4.05"/>
    <x v="55"/>
  </r>
  <r>
    <n v="304"/>
    <n v="3"/>
    <n v="14"/>
    <s v="AB_Hague"/>
    <x v="4"/>
    <x v="4"/>
    <n v="52"/>
    <n v="40"/>
    <n v="190.63406547865728"/>
    <n v="71"/>
    <n v="69"/>
    <n v="62"/>
    <n v="69"/>
    <n v="67.75"/>
    <n v="87"/>
    <n v="90"/>
    <n v="85"/>
    <n v="87"/>
    <n v="87.25"/>
    <n v="99"/>
    <n v="100"/>
    <n v="98"/>
    <n v="98"/>
    <n v="98.75"/>
    <n v="103"/>
    <n v="100"/>
    <n v="103"/>
    <n v="105"/>
    <n v="102.75"/>
    <m/>
    <m/>
    <m/>
    <m/>
    <e v="#DIV/0!"/>
    <m/>
    <m/>
    <m/>
    <m/>
    <e v="#DIV/0!"/>
    <d v="2024-07-08T00:00:00"/>
    <m/>
    <m/>
    <m/>
    <m/>
    <e v="#DIV/0!"/>
    <n v="10"/>
    <n v="0"/>
    <n v="0"/>
    <n v="6.666666666666667"/>
    <n v="0"/>
    <n v="0"/>
    <n v="0"/>
    <n v="0"/>
    <m/>
    <m/>
    <m/>
    <n v="0"/>
    <n v="22.7"/>
    <n v="12.1"/>
    <n v="46.696035242290748"/>
    <n v="4.6784140969162991"/>
    <d v="2024-08-06T16:16:55"/>
    <d v="2024-08-06T16:16:55"/>
    <n v="6"/>
    <n v="8.6867999999999999"/>
    <n v="8410"/>
    <n v="6.4"/>
    <n v="10476.01024316743"/>
    <n v="194.74634426400991"/>
    <m/>
    <n v="4.0999999999999996"/>
    <n v="4.9000000000000004"/>
    <x v="56"/>
  </r>
  <r>
    <n v="305"/>
    <n v="3"/>
    <n v="10"/>
    <s v="AB_Hague"/>
    <x v="0"/>
    <x v="0"/>
    <n v="24"/>
    <n v="49"/>
    <n v="151.2639867384998"/>
    <n v="75"/>
    <n v="77"/>
    <n v="76"/>
    <n v="75"/>
    <n v="75.75"/>
    <n v="99"/>
    <n v="105"/>
    <n v="92"/>
    <n v="99"/>
    <n v="98.75"/>
    <n v="100"/>
    <n v="101"/>
    <n v="102"/>
    <n v="101"/>
    <n v="101"/>
    <n v="105"/>
    <n v="104"/>
    <n v="107"/>
    <n v="105"/>
    <n v="105.2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5"/>
    <n v="0"/>
    <n v="0"/>
    <n v="3.3333333333333335"/>
    <m/>
    <m/>
    <m/>
    <n v="0"/>
    <n v="31.55"/>
    <n v="17.829999999999998"/>
    <n v="43.486529318542004"/>
    <n v="3.3946117274168017"/>
    <d v="2024-08-05T09:28:14"/>
    <d v="2024-08-05T09:28:14"/>
    <n v="6"/>
    <n v="8.6867999999999999"/>
    <n v="8400"/>
    <n v="6.2"/>
    <n v="10485.911652281677"/>
    <n v="194.93040892062092"/>
    <m/>
    <n v="4.53"/>
    <n v="4.34"/>
    <x v="57"/>
  </r>
  <r>
    <n v="306"/>
    <n v="3"/>
    <n v="13"/>
    <s v="AB_Hague"/>
    <x v="3"/>
    <x v="3"/>
    <n v="48"/>
    <n v="41"/>
    <n v="184.41773725652715"/>
    <n v="67"/>
    <n v="73"/>
    <n v="74"/>
    <n v="75"/>
    <n v="72.25"/>
    <n v="84"/>
    <n v="86"/>
    <n v="98"/>
    <n v="98"/>
    <n v="91.5"/>
    <n v="101"/>
    <n v="100"/>
    <n v="101"/>
    <n v="98"/>
    <n v="100"/>
    <n v="95"/>
    <n v="102"/>
    <n v="100"/>
    <n v="95"/>
    <n v="98"/>
    <m/>
    <m/>
    <m/>
    <m/>
    <e v="#DIV/0!"/>
    <m/>
    <m/>
    <m/>
    <m/>
    <e v="#DIV/0!"/>
    <d v="2024-07-07T00:00:00"/>
    <m/>
    <m/>
    <m/>
    <m/>
    <e v="#DIV/0!"/>
    <n v="0"/>
    <n v="0"/>
    <n v="0"/>
    <n v="0"/>
    <n v="4"/>
    <n v="0"/>
    <n v="0"/>
    <n v="2.6666666666666665"/>
    <m/>
    <m/>
    <m/>
    <n v="0"/>
    <n v="29.15"/>
    <n v="13.46"/>
    <n v="53.825042881646645"/>
    <n v="7.5300171526586581"/>
    <d v="2024-08-09T12:43:13"/>
    <d v="2024-08-09T12:43:13"/>
    <n v="6"/>
    <n v="8.6867999999999999"/>
    <n v="8270"/>
    <n v="10.3"/>
    <n v="9872.3836125291164"/>
    <n v="183.52507997650281"/>
    <m/>
    <n v="4.43"/>
    <n v="4.34"/>
    <x v="58"/>
  </r>
  <r>
    <n v="307"/>
    <n v="3"/>
    <n v="16"/>
    <s v="AB_Hague"/>
    <x v="6"/>
    <x v="6"/>
    <n v="38"/>
    <n v="54"/>
    <n v="190.63406547865728"/>
    <n v="74"/>
    <n v="70"/>
    <n v="77"/>
    <n v="74"/>
    <n v="73.75"/>
    <n v="85"/>
    <n v="88"/>
    <n v="87"/>
    <n v="91"/>
    <n v="87.75"/>
    <n v="90"/>
    <n v="94"/>
    <n v="95"/>
    <n v="96"/>
    <n v="93.75"/>
    <n v="100"/>
    <n v="102"/>
    <n v="100"/>
    <n v="98"/>
    <n v="100"/>
    <m/>
    <m/>
    <m/>
    <m/>
    <e v="#DIV/0!"/>
    <m/>
    <m/>
    <m/>
    <m/>
    <e v="#DIV/0!"/>
    <d v="2024-07-08T00:00:00"/>
    <m/>
    <m/>
    <m/>
    <m/>
    <e v="#DIV/0!"/>
    <n v="5"/>
    <n v="0"/>
    <n v="0"/>
    <n v="3.3333333333333335"/>
    <n v="0"/>
    <n v="0"/>
    <n v="0"/>
    <n v="0"/>
    <m/>
    <m/>
    <m/>
    <n v="0"/>
    <n v="28.7"/>
    <n v="15.05"/>
    <n v="47.560975609756099"/>
    <n v="5.0243902439024399"/>
    <d v="2024-08-07T00:35:07"/>
    <d v="2024-08-07T00:35:07"/>
    <n v="6"/>
    <n v="8.6867999999999999"/>
    <n v="8540"/>
    <n v="10.8"/>
    <n v="10137.871798577657"/>
    <n v="188.46043728125133"/>
    <m/>
    <n v="4.32"/>
    <n v="4.24"/>
    <x v="59"/>
  </r>
  <r>
    <n v="308"/>
    <n v="3"/>
    <n v="17"/>
    <s v="AB_Hague"/>
    <x v="7"/>
    <x v="7"/>
    <n v="40"/>
    <n v="41"/>
    <n v="167.84086199751349"/>
    <n v="79"/>
    <n v="70"/>
    <n v="76"/>
    <n v="72"/>
    <n v="74.25"/>
    <n v="94"/>
    <n v="86"/>
    <n v="93"/>
    <n v="100"/>
    <n v="93.25"/>
    <n v="93"/>
    <n v="101"/>
    <n v="100"/>
    <n v="96"/>
    <n v="97.5"/>
    <n v="97"/>
    <n v="95"/>
    <n v="105"/>
    <n v="100"/>
    <n v="99.25"/>
    <m/>
    <m/>
    <m/>
    <m/>
    <e v="#DIV/0!"/>
    <m/>
    <m/>
    <m/>
    <m/>
    <e v="#DIV/0!"/>
    <d v="2024-07-06T00:00:00"/>
    <m/>
    <m/>
    <m/>
    <m/>
    <e v="#DIV/0!"/>
    <n v="0"/>
    <n v="0"/>
    <n v="0"/>
    <n v="0"/>
    <n v="0"/>
    <n v="0"/>
    <n v="0"/>
    <n v="0"/>
    <m/>
    <m/>
    <m/>
    <n v="0"/>
    <n v="30.4"/>
    <n v="16.64"/>
    <n v="45.263157894736835"/>
    <n v="4.1052631578947345"/>
    <d v="2024-08-06T02:31:35"/>
    <d v="2024-08-06T02:31:35"/>
    <n v="6"/>
    <n v="8.6867999999999999"/>
    <n v="8490"/>
    <n v="10.7"/>
    <n v="10089.815362675041"/>
    <n v="187.56708045998474"/>
    <m/>
    <n v="5.23"/>
    <n v="4.4400000000000004"/>
    <x v="60"/>
  </r>
  <r>
    <n v="309"/>
    <n v="3"/>
    <n v="12"/>
    <s v="AB_Hague"/>
    <x v="2"/>
    <x v="2"/>
    <n v="41"/>
    <n v="57"/>
    <n v="203.06672192291754"/>
    <n v="79"/>
    <n v="80"/>
    <n v="69"/>
    <n v="70"/>
    <n v="74.5"/>
    <n v="96"/>
    <n v="98"/>
    <n v="94"/>
    <n v="99"/>
    <n v="96.75"/>
    <n v="98"/>
    <n v="100"/>
    <n v="97"/>
    <n v="101"/>
    <n v="99"/>
    <n v="103"/>
    <n v="102"/>
    <n v="105"/>
    <n v="107"/>
    <n v="104.25"/>
    <m/>
    <m/>
    <m/>
    <m/>
    <e v="#DIV/0!"/>
    <m/>
    <m/>
    <m/>
    <m/>
    <e v="#DIV/0!"/>
    <d v="2024-07-06T00:00:00"/>
    <m/>
    <m/>
    <m/>
    <m/>
    <e v="#DIV/0!"/>
    <n v="10"/>
    <n v="5"/>
    <n v="0"/>
    <n v="8.3333333333333339"/>
    <n v="0"/>
    <n v="0"/>
    <n v="0"/>
    <n v="0"/>
    <m/>
    <m/>
    <m/>
    <n v="0"/>
    <n v="36.94"/>
    <n v="22.96"/>
    <n v="37.845154304277202"/>
    <n v="1.1380617217108806"/>
    <d v="2024-08-03T03:18:49"/>
    <d v="2024-08-03T03:18:49"/>
    <n v="6"/>
    <n v="8.6867999999999999"/>
    <n v="8640"/>
    <n v="5.3"/>
    <n v="10888.994823319736"/>
    <n v="202.42362171555919"/>
    <m/>
    <n v="4.1399999999999997"/>
    <n v="4.1100000000000003"/>
    <x v="61"/>
  </r>
  <r>
    <n v="310"/>
    <n v="3"/>
    <n v="26"/>
    <s v="Esma"/>
    <x v="7"/>
    <x v="7"/>
    <n v="46"/>
    <n v="52"/>
    <n v="203.06672192291754"/>
    <n v="69"/>
    <n v="66"/>
    <n v="69"/>
    <n v="66"/>
    <n v="67.5"/>
    <n v="77"/>
    <n v="80"/>
    <n v="81"/>
    <n v="82"/>
    <n v="80"/>
    <n v="86"/>
    <n v="85"/>
    <n v="85"/>
    <n v="84"/>
    <n v="85"/>
    <n v="85"/>
    <n v="85"/>
    <n v="87"/>
    <n v="85"/>
    <n v="85.5"/>
    <m/>
    <m/>
    <m/>
    <m/>
    <e v="#DIV/0!"/>
    <m/>
    <m/>
    <m/>
    <m/>
    <e v="#DIV/0!"/>
    <d v="2024-07-07T00:00:00"/>
    <m/>
    <m/>
    <m/>
    <m/>
    <e v="#DIV/0!"/>
    <n v="0"/>
    <n v="0"/>
    <n v="0"/>
    <n v="0"/>
    <n v="0"/>
    <n v="0"/>
    <n v="0"/>
    <n v="0"/>
    <m/>
    <m/>
    <m/>
    <n v="0"/>
    <n v="27.7"/>
    <n v="16.82"/>
    <n v="39.277978339350177"/>
    <n v="1.711191335740071"/>
    <d v="2024-08-03T17:04:07"/>
    <d v="2024-08-03T17:04:07"/>
    <n v="6"/>
    <n v="8.6867999999999999"/>
    <n v="8950"/>
    <n v="6.1"/>
    <n v="11184.400170240355"/>
    <n v="207.91513136985276"/>
    <m/>
    <n v="5.18"/>
    <n v="5.47"/>
    <x v="62"/>
  </r>
  <r>
    <n v="311"/>
    <n v="3"/>
    <n v="19"/>
    <s v="Esma"/>
    <x v="0"/>
    <x v="0"/>
    <n v="41"/>
    <n v="61"/>
    <n v="211.35515955242437"/>
    <n v="70"/>
    <n v="70"/>
    <n v="68"/>
    <n v="71"/>
    <n v="69.75"/>
    <n v="80"/>
    <n v="81"/>
    <n v="81"/>
    <n v="80"/>
    <n v="80.5"/>
    <n v="81"/>
    <n v="88"/>
    <n v="83"/>
    <n v="87"/>
    <n v="84.75"/>
    <n v="85"/>
    <n v="87"/>
    <n v="90"/>
    <n v="87"/>
    <n v="87.25"/>
    <m/>
    <m/>
    <m/>
    <m/>
    <e v="#DIV/0!"/>
    <m/>
    <m/>
    <m/>
    <m/>
    <e v="#DIV/0!"/>
    <d v="2024-07-07T00:00:00"/>
    <m/>
    <m/>
    <m/>
    <m/>
    <e v="#DIV/0!"/>
    <n v="0"/>
    <n v="0"/>
    <n v="0"/>
    <n v="0"/>
    <n v="0"/>
    <n v="0"/>
    <n v="0"/>
    <n v="0"/>
    <m/>
    <m/>
    <m/>
    <n v="0"/>
    <n v="38.89"/>
    <n v="24.01"/>
    <n v="38.261763949601438"/>
    <n v="1.3047055798405751"/>
    <d v="2024-08-03T07:18:47"/>
    <d v="2024-08-03T07:18:47"/>
    <n v="6"/>
    <n v="8.6867999999999999"/>
    <n v="9280"/>
    <n v="7.1"/>
    <n v="11473.284427824983"/>
    <n v="213.28541564546444"/>
    <m/>
    <n v="5.16"/>
    <n v="5.27"/>
    <x v="63"/>
  </r>
  <r>
    <n v="312"/>
    <n v="3"/>
    <n v="25"/>
    <s v="Esma"/>
    <x v="6"/>
    <x v="6"/>
    <n v="40"/>
    <n v="54"/>
    <n v="194.77828429341071"/>
    <n v="68"/>
    <n v="71"/>
    <n v="68"/>
    <n v="71"/>
    <n v="69.5"/>
    <n v="81"/>
    <n v="78"/>
    <n v="78"/>
    <n v="78"/>
    <n v="78.75"/>
    <n v="81"/>
    <n v="82"/>
    <n v="88"/>
    <n v="84"/>
    <n v="83.75"/>
    <n v="83"/>
    <n v="85"/>
    <n v="80"/>
    <n v="86"/>
    <n v="83.5"/>
    <m/>
    <m/>
    <m/>
    <m/>
    <e v="#DIV/0!"/>
    <m/>
    <m/>
    <m/>
    <m/>
    <e v="#DIV/0!"/>
    <d v="2024-07-08T00:00:00"/>
    <m/>
    <m/>
    <m/>
    <m/>
    <e v="#DIV/0!"/>
    <n v="0"/>
    <n v="0"/>
    <n v="0"/>
    <n v="0"/>
    <n v="0"/>
    <n v="0"/>
    <n v="0"/>
    <n v="0"/>
    <m/>
    <m/>
    <m/>
    <n v="0"/>
    <n v="26.71"/>
    <n v="15.9"/>
    <n v="40.471733433171096"/>
    <n v="2.1886933732684382"/>
    <d v="2024-08-04T04:31:43"/>
    <d v="2024-08-04T04:31:43"/>
    <n v="6"/>
    <n v="8.6867999999999999"/>
    <n v="9420"/>
    <n v="9.5"/>
    <n v="11345.497693530626"/>
    <n v="210.90989302076161"/>
    <m/>
    <n v="5.22"/>
    <n v="5.15"/>
    <x v="64"/>
  </r>
  <r>
    <n v="313"/>
    <n v="3"/>
    <n v="27"/>
    <s v="Esma"/>
    <x v="8"/>
    <x v="8"/>
    <n v="51"/>
    <n v="59"/>
    <n v="227.93203481143806"/>
    <n v="74"/>
    <n v="75"/>
    <n v="71"/>
    <n v="73"/>
    <n v="73.25"/>
    <n v="86"/>
    <n v="81"/>
    <n v="79"/>
    <n v="80"/>
    <n v="81.5"/>
    <n v="82"/>
    <n v="81"/>
    <n v="82"/>
    <n v="86"/>
    <n v="82.75"/>
    <n v="84"/>
    <n v="87"/>
    <n v="81"/>
    <n v="83"/>
    <n v="83.75"/>
    <m/>
    <m/>
    <m/>
    <m/>
    <e v="#DIV/0!"/>
    <m/>
    <m/>
    <m/>
    <m/>
    <e v="#DIV/0!"/>
    <d v="2024-07-07T00:00:00"/>
    <m/>
    <m/>
    <m/>
    <m/>
    <e v="#DIV/0!"/>
    <n v="0"/>
    <n v="0"/>
    <n v="0"/>
    <n v="0"/>
    <n v="0"/>
    <n v="0"/>
    <n v="0"/>
    <n v="0"/>
    <m/>
    <m/>
    <m/>
    <n v="0"/>
    <n v="26.8"/>
    <n v="16.309999999999999"/>
    <n v="39.141791044776127"/>
    <n v="1.656716417910451"/>
    <d v="2024-08-03T15:45:40"/>
    <d v="2024-08-03T15:45:40"/>
    <n v="6"/>
    <n v="8.6867999999999999"/>
    <n v="9180"/>
    <n v="6.4"/>
    <n v="11435.169326073366"/>
    <n v="212.57686567700492"/>
    <m/>
    <n v="5.4"/>
    <n v="5.03"/>
    <x v="65"/>
  </r>
  <r>
    <n v="314"/>
    <n v="3"/>
    <n v="20"/>
    <s v="Esma"/>
    <x v="1"/>
    <x v="1"/>
    <n v="45"/>
    <n v="52"/>
    <n v="200.99461251554084"/>
    <n v="69"/>
    <n v="68"/>
    <n v="70"/>
    <n v="66"/>
    <n v="68.25"/>
    <n v="79"/>
    <n v="80"/>
    <n v="81"/>
    <n v="84"/>
    <n v="81"/>
    <n v="82"/>
    <n v="83"/>
    <n v="84"/>
    <n v="83"/>
    <n v="83"/>
    <n v="83"/>
    <n v="88"/>
    <n v="87"/>
    <n v="91"/>
    <n v="87.25"/>
    <m/>
    <m/>
    <m/>
    <m/>
    <e v="#DIV/0!"/>
    <m/>
    <m/>
    <m/>
    <m/>
    <e v="#DIV/0!"/>
    <d v="2024-07-06T00:00:00"/>
    <m/>
    <m/>
    <m/>
    <m/>
    <e v="#DIV/0!"/>
    <n v="0"/>
    <n v="0"/>
    <n v="0"/>
    <n v="0"/>
    <n v="0"/>
    <n v="0"/>
    <n v="0"/>
    <n v="0"/>
    <m/>
    <m/>
    <m/>
    <n v="0"/>
    <n v="28"/>
    <n v="17.62"/>
    <n v="37.071428571428569"/>
    <n v="0.82857142857142774"/>
    <d v="2024-08-02T19:53:09"/>
    <d v="2024-08-02T19:53:09"/>
    <n v="6"/>
    <n v="8.6867999999999999"/>
    <n v="8880"/>
    <n v="2.2000000000000002"/>
    <n v="11557.819038972424"/>
    <n v="214.85689239115402"/>
    <m/>
    <n v="5.38"/>
    <n v="5.23"/>
    <x v="66"/>
  </r>
  <r>
    <n v="315"/>
    <n v="3"/>
    <n v="24"/>
    <s v="Esma"/>
    <x v="5"/>
    <x v="5"/>
    <n v="46"/>
    <n v="63"/>
    <n v="225.85992540406136"/>
    <n v="70"/>
    <n v="70"/>
    <n v="68"/>
    <n v="69"/>
    <n v="69.25"/>
    <n v="74"/>
    <n v="76"/>
    <n v="75"/>
    <n v="71"/>
    <n v="74"/>
    <n v="77"/>
    <n v="79"/>
    <n v="73"/>
    <n v="75"/>
    <n v="76"/>
    <n v="80"/>
    <n v="77"/>
    <n v="79"/>
    <n v="81"/>
    <n v="79.25"/>
    <m/>
    <m/>
    <m/>
    <m/>
    <e v="#DIV/0!"/>
    <m/>
    <m/>
    <m/>
    <m/>
    <e v="#DIV/0!"/>
    <d v="2024-07-07T00:00:00"/>
    <m/>
    <m/>
    <m/>
    <m/>
    <e v="#DIV/0!"/>
    <n v="0"/>
    <n v="0"/>
    <n v="0"/>
    <n v="0"/>
    <n v="0"/>
    <n v="0"/>
    <n v="0"/>
    <n v="0"/>
    <m/>
    <m/>
    <m/>
    <n v="0"/>
    <n v="27.4"/>
    <n v="17.39"/>
    <n v="36.532846715328461"/>
    <n v="0.61313868613138423"/>
    <d v="2024-08-02T14:42:55"/>
    <d v="2024-08-02T14:42:55"/>
    <n v="6"/>
    <n v="8.6867999999999999"/>
    <n v="8600"/>
    <n v="12.5"/>
    <n v="10014.530051708245"/>
    <n v="186.16754583303791"/>
    <m/>
    <n v="4.92"/>
    <n v="5.43"/>
    <x v="67"/>
  </r>
  <r>
    <n v="316"/>
    <n v="3"/>
    <n v="21"/>
    <s v="Esma"/>
    <x v="2"/>
    <x v="2"/>
    <n v="54"/>
    <n v="32"/>
    <n v="178.20140903439702"/>
    <n v="68"/>
    <n v="66"/>
    <n v="67"/>
    <n v="77"/>
    <n v="69.5"/>
    <n v="79"/>
    <n v="80"/>
    <n v="81"/>
    <n v="81"/>
    <n v="80.25"/>
    <n v="79"/>
    <n v="76"/>
    <n v="82"/>
    <n v="83"/>
    <n v="80"/>
    <n v="86"/>
    <n v="83"/>
    <n v="90"/>
    <n v="88"/>
    <n v="86.75"/>
    <m/>
    <m/>
    <m/>
    <m/>
    <e v="#DIV/0!"/>
    <m/>
    <m/>
    <m/>
    <m/>
    <e v="#DIV/0!"/>
    <d v="2024-07-06T00:00:00"/>
    <m/>
    <m/>
    <m/>
    <m/>
    <e v="#DIV/0!"/>
    <n v="0"/>
    <n v="0"/>
    <n v="0"/>
    <n v="0"/>
    <n v="0"/>
    <n v="0"/>
    <n v="0"/>
    <n v="0"/>
    <m/>
    <m/>
    <m/>
    <n v="0"/>
    <n v="22.5"/>
    <n v="13.9"/>
    <n v="38.222222222222221"/>
    <n v="1.2888888888888885"/>
    <d v="2024-08-03T06:56:00"/>
    <d v="2024-08-03T06:56:00"/>
    <n v="6"/>
    <n v="8.6867999999999999"/>
    <n v="8980"/>
    <n v="14.1"/>
    <n v="10265.818233019017"/>
    <n v="190.83892869073816"/>
    <m/>
    <n v="4.74"/>
    <n v="5.31"/>
    <x v="68"/>
  </r>
  <r>
    <n v="317"/>
    <n v="3"/>
    <n v="22"/>
    <s v="Esma"/>
    <x v="3"/>
    <x v="3"/>
    <n v="36"/>
    <n v="31"/>
    <n v="138.83133029423954"/>
    <n v="66"/>
    <n v="64"/>
    <n v="64"/>
    <n v="65"/>
    <n v="64.75"/>
    <n v="80"/>
    <n v="81"/>
    <n v="84"/>
    <n v="71"/>
    <n v="79"/>
    <n v="85"/>
    <n v="76"/>
    <n v="75"/>
    <n v="78"/>
    <n v="78.5"/>
    <n v="87"/>
    <n v="86"/>
    <n v="83"/>
    <n v="83"/>
    <n v="84.7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0"/>
    <n v="0"/>
    <n v="0"/>
    <n v="0"/>
    <m/>
    <m/>
    <m/>
    <n v="0"/>
    <n v="22.5"/>
    <n v="14.67"/>
    <n v="34.799999999999997"/>
    <n v="-8.000000000000114E-2"/>
    <d v="2024-08-01T22:04:48"/>
    <d v="2024-08-01T22:04:48"/>
    <n v="6"/>
    <n v="8.6867999999999999"/>
    <n v="9040"/>
    <n v="6.9"/>
    <n v="11200.623043506846"/>
    <n v="208.21671042416574"/>
    <m/>
    <n v="5.29"/>
    <n v="5.84"/>
    <x v="69"/>
  </r>
  <r>
    <n v="318"/>
    <n v="3"/>
    <n v="23"/>
    <s v="Esma"/>
    <x v="4"/>
    <x v="4"/>
    <n v="53"/>
    <n v="60"/>
    <n v="234.14836303356819"/>
    <n v="63"/>
    <n v="58"/>
    <n v="67"/>
    <n v="68"/>
    <n v="64"/>
    <n v="74"/>
    <n v="87"/>
    <n v="77"/>
    <n v="90"/>
    <n v="82"/>
    <m/>
    <m/>
    <n v="84"/>
    <n v="86"/>
    <n v="85"/>
    <n v="82"/>
    <n v="87"/>
    <n v="85"/>
    <n v="87"/>
    <n v="85.25"/>
    <m/>
    <m/>
    <m/>
    <m/>
    <e v="#DIV/0!"/>
    <m/>
    <m/>
    <m/>
    <m/>
    <e v="#DIV/0!"/>
    <d v="2024-07-06T00:00:00"/>
    <m/>
    <m/>
    <m/>
    <m/>
    <e v="#DIV/0!"/>
    <n v="0"/>
    <n v="0"/>
    <n v="0"/>
    <n v="0"/>
    <n v="0"/>
    <n v="0"/>
    <n v="0"/>
    <n v="0"/>
    <m/>
    <m/>
    <m/>
    <n v="0"/>
    <n v="21.1"/>
    <n v="13.2"/>
    <n v="37.440758293838869"/>
    <n v="0.97630331753554744"/>
    <d v="2024-08-02T23:25:53"/>
    <d v="2024-08-02T23:25:53"/>
    <n v="6"/>
    <n v="8.6867999999999999"/>
    <n v="9450"/>
    <n v="11.5"/>
    <n v="11130.102120259"/>
    <n v="206.90574454327628"/>
    <m/>
    <n v="5.44"/>
    <n v="4.6399999999999997"/>
    <x v="70"/>
  </r>
  <r>
    <n v="319"/>
    <n v="3"/>
    <n v="6"/>
    <s v="CDC_Austenson"/>
    <x v="5"/>
    <x v="5"/>
    <n v="38"/>
    <n v="50"/>
    <n v="182.34562784915045"/>
    <n v="71"/>
    <n v="65"/>
    <n v="66"/>
    <n v="69"/>
    <n v="67.75"/>
    <n v="84"/>
    <n v="89"/>
    <n v="76"/>
    <n v="78"/>
    <n v="81.75"/>
    <n v="96"/>
    <n v="82"/>
    <n v="81"/>
    <n v="76"/>
    <n v="83.75"/>
    <n v="91"/>
    <n v="88"/>
    <n v="88"/>
    <n v="85"/>
    <n v="88"/>
    <m/>
    <m/>
    <m/>
    <m/>
    <e v="#DIV/0!"/>
    <m/>
    <m/>
    <m/>
    <m/>
    <e v="#DIV/0!"/>
    <d v="2024-07-10T00:00:00"/>
    <m/>
    <m/>
    <m/>
    <m/>
    <e v="#DIV/0!"/>
    <n v="0"/>
    <n v="0"/>
    <n v="0"/>
    <n v="0"/>
    <n v="0"/>
    <n v="0"/>
    <n v="0"/>
    <n v="0"/>
    <m/>
    <m/>
    <m/>
    <n v="0"/>
    <n v="28.2"/>
    <n v="15.51"/>
    <n v="45"/>
    <n v="4"/>
    <d v="2024-08-06T00:00:00"/>
    <d v="2024-08-06T00:00:00"/>
    <n v="6"/>
    <n v="8.6867999999999999"/>
    <n v="8650"/>
    <n v="7.4"/>
    <n v="10659.851729060183"/>
    <n v="198.16391034791366"/>
    <m/>
    <n v="5.0199999999999996"/>
    <n v="4.6399999999999997"/>
    <x v="71"/>
  </r>
  <r>
    <n v="320"/>
    <n v="3"/>
    <n v="4"/>
    <s v="CDC_Austenson"/>
    <x v="3"/>
    <x v="3"/>
    <n v="63"/>
    <n v="55"/>
    <n v="244.50891007045172"/>
    <n v="65"/>
    <n v="72"/>
    <n v="75"/>
    <n v="72"/>
    <n v="71"/>
    <n v="73"/>
    <n v="86"/>
    <n v="83"/>
    <n v="91"/>
    <n v="83.25"/>
    <n v="98"/>
    <n v="92"/>
    <n v="93"/>
    <n v="92"/>
    <n v="93.75"/>
    <n v="90"/>
    <n v="94"/>
    <n v="101"/>
    <n v="100"/>
    <n v="96.25"/>
    <m/>
    <m/>
    <m/>
    <m/>
    <e v="#DIV/0!"/>
    <m/>
    <m/>
    <m/>
    <m/>
    <e v="#DIV/0!"/>
    <d v="2024-07-10T00:00:00"/>
    <m/>
    <m/>
    <m/>
    <m/>
    <e v="#DIV/0!"/>
    <n v="10"/>
    <n v="0"/>
    <n v="0"/>
    <n v="6.666666666666667"/>
    <n v="50"/>
    <n v="0"/>
    <n v="0"/>
    <n v="33.333333333333336"/>
    <m/>
    <m/>
    <m/>
    <n v="0"/>
    <n v="26"/>
    <n v="15"/>
    <n v="42.307692307692307"/>
    <n v="2.9230769230769225"/>
    <d v="2024-08-04T22:09:14"/>
    <d v="2024-08-04T22:09:14"/>
    <n v="6"/>
    <n v="8.6867999999999999"/>
    <n v="8710"/>
    <n v="6.2"/>
    <n v="10872.891725163499"/>
    <n v="202.1242692498343"/>
    <m/>
    <n v="4.76"/>
    <n v="4.82"/>
    <x v="72"/>
  </r>
  <r>
    <n v="321"/>
    <n v="3"/>
    <n v="9"/>
    <s v="CDC_Austenson"/>
    <x v="8"/>
    <x v="8"/>
    <n v="41"/>
    <n v="54"/>
    <n v="196.85039370078741"/>
    <n v="60"/>
    <n v="65"/>
    <n v="73"/>
    <n v="64"/>
    <n v="65.5"/>
    <n v="78"/>
    <n v="85"/>
    <n v="85"/>
    <n v="85"/>
    <n v="83.25"/>
    <n v="90"/>
    <n v="87"/>
    <n v="92"/>
    <n v="88"/>
    <n v="89.25"/>
    <n v="92"/>
    <n v="97"/>
    <n v="90"/>
    <n v="93"/>
    <n v="93"/>
    <m/>
    <m/>
    <m/>
    <m/>
    <e v="#DIV/0!"/>
    <m/>
    <m/>
    <m/>
    <m/>
    <e v="#DIV/0!"/>
    <d v="2024-07-11T00:00:00"/>
    <m/>
    <m/>
    <m/>
    <m/>
    <e v="#DIV/0!"/>
    <n v="5"/>
    <n v="0"/>
    <n v="0"/>
    <n v="3.3333333333333335"/>
    <n v="50"/>
    <n v="0"/>
    <n v="0"/>
    <n v="33.333333333333336"/>
    <m/>
    <m/>
    <m/>
    <n v="0"/>
    <n v="30.6"/>
    <n v="16.940000000000001"/>
    <n v="44.640522875816991"/>
    <n v="3.8562091503267966"/>
    <d v="2024-08-05T20:32:56"/>
    <d v="2024-08-05T20:32:56"/>
    <n v="6"/>
    <n v="8.6867999999999999"/>
    <n v="9220"/>
    <n v="5.9"/>
    <n v="11546.347245079305"/>
    <n v="214.64363468416659"/>
    <m/>
    <n v="4.8899999999999997"/>
    <n v="4.83"/>
    <x v="73"/>
  </r>
  <r>
    <n v="322"/>
    <n v="3"/>
    <n v="3"/>
    <s v="CDC_Austenson"/>
    <x v="2"/>
    <x v="2"/>
    <n v="48"/>
    <n v="48"/>
    <n v="198.92250310816414"/>
    <n v="62"/>
    <n v="70"/>
    <n v="67"/>
    <n v="65"/>
    <n v="66"/>
    <n v="91"/>
    <n v="91"/>
    <n v="94"/>
    <n v="90"/>
    <n v="91.5"/>
    <n v="96"/>
    <n v="98"/>
    <n v="99"/>
    <n v="96"/>
    <n v="97.25"/>
    <n v="105"/>
    <n v="112"/>
    <n v="110"/>
    <n v="108"/>
    <n v="108.75"/>
    <m/>
    <m/>
    <m/>
    <m/>
    <e v="#DIV/0!"/>
    <m/>
    <m/>
    <m/>
    <m/>
    <e v="#DIV/0!"/>
    <d v="2024-07-10T00:00:00"/>
    <m/>
    <m/>
    <m/>
    <m/>
    <e v="#DIV/0!"/>
    <n v="20"/>
    <n v="0"/>
    <n v="0"/>
    <n v="13.333333333333334"/>
    <n v="50"/>
    <n v="0"/>
    <n v="0"/>
    <n v="33.333333333333336"/>
    <m/>
    <m/>
    <m/>
    <n v="0"/>
    <n v="28"/>
    <n v="16.190000000000001"/>
    <n v="42.178571428571423"/>
    <n v="2.8714285714285692"/>
    <d v="2024-08-04T20:54:51"/>
    <d v="2024-08-04T20:54:51"/>
    <n v="6"/>
    <n v="8.6867999999999999"/>
    <n v="8900"/>
    <n v="5.9"/>
    <n v="11145.606342863974"/>
    <n v="207.19396406606106"/>
    <m/>
    <n v="4.93"/>
    <n v="4.7699999999999996"/>
    <x v="74"/>
  </r>
  <r>
    <n v="323"/>
    <n v="3"/>
    <n v="5"/>
    <s v="CDC_Austenson"/>
    <x v="4"/>
    <x v="4"/>
    <n v="42"/>
    <n v="46"/>
    <n v="182.34562784915045"/>
    <n v="65"/>
    <n v="66"/>
    <n v="64"/>
    <n v="60"/>
    <n v="63.75"/>
    <n v="91"/>
    <n v="80"/>
    <n v="85"/>
    <n v="76"/>
    <n v="83"/>
    <n v="92"/>
    <n v="96"/>
    <n v="102"/>
    <n v="102"/>
    <n v="98"/>
    <n v="106"/>
    <n v="107"/>
    <n v="105"/>
    <n v="100"/>
    <n v="104.5"/>
    <m/>
    <m/>
    <m/>
    <m/>
    <e v="#DIV/0!"/>
    <m/>
    <m/>
    <m/>
    <m/>
    <e v="#DIV/0!"/>
    <d v="2024-07-11T00:00:00"/>
    <m/>
    <m/>
    <m/>
    <m/>
    <e v="#DIV/0!"/>
    <n v="20"/>
    <n v="20"/>
    <n v="0"/>
    <n v="20"/>
    <n v="40"/>
    <n v="0"/>
    <n v="0"/>
    <n v="26.666666666666668"/>
    <m/>
    <m/>
    <m/>
    <n v="0"/>
    <n v="30.6"/>
    <n v="16.260000000000002"/>
    <n v="46.862745098039213"/>
    <n v="4.7450980392156854"/>
    <d v="2024-08-06T17:52:56"/>
    <d v="2024-08-06T17:52:56"/>
    <n v="6"/>
    <n v="8.6867999999999999"/>
    <n v="9400"/>
    <n v="10"/>
    <n v="11258.860363780967"/>
    <n v="209.29932727541541"/>
    <m/>
    <n v="4.78"/>
    <n v="4.72"/>
    <x v="75"/>
  </r>
  <r>
    <n v="324"/>
    <n v="3"/>
    <n v="1"/>
    <s v="CDC_Austenson"/>
    <x v="0"/>
    <x v="0"/>
    <n v="54"/>
    <n v="40"/>
    <n v="194.77828429341071"/>
    <n v="76"/>
    <n v="73"/>
    <n v="78"/>
    <n v="77"/>
    <n v="76"/>
    <n v="99"/>
    <n v="102"/>
    <n v="103"/>
    <n v="95"/>
    <n v="99.75"/>
    <n v="104"/>
    <n v="107"/>
    <n v="109"/>
    <n v="110"/>
    <n v="107.5"/>
    <n v="110"/>
    <n v="113"/>
    <n v="111"/>
    <n v="115"/>
    <n v="112.25"/>
    <m/>
    <m/>
    <m/>
    <m/>
    <e v="#DIV/0!"/>
    <m/>
    <m/>
    <m/>
    <m/>
    <e v="#DIV/0!"/>
    <d v="2024-07-08T00:00:00"/>
    <m/>
    <m/>
    <m/>
    <m/>
    <e v="#DIV/0!"/>
    <n v="20"/>
    <n v="30"/>
    <n v="0"/>
    <n v="23.333333333333336"/>
    <n v="60"/>
    <n v="0"/>
    <n v="0"/>
    <n v="40"/>
    <m/>
    <m/>
    <m/>
    <n v="0"/>
    <n v="29.8"/>
    <n v="18.04"/>
    <n v="39.463087248322154"/>
    <n v="1.7852348993288616"/>
    <d v="2024-08-03T18:50:44"/>
    <d v="2024-08-03T18:50:44"/>
    <n v="6"/>
    <n v="8.6867999999999999"/>
    <n v="8970"/>
    <n v="5.8"/>
    <n v="11245.206001212122"/>
    <n v="209.0454961763792"/>
    <m/>
    <n v="5.28"/>
    <n v="5.12"/>
    <x v="76"/>
  </r>
  <r>
    <n v="325"/>
    <n v="3"/>
    <n v="7"/>
    <s v="CDC_Austenson"/>
    <x v="6"/>
    <x v="6"/>
    <n v="33"/>
    <n v="55"/>
    <n v="182.34562784915045"/>
    <n v="64"/>
    <n v="66"/>
    <n v="66"/>
    <n v="61"/>
    <n v="64.25"/>
    <n v="76"/>
    <n v="84"/>
    <n v="84"/>
    <n v="94"/>
    <n v="84.5"/>
    <n v="94"/>
    <n v="91"/>
    <n v="103"/>
    <n v="101"/>
    <n v="97.25"/>
    <n v="97"/>
    <n v="104"/>
    <n v="105"/>
    <n v="95"/>
    <n v="100.25"/>
    <m/>
    <m/>
    <m/>
    <m/>
    <e v="#DIV/0!"/>
    <m/>
    <m/>
    <m/>
    <m/>
    <e v="#DIV/0!"/>
    <d v="2024-07-10T00:00:00"/>
    <m/>
    <m/>
    <m/>
    <m/>
    <e v="#DIV/0!"/>
    <n v="10"/>
    <n v="10"/>
    <n v="0"/>
    <n v="10"/>
    <n v="75"/>
    <n v="0"/>
    <n v="0"/>
    <n v="50"/>
    <m/>
    <m/>
    <m/>
    <n v="0"/>
    <n v="29.04"/>
    <n v="16.559999999999999"/>
    <n v="42.97520661157025"/>
    <n v="3.1900826446281001"/>
    <d v="2024-08-05T04:33:43"/>
    <d v="2024-08-05T04:33:43"/>
    <n v="6"/>
    <n v="8.6867999999999999"/>
    <n v="9590"/>
    <n v="14.3"/>
    <n v="10937.636826428034"/>
    <n v="203.32786408103397"/>
    <m/>
    <n v="4.7300000000000004"/>
    <n v="4.6900000000000004"/>
    <x v="77"/>
  </r>
  <r>
    <n v="326"/>
    <n v="3"/>
    <n v="2"/>
    <s v="CDC_Austenson"/>
    <x v="1"/>
    <x v="1"/>
    <n v="59"/>
    <n v="30"/>
    <n v="184.41773725652715"/>
    <n v="64"/>
    <n v="69"/>
    <n v="72"/>
    <n v="71"/>
    <n v="69"/>
    <n v="81"/>
    <n v="96"/>
    <n v="84"/>
    <n v="97"/>
    <n v="89.5"/>
    <n v="102"/>
    <n v="100"/>
    <n v="96"/>
    <n v="92"/>
    <n v="97.5"/>
    <n v="107"/>
    <n v="111"/>
    <n v="110"/>
    <n v="109"/>
    <n v="109.25"/>
    <m/>
    <m/>
    <m/>
    <m/>
    <e v="#DIV/0!"/>
    <m/>
    <m/>
    <m/>
    <m/>
    <e v="#DIV/0!"/>
    <d v="2024-07-09T00:00:00"/>
    <m/>
    <m/>
    <m/>
    <m/>
    <e v="#DIV/0!"/>
    <n v="10"/>
    <n v="35"/>
    <n v="5"/>
    <n v="23.333333333333332"/>
    <n v="40"/>
    <n v="0"/>
    <n v="0"/>
    <n v="26.666666666666668"/>
    <m/>
    <m/>
    <m/>
    <n v="0"/>
    <n v="25.9"/>
    <n v="14.61"/>
    <n v="43.590733590733585"/>
    <n v="3.4362934362934339"/>
    <d v="2024-08-05T10:28:16"/>
    <d v="2024-08-05T10:28:16"/>
    <n v="6"/>
    <n v="8.6867999999999999"/>
    <n v="8740"/>
    <n v="6"/>
    <n v="10933.604397716181"/>
    <n v="203.25290226523668"/>
    <m/>
    <n v="4.95"/>
    <n v="4.8499999999999996"/>
    <x v="78"/>
  </r>
  <r>
    <n v="327"/>
    <n v="3"/>
    <n v="8"/>
    <s v="CDC_Austenson"/>
    <x v="7"/>
    <x v="7"/>
    <n v="45"/>
    <n v="50"/>
    <n v="196.85039370078741"/>
    <n v="60"/>
    <n v="66"/>
    <n v="68"/>
    <n v="63"/>
    <n v="64.25"/>
    <n v="79"/>
    <n v="87"/>
    <n v="82"/>
    <n v="85"/>
    <n v="83.25"/>
    <n v="103"/>
    <n v="104"/>
    <n v="105"/>
    <n v="104"/>
    <n v="104"/>
    <n v="105"/>
    <n v="105"/>
    <n v="110"/>
    <n v="107"/>
    <n v="106.75"/>
    <m/>
    <m/>
    <m/>
    <m/>
    <e v="#DIV/0!"/>
    <m/>
    <m/>
    <m/>
    <m/>
    <e v="#DIV/0!"/>
    <d v="2024-07-09T00:00:00"/>
    <m/>
    <m/>
    <m/>
    <m/>
    <e v="#DIV/0!"/>
    <n v="10"/>
    <n v="10"/>
    <n v="0"/>
    <n v="10"/>
    <n v="0"/>
    <n v="0"/>
    <n v="0"/>
    <n v="0"/>
    <m/>
    <m/>
    <m/>
    <n v="0"/>
    <n v="29.7"/>
    <n v="17.02"/>
    <n v="42.693602693602692"/>
    <n v="3.077441077441077"/>
    <d v="2024-08-05T01:51:31"/>
    <d v="2024-08-05T01:51:31"/>
    <n v="6"/>
    <n v="8.6867999999999999"/>
    <n v="9440"/>
    <n v="10.7"/>
    <n v="11218.828860265299"/>
    <n v="208.55515188954723"/>
    <m/>
    <n v="4.66"/>
    <n v="4.76"/>
    <x v="79"/>
  </r>
  <r>
    <n v="401"/>
    <n v="4"/>
    <n v="23"/>
    <s v="Esma"/>
    <x v="4"/>
    <x v="4"/>
    <n v="49"/>
    <n v="46"/>
    <n v="196.85039370078741"/>
    <n v="64"/>
    <n v="63"/>
    <n v="62"/>
    <n v="62"/>
    <n v="62.75"/>
    <n v="85"/>
    <n v="84"/>
    <n v="81"/>
    <n v="82"/>
    <n v="83"/>
    <n v="84"/>
    <n v="82"/>
    <n v="87"/>
    <n v="81"/>
    <n v="83.5"/>
    <n v="85"/>
    <n v="80"/>
    <n v="80"/>
    <n v="75"/>
    <n v="80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0"/>
    <n v="0"/>
    <n v="0"/>
    <n v="0"/>
    <m/>
    <m/>
    <m/>
    <n v="0"/>
    <n v="23.38"/>
    <n v="14.92"/>
    <n v="36.184773310521813"/>
    <n v="0.473909324208725"/>
    <d v="2024-08-02T11:22:26"/>
    <d v="2024-08-02T11:22:26"/>
    <n v="6"/>
    <n v="8.6867999999999999"/>
    <n v="8119.9999999999991"/>
    <n v="11.3"/>
    <n v="9585.2560565615331"/>
    <n v="178.18745233351567"/>
    <m/>
    <n v="4.59"/>
    <n v="4.76"/>
    <x v="80"/>
  </r>
  <r>
    <n v="402"/>
    <n v="4"/>
    <n v="20"/>
    <s v="Esma"/>
    <x v="1"/>
    <x v="1"/>
    <n v="47"/>
    <n v="42"/>
    <n v="184.41773725652715"/>
    <n v="68"/>
    <n v="66"/>
    <n v="64"/>
    <n v="74"/>
    <n v="68"/>
    <n v="82"/>
    <n v="84"/>
    <n v="85"/>
    <n v="79"/>
    <n v="82.5"/>
    <n v="84"/>
    <n v="86"/>
    <n v="87"/>
    <n v="85"/>
    <n v="85.5"/>
    <n v="85"/>
    <n v="90"/>
    <n v="85"/>
    <n v="85"/>
    <n v="86.25"/>
    <m/>
    <m/>
    <m/>
    <m/>
    <e v="#DIV/0!"/>
    <m/>
    <m/>
    <m/>
    <m/>
    <e v="#DIV/0!"/>
    <d v="2024-07-07T00:00:00"/>
    <m/>
    <m/>
    <m/>
    <m/>
    <e v="#DIV/0!"/>
    <n v="10"/>
    <n v="0"/>
    <n v="0"/>
    <n v="6.666666666666667"/>
    <n v="5"/>
    <n v="0"/>
    <n v="0"/>
    <n v="3.3333333333333335"/>
    <m/>
    <m/>
    <m/>
    <n v="0"/>
    <n v="23.4"/>
    <n v="14.7"/>
    <n v="37.179487179487182"/>
    <n v="0.87179487179487292"/>
    <d v="2024-08-02T20:55:23"/>
    <d v="2024-08-02T20:55:23"/>
    <n v="6"/>
    <n v="8.6867999999999999"/>
    <n v="9040"/>
    <n v="5.4"/>
    <n v="11381.084209621349"/>
    <n v="211.57143723014045"/>
    <m/>
    <n v="5.07"/>
    <n v="5.14"/>
    <x v="81"/>
  </r>
  <r>
    <n v="403"/>
    <n v="4"/>
    <n v="27"/>
    <s v="Esma"/>
    <x v="8"/>
    <x v="8"/>
    <n v="32"/>
    <n v="53"/>
    <n v="176.12929962702032"/>
    <n v="62"/>
    <n v="61"/>
    <n v="63"/>
    <n v="64"/>
    <n v="62.5"/>
    <n v="78"/>
    <n v="78"/>
    <n v="81"/>
    <n v="81"/>
    <n v="79.5"/>
    <n v="88"/>
    <n v="84"/>
    <n v="82"/>
    <n v="80"/>
    <n v="83.5"/>
    <n v="80"/>
    <n v="85"/>
    <n v="85"/>
    <n v="75"/>
    <n v="81.2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0"/>
    <n v="0"/>
    <n v="0"/>
    <n v="0"/>
    <m/>
    <m/>
    <m/>
    <n v="0"/>
    <n v="23.18"/>
    <n v="14.8"/>
    <n v="36.151855047454703"/>
    <n v="0.46074201898188105"/>
    <d v="2024-08-02T11:03:28"/>
    <d v="2024-08-02T11:03:28"/>
    <n v="6"/>
    <n v="8.6867999999999999"/>
    <n v="8430"/>
    <n v="10.6"/>
    <n v="10029.728182364792"/>
    <n v="186.45007518498653"/>
    <m/>
    <n v="5.0599999999999996"/>
    <n v="5.05"/>
    <x v="82"/>
  </r>
  <r>
    <n v="404"/>
    <n v="4"/>
    <n v="25"/>
    <s v="Esma"/>
    <x v="6"/>
    <x v="6"/>
    <n v="38"/>
    <n v="46"/>
    <n v="174.05719021964362"/>
    <n v="64"/>
    <n v="69"/>
    <n v="67"/>
    <n v="64"/>
    <n v="66"/>
    <n v="82"/>
    <n v="81"/>
    <n v="87"/>
    <n v="84"/>
    <n v="83.5"/>
    <n v="82"/>
    <n v="80"/>
    <n v="84"/>
    <n v="85"/>
    <n v="82.75"/>
    <n v="85"/>
    <n v="80"/>
    <n v="75"/>
    <n v="80"/>
    <n v="80"/>
    <m/>
    <m/>
    <m/>
    <m/>
    <e v="#DIV/0!"/>
    <m/>
    <m/>
    <m/>
    <m/>
    <e v="#DIV/0!"/>
    <d v="2024-07-06T00:00:00"/>
    <m/>
    <m/>
    <m/>
    <m/>
    <e v="#DIV/0!"/>
    <n v="5"/>
    <n v="0"/>
    <n v="0"/>
    <n v="3.3333333333333335"/>
    <n v="0"/>
    <n v="0"/>
    <n v="0"/>
    <n v="0"/>
    <m/>
    <m/>
    <m/>
    <n v="0"/>
    <n v="23.8"/>
    <n v="14.57"/>
    <n v="38.781512605042018"/>
    <n v="1.5126050420168071"/>
    <d v="2024-08-03T12:18:09"/>
    <d v="2024-08-03T12:18:09"/>
    <n v="6"/>
    <n v="8.6867999999999999"/>
    <n v="8800"/>
    <n v="5.3"/>
    <n v="11090.642875603435"/>
    <n v="206.17220730288437"/>
    <m/>
    <n v="5.09"/>
    <n v="5.16"/>
    <x v="83"/>
  </r>
  <r>
    <n v="405"/>
    <n v="4"/>
    <n v="24"/>
    <s v="Esma"/>
    <x v="5"/>
    <x v="5"/>
    <n v="47"/>
    <n v="47"/>
    <n v="194.77828429341071"/>
    <n v="70"/>
    <n v="70"/>
    <n v="68"/>
    <n v="65"/>
    <n v="68.25"/>
    <n v="83"/>
    <n v="77"/>
    <n v="78"/>
    <n v="81"/>
    <n v="79.75"/>
    <n v="78"/>
    <n v="77"/>
    <n v="75"/>
    <n v="76"/>
    <n v="76.5"/>
    <n v="80"/>
    <n v="75"/>
    <n v="75"/>
    <n v="75"/>
    <n v="76.25"/>
    <m/>
    <m/>
    <m/>
    <m/>
    <e v="#DIV/0!"/>
    <m/>
    <m/>
    <m/>
    <m/>
    <e v="#DIV/0!"/>
    <d v="2024-07-07T00:00:00"/>
    <m/>
    <m/>
    <m/>
    <m/>
    <e v="#DIV/0!"/>
    <n v="0"/>
    <n v="0"/>
    <n v="0"/>
    <n v="0"/>
    <n v="6"/>
    <n v="0"/>
    <n v="0"/>
    <n v="4"/>
    <m/>
    <m/>
    <m/>
    <n v="0"/>
    <n v="21.8"/>
    <n v="13.55"/>
    <n v="37.844036697247709"/>
    <n v="1.1376146788990837"/>
    <d v="2024-08-03T03:18:10"/>
    <d v="2024-08-03T03:18:10"/>
    <n v="6"/>
    <n v="8.6867999999999999"/>
    <n v="8360"/>
    <n v="10.3"/>
    <n v="9979.8218864260471"/>
    <n v="185.52232993997137"/>
    <m/>
    <n v="5.08"/>
    <n v="4.8600000000000003"/>
    <x v="84"/>
  </r>
  <r>
    <n v="406"/>
    <n v="4"/>
    <n v="22"/>
    <s v="Esma"/>
    <x v="3"/>
    <x v="3"/>
    <n v="36"/>
    <n v="51"/>
    <n v="180.27351844177375"/>
    <n v="64"/>
    <n v="60"/>
    <n v="63"/>
    <n v="44"/>
    <n v="57.75"/>
    <n v="76"/>
    <n v="80"/>
    <n v="81"/>
    <n v="87"/>
    <n v="81"/>
    <n v="86"/>
    <n v="83"/>
    <n v="82"/>
    <n v="81"/>
    <n v="83"/>
    <n v="90"/>
    <n v="85"/>
    <n v="80"/>
    <n v="80"/>
    <n v="83.75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10"/>
    <n v="0"/>
    <n v="0"/>
    <n v="6.666666666666667"/>
    <m/>
    <m/>
    <m/>
    <n v="0"/>
    <n v="23.8"/>
    <n v="15.22"/>
    <n v="36.050420168067227"/>
    <n v="0.42016806722689071"/>
    <d v="2024-08-02T10:05:03"/>
    <d v="2024-08-02T10:05:03"/>
    <n v="6"/>
    <n v="8.6867999999999999"/>
    <n v="8540"/>
    <n v="10.6"/>
    <n v="10160.602452834557"/>
    <n v="188.8829943155142"/>
    <m/>
    <n v="5"/>
    <n v="5.07"/>
    <x v="85"/>
  </r>
  <r>
    <n v="407"/>
    <n v="4"/>
    <n v="19"/>
    <s v="Esma"/>
    <x v="0"/>
    <x v="0"/>
    <n v="36"/>
    <n v="49"/>
    <n v="176.12929962702032"/>
    <n v="65"/>
    <n v="64"/>
    <n v="64"/>
    <n v="69"/>
    <n v="65.5"/>
    <n v="80"/>
    <n v="82"/>
    <n v="82"/>
    <n v="75"/>
    <n v="79.75"/>
    <n v="84"/>
    <n v="83"/>
    <n v="82"/>
    <n v="84"/>
    <n v="83.25"/>
    <n v="85"/>
    <n v="80"/>
    <n v="80"/>
    <n v="90"/>
    <n v="83.75"/>
    <m/>
    <m/>
    <m/>
    <m/>
    <e v="#DIV/0!"/>
    <m/>
    <m/>
    <m/>
    <m/>
    <e v="#DIV/0!"/>
    <d v="2024-07-06T00:00:00"/>
    <m/>
    <m/>
    <m/>
    <m/>
    <e v="#DIV/0!"/>
    <n v="5"/>
    <n v="0"/>
    <n v="0"/>
    <n v="3.3333333333333335"/>
    <n v="0"/>
    <n v="0"/>
    <n v="0"/>
    <n v="0"/>
    <m/>
    <m/>
    <m/>
    <n v="0"/>
    <n v="23.6"/>
    <n v="15.42"/>
    <n v="34.661016949152547"/>
    <n v="-0.13559322033898127"/>
    <d v="2024-08-01T20:44:45"/>
    <d v="2024-08-01T20:44:45"/>
    <n v="6"/>
    <n v="8.6867999999999999"/>
    <n v="8900"/>
    <n v="5.4"/>
    <n v="11204.828480711283"/>
    <n v="208.29488842347899"/>
    <m/>
    <n v="5.8"/>
    <n v="5.24"/>
    <x v="86"/>
  </r>
  <r>
    <n v="408"/>
    <n v="4"/>
    <n v="26"/>
    <s v="Esma"/>
    <x v="7"/>
    <x v="7"/>
    <n v="44"/>
    <n v="46"/>
    <n v="186.48984666390388"/>
    <n v="70"/>
    <n v="67"/>
    <n v="70"/>
    <n v="69"/>
    <n v="69"/>
    <n v="84"/>
    <n v="81"/>
    <n v="87"/>
    <n v="85"/>
    <n v="84.25"/>
    <n v="82"/>
    <n v="85"/>
    <n v="81"/>
    <n v="88"/>
    <n v="84"/>
    <n v="80"/>
    <n v="80"/>
    <n v="80"/>
    <n v="85"/>
    <n v="81.25"/>
    <m/>
    <m/>
    <m/>
    <m/>
    <e v="#DIV/0!"/>
    <m/>
    <m/>
    <m/>
    <m/>
    <e v="#DIV/0!"/>
    <d v="2024-07-06T00:00:00"/>
    <m/>
    <m/>
    <m/>
    <m/>
    <e v="#DIV/0!"/>
    <n v="10"/>
    <n v="0"/>
    <n v="0"/>
    <n v="6.666666666666667"/>
    <n v="50"/>
    <n v="0"/>
    <n v="0"/>
    <n v="33.333333333333336"/>
    <m/>
    <m/>
    <m/>
    <n v="0"/>
    <n v="21.26"/>
    <n v="13.53"/>
    <n v="36.359360301034812"/>
    <n v="0.54374412041392473"/>
    <d v="2024-08-02T13:02:59"/>
    <d v="2024-08-02T13:02:59"/>
    <n v="6"/>
    <n v="8.6867999999999999"/>
    <n v="9140"/>
    <n v="5.6"/>
    <n v="11482.653503115886"/>
    <n v="213.4595843527953"/>
    <m/>
    <n v="5.36"/>
    <n v="5.2"/>
    <x v="87"/>
  </r>
  <r>
    <n v="409"/>
    <n v="4"/>
    <n v="21"/>
    <s v="Esma"/>
    <x v="2"/>
    <x v="2"/>
    <n v="50"/>
    <n v="62"/>
    <n v="232.07625362619149"/>
    <n v="63"/>
    <n v="66"/>
    <n v="64"/>
    <n v="65"/>
    <n v="64.5"/>
    <n v="72"/>
    <n v="85"/>
    <n v="84"/>
    <n v="86"/>
    <n v="81.75"/>
    <n v="82"/>
    <n v="83"/>
    <n v="85"/>
    <n v="80"/>
    <n v="82.5"/>
    <n v="80"/>
    <n v="85"/>
    <n v="85"/>
    <n v="80"/>
    <n v="82.5"/>
    <m/>
    <m/>
    <m/>
    <m/>
    <e v="#DIV/0!"/>
    <m/>
    <m/>
    <m/>
    <m/>
    <e v="#DIV/0!"/>
    <d v="2024-07-06T00:00:00"/>
    <m/>
    <m/>
    <m/>
    <m/>
    <e v="#DIV/0!"/>
    <n v="10"/>
    <n v="0"/>
    <n v="0"/>
    <n v="6.666666666666667"/>
    <n v="50"/>
    <n v="0"/>
    <n v="0"/>
    <n v="33.333333333333336"/>
    <m/>
    <m/>
    <m/>
    <n v="0"/>
    <n v="22.2"/>
    <n v="14.37"/>
    <n v="35.270270270270274"/>
    <n v="0.10810810810810949"/>
    <d v="2024-08-02T02:35:41"/>
    <d v="2024-08-02T02:35:41"/>
    <n v="6"/>
    <n v="8.6867999999999999"/>
    <n v="8380"/>
    <n v="9.4"/>
    <n v="10104.068600795146"/>
    <n v="187.83204450196104"/>
    <m/>
    <n v="4.7699999999999996"/>
    <n v="5.15"/>
    <x v="88"/>
  </r>
  <r>
    <n v="410"/>
    <n v="4"/>
    <n v="7"/>
    <s v="CDC_Austenson"/>
    <x v="6"/>
    <x v="6"/>
    <n v="42"/>
    <n v="48"/>
    <n v="186.48984666390388"/>
    <n v="72"/>
    <n v="66"/>
    <n v="63"/>
    <n v="46"/>
    <n v="61.75"/>
    <n v="73"/>
    <n v="72"/>
    <n v="82"/>
    <n v="88"/>
    <n v="78.75"/>
    <n v="89"/>
    <n v="98"/>
    <n v="93"/>
    <n v="89"/>
    <n v="92.25"/>
    <n v="95"/>
    <n v="90"/>
    <n v="90"/>
    <n v="85"/>
    <n v="90"/>
    <m/>
    <m/>
    <m/>
    <m/>
    <e v="#DIV/0!"/>
    <m/>
    <m/>
    <m/>
    <m/>
    <e v="#DIV/0!"/>
    <d v="2024-07-08T00:00:00"/>
    <m/>
    <m/>
    <m/>
    <m/>
    <e v="#DIV/0!"/>
    <n v="10"/>
    <n v="0"/>
    <n v="0"/>
    <n v="6.666666666666667"/>
    <n v="25"/>
    <n v="0"/>
    <n v="0"/>
    <n v="16.666666666666668"/>
    <m/>
    <m/>
    <m/>
    <n v="0"/>
    <n v="26.56"/>
    <n v="15.78"/>
    <n v="40.587349397590359"/>
    <n v="2.2349397590361435"/>
    <d v="2024-08-04T05:38:19"/>
    <d v="2024-08-04T05:38:19"/>
    <n v="6"/>
    <n v="8.6867999999999999"/>
    <n v="8600"/>
    <n v="11.5"/>
    <n v="10128.98182372777"/>
    <n v="188.29517492827267"/>
    <m/>
    <n v="4.79"/>
    <n v="4.6900000000000004"/>
    <x v="89"/>
  </r>
  <r>
    <n v="411"/>
    <n v="4"/>
    <n v="9"/>
    <s v="CDC_Austenson"/>
    <x v="8"/>
    <x v="8"/>
    <n v="43"/>
    <n v="47"/>
    <n v="186.48984666390388"/>
    <n v="67"/>
    <n v="63"/>
    <n v="66"/>
    <n v="62"/>
    <n v="64.5"/>
    <n v="86"/>
    <n v="80"/>
    <n v="81"/>
    <n v="81"/>
    <n v="82"/>
    <n v="89"/>
    <n v="87"/>
    <n v="95"/>
    <n v="98"/>
    <n v="92.25"/>
    <n v="90"/>
    <n v="90"/>
    <n v="85"/>
    <n v="110"/>
    <n v="93.75"/>
    <m/>
    <m/>
    <m/>
    <m/>
    <e v="#DIV/0!"/>
    <m/>
    <m/>
    <m/>
    <m/>
    <e v="#DIV/0!"/>
    <d v="2024-07-10T00:00:00"/>
    <m/>
    <m/>
    <m/>
    <m/>
    <e v="#DIV/0!"/>
    <n v="15"/>
    <n v="0"/>
    <n v="0"/>
    <n v="10"/>
    <n v="25"/>
    <n v="0"/>
    <n v="0"/>
    <n v="16.666666666666668"/>
    <m/>
    <m/>
    <m/>
    <n v="0"/>
    <n v="30.2"/>
    <n v="17.66"/>
    <n v="41.523178807947019"/>
    <n v="2.6092715231788075"/>
    <d v="2024-08-04T14:37:21"/>
    <d v="2024-08-04T14:37:21"/>
    <n v="6"/>
    <n v="8.6867999999999999"/>
    <n v="8310"/>
    <n v="10.9"/>
    <n v="9853.7785454031527"/>
    <n v="183.17921654916117"/>
    <m/>
    <n v="4.6399999999999997"/>
    <n v="4.78"/>
    <x v="90"/>
  </r>
  <r>
    <n v="412"/>
    <n v="4"/>
    <n v="6"/>
    <s v="CDC_Austenson"/>
    <x v="5"/>
    <x v="5"/>
    <n v="44"/>
    <n v="43"/>
    <n v="180.27351844177375"/>
    <n v="68"/>
    <n v="68"/>
    <n v="58"/>
    <n v="65"/>
    <n v="64.75"/>
    <n v="91"/>
    <n v="91"/>
    <n v="101"/>
    <n v="98"/>
    <n v="95.25"/>
    <n v="102"/>
    <n v="101"/>
    <n v="104"/>
    <n v="100"/>
    <n v="101.75"/>
    <n v="110"/>
    <n v="95"/>
    <n v="95"/>
    <n v="95"/>
    <n v="98.75"/>
    <m/>
    <m/>
    <m/>
    <m/>
    <e v="#DIV/0!"/>
    <m/>
    <m/>
    <m/>
    <m/>
    <e v="#DIV/0!"/>
    <d v="2024-07-07T00:00:00"/>
    <m/>
    <m/>
    <m/>
    <m/>
    <e v="#DIV/0!"/>
    <n v="25"/>
    <n v="0"/>
    <n v="0"/>
    <n v="16.666666666666668"/>
    <n v="50"/>
    <n v="0"/>
    <n v="0"/>
    <n v="33.333333333333336"/>
    <m/>
    <m/>
    <m/>
    <n v="0"/>
    <n v="23.6"/>
    <n v="14.72"/>
    <n v="37.627118644067799"/>
    <n v="1.0508474576271198"/>
    <d v="2024-08-03T01:13:13"/>
    <d v="2024-08-03T01:13:13"/>
    <n v="6"/>
    <n v="8.6867999999999999"/>
    <n v="7790"/>
    <n v="11.6"/>
    <n v="9164.6058693530358"/>
    <n v="170.36767321233208"/>
    <m/>
    <n v="4.93"/>
    <n v="5.03"/>
    <x v="91"/>
  </r>
  <r>
    <n v="413"/>
    <n v="4"/>
    <n v="4"/>
    <s v="CDC_Austenson"/>
    <x v="3"/>
    <x v="3"/>
    <n v="38"/>
    <n v="54"/>
    <n v="190.63406547865728"/>
    <n v="71"/>
    <n v="58"/>
    <n v="68"/>
    <n v="70"/>
    <n v="66.75"/>
    <n v="87"/>
    <n v="83"/>
    <n v="90"/>
    <n v="94"/>
    <n v="88.5"/>
    <n v="85"/>
    <n v="87"/>
    <n v="86"/>
    <n v="91"/>
    <n v="87.25"/>
    <n v="90"/>
    <n v="95"/>
    <n v="95"/>
    <n v="95"/>
    <n v="93.75"/>
    <m/>
    <m/>
    <m/>
    <m/>
    <e v="#DIV/0!"/>
    <m/>
    <m/>
    <m/>
    <m/>
    <e v="#DIV/0!"/>
    <d v="2024-07-10T00:00:00"/>
    <m/>
    <m/>
    <m/>
    <m/>
    <e v="#DIV/0!"/>
    <n v="10"/>
    <n v="0"/>
    <n v="0"/>
    <n v="6.666666666666667"/>
    <n v="0"/>
    <n v="0"/>
    <n v="0"/>
    <n v="0"/>
    <m/>
    <m/>
    <m/>
    <n v="0"/>
    <n v="24.75"/>
    <n v="14.65"/>
    <n v="40.808080808080803"/>
    <n v="2.3232323232323209"/>
    <d v="2024-08-04T07:45:27"/>
    <d v="2024-08-04T07:45:27"/>
    <n v="6"/>
    <n v="8.6867999999999999"/>
    <n v="7920"/>
    <n v="10.7"/>
    <n v="9412.4072641208877"/>
    <n v="174.97423760224726"/>
    <m/>
    <n v="5.09"/>
    <n v="4.78"/>
    <x v="92"/>
  </r>
  <r>
    <n v="414"/>
    <n v="4"/>
    <n v="8"/>
    <s v="CDC_Austenson"/>
    <x v="7"/>
    <x v="7"/>
    <n v="46"/>
    <n v="39"/>
    <n v="176.12929962702032"/>
    <n v="62"/>
    <n v="55"/>
    <n v="51"/>
    <n v="50"/>
    <n v="54.5"/>
    <n v="90"/>
    <n v="87"/>
    <n v="76"/>
    <n v="85"/>
    <n v="84.5"/>
    <n v="92"/>
    <n v="99"/>
    <n v="99"/>
    <n v="89"/>
    <n v="94.75"/>
    <n v="90"/>
    <n v="95"/>
    <n v="95"/>
    <n v="90"/>
    <n v="92.5"/>
    <m/>
    <m/>
    <m/>
    <m/>
    <e v="#DIV/0!"/>
    <m/>
    <m/>
    <m/>
    <m/>
    <e v="#DIV/0!"/>
    <d v="2024-07-08T00:00:00"/>
    <m/>
    <m/>
    <m/>
    <m/>
    <e v="#DIV/0!"/>
    <n v="35"/>
    <n v="0"/>
    <n v="0"/>
    <n v="23.333333333333332"/>
    <n v="40"/>
    <n v="0"/>
    <n v="0"/>
    <n v="26.666666666666668"/>
    <m/>
    <m/>
    <m/>
    <n v="0"/>
    <n v="27"/>
    <n v="16.36"/>
    <n v="39.407407407407405"/>
    <n v="1.762962962962962"/>
    <d v="2024-08-03T18:18:40"/>
    <d v="2024-08-03T18:18:40"/>
    <n v="6"/>
    <n v="8.6867999999999999"/>
    <n v="8270"/>
    <n v="11.7"/>
    <n v="9718.2995873614364"/>
    <n v="180.66069745736004"/>
    <m/>
    <n v="4.7"/>
    <n v="4.83"/>
    <x v="93"/>
  </r>
  <r>
    <n v="415"/>
    <n v="4"/>
    <n v="5"/>
    <s v="CDC_Austenson"/>
    <x v="4"/>
    <x v="4"/>
    <n v="39"/>
    <n v="52"/>
    <n v="188.56195607128058"/>
    <n v="55"/>
    <n v="57"/>
    <n v="61"/>
    <n v="55"/>
    <n v="57"/>
    <n v="82"/>
    <n v="76"/>
    <n v="85"/>
    <n v="80"/>
    <n v="80.75"/>
    <n v="91"/>
    <n v="87"/>
    <n v="88"/>
    <n v="90"/>
    <n v="89"/>
    <n v="90"/>
    <n v="95"/>
    <n v="100"/>
    <n v="110"/>
    <n v="98.75"/>
    <m/>
    <m/>
    <m/>
    <m/>
    <e v="#DIV/0!"/>
    <m/>
    <m/>
    <m/>
    <m/>
    <e v="#DIV/0!"/>
    <d v="2024-07-10T00:00:00"/>
    <m/>
    <m/>
    <m/>
    <m/>
    <e v="#DIV/0!"/>
    <n v="25"/>
    <n v="0"/>
    <n v="0"/>
    <n v="16.666666666666668"/>
    <n v="40"/>
    <n v="0"/>
    <n v="0"/>
    <n v="26.666666666666668"/>
    <m/>
    <m/>
    <m/>
    <n v="0"/>
    <n v="25.8"/>
    <n v="14.66"/>
    <n v="43.178294573643413"/>
    <n v="3.2713178294573653"/>
    <d v="2024-08-05T06:30:42"/>
    <d v="2024-08-05T06:30:42"/>
    <n v="6"/>
    <n v="8.6867999999999999"/>
    <n v="8140.0000000000009"/>
    <n v="11.9"/>
    <n v="9543.8671017963352"/>
    <n v="177.41804227698316"/>
    <m/>
    <n v="4.68"/>
    <n v="4.95"/>
    <x v="94"/>
  </r>
  <r>
    <n v="416"/>
    <n v="4"/>
    <n v="3"/>
    <s v="CDC_Austenson"/>
    <x v="2"/>
    <x v="2"/>
    <n v="42"/>
    <n v="50"/>
    <n v="190.63406547865728"/>
    <n v="67"/>
    <n v="63"/>
    <n v="57"/>
    <n v="59"/>
    <n v="61.5"/>
    <n v="92"/>
    <n v="94"/>
    <n v="87"/>
    <n v="81"/>
    <n v="88.5"/>
    <n v="95"/>
    <n v="94"/>
    <n v="96"/>
    <n v="95"/>
    <n v="95"/>
    <n v="90"/>
    <n v="100"/>
    <n v="110"/>
    <n v="95"/>
    <n v="98.75"/>
    <m/>
    <m/>
    <m/>
    <m/>
    <e v="#DIV/0!"/>
    <m/>
    <m/>
    <m/>
    <m/>
    <e v="#DIV/0!"/>
    <d v="2024-07-08T00:00:00"/>
    <m/>
    <m/>
    <m/>
    <m/>
    <e v="#DIV/0!"/>
    <n v="10"/>
    <n v="0"/>
    <n v="0"/>
    <n v="6.666666666666667"/>
    <n v="2"/>
    <n v="0"/>
    <n v="0"/>
    <n v="1.3333333333333333"/>
    <m/>
    <m/>
    <m/>
    <n v="0"/>
    <n v="27.1"/>
    <n v="16.079999999999998"/>
    <n v="40.664206642066432"/>
    <n v="2.2656826568265727"/>
    <d v="2024-08-04T06:22:35"/>
    <d v="2024-08-04T06:22:35"/>
    <n v="6"/>
    <n v="8.6867999999999999"/>
    <n v="7940"/>
    <n v="11.5"/>
    <n v="9351.6413581858706"/>
    <n v="173.84461499191681"/>
    <m/>
    <n v="5.2"/>
    <n v="5.3"/>
    <x v="95"/>
  </r>
  <r>
    <n v="417"/>
    <n v="4"/>
    <n v="2"/>
    <s v="CDC_Austenson"/>
    <x v="1"/>
    <x v="1"/>
    <n v="52"/>
    <n v="50"/>
    <n v="211.35515955242437"/>
    <n v="55"/>
    <n v="59"/>
    <n v="70"/>
    <n v="55"/>
    <n v="59.75"/>
    <n v="88"/>
    <n v="80"/>
    <n v="92"/>
    <n v="87"/>
    <n v="86.75"/>
    <n v="97"/>
    <n v="101"/>
    <n v="102"/>
    <n v="100"/>
    <n v="100"/>
    <n v="95"/>
    <n v="110"/>
    <n v="100"/>
    <n v="90"/>
    <n v="98.75"/>
    <m/>
    <m/>
    <m/>
    <m/>
    <e v="#DIV/0!"/>
    <m/>
    <m/>
    <m/>
    <m/>
    <e v="#DIV/0!"/>
    <d v="2024-07-09T00:00:00"/>
    <m/>
    <m/>
    <m/>
    <m/>
    <e v="#DIV/0!"/>
    <n v="15"/>
    <n v="0"/>
    <n v="0"/>
    <n v="10"/>
    <n v="0"/>
    <n v="0"/>
    <n v="0"/>
    <n v="0"/>
    <m/>
    <m/>
    <m/>
    <n v="0"/>
    <n v="27.6"/>
    <n v="16.11"/>
    <n v="41.630434782608702"/>
    <n v="2.6521739130434812"/>
    <d v="2024-08-04T15:39:08"/>
    <d v="2024-08-04T15:39:08"/>
    <n v="6"/>
    <n v="8.6867999999999999"/>
    <n v="8400"/>
    <n v="6.2"/>
    <n v="10485.911652281677"/>
    <n v="194.93040892062092"/>
    <m/>
    <n v="5.0599999999999996"/>
    <n v="5.05"/>
    <x v="96"/>
  </r>
  <r>
    <n v="418"/>
    <n v="4"/>
    <n v="1"/>
    <s v="CDC_Austenson"/>
    <x v="0"/>
    <x v="0"/>
    <n v="47"/>
    <n v="46"/>
    <n v="192.70617488603401"/>
    <n v="67"/>
    <n v="72"/>
    <n v="64"/>
    <n v="58"/>
    <n v="65.25"/>
    <n v="82"/>
    <n v="85"/>
    <n v="98"/>
    <n v="87"/>
    <n v="88"/>
    <n v="99"/>
    <n v="101"/>
    <n v="105"/>
    <n v="101"/>
    <n v="101.5"/>
    <n v="100"/>
    <n v="110"/>
    <n v="110"/>
    <n v="95"/>
    <n v="103.75"/>
    <m/>
    <m/>
    <m/>
    <m/>
    <e v="#DIV/0!"/>
    <m/>
    <m/>
    <m/>
    <m/>
    <e v="#DIV/0!"/>
    <d v="2024-07-07T00:00:00"/>
    <m/>
    <m/>
    <m/>
    <m/>
    <e v="#DIV/0!"/>
    <n v="10"/>
    <n v="0"/>
    <n v="0"/>
    <n v="6.666666666666667"/>
    <n v="0"/>
    <n v="0"/>
    <n v="0"/>
    <n v="0"/>
    <m/>
    <m/>
    <m/>
    <n v="0"/>
    <n v="27.3"/>
    <n v="16.059999999999999"/>
    <n v="41.172161172161175"/>
    <n v="2.4688644688644699"/>
    <d v="2024-08-04T11:15:10"/>
    <d v="2024-08-04T11:15:10"/>
    <n v="6"/>
    <n v="8.6867999999999999"/>
    <n v="8380"/>
    <n v="13.1"/>
    <n v="9691.4300376280153"/>
    <n v="180.16119941744387"/>
    <m/>
    <n v="5.04"/>
    <n v="5.23"/>
    <x v="97"/>
  </r>
  <r>
    <n v="419"/>
    <n v="4"/>
    <n v="13"/>
    <s v="AB_Hague"/>
    <x v="3"/>
    <x v="3"/>
    <n v="49"/>
    <n v="45"/>
    <n v="194.77828429341071"/>
    <n v="70"/>
    <n v="74"/>
    <n v="76"/>
    <n v="72"/>
    <n v="73"/>
    <n v="97"/>
    <n v="99"/>
    <n v="88"/>
    <n v="89"/>
    <n v="93.25"/>
    <n v="95"/>
    <n v="97"/>
    <n v="98"/>
    <n v="97"/>
    <n v="96.75"/>
    <n v="95"/>
    <n v="100"/>
    <n v="105"/>
    <n v="100"/>
    <n v="100"/>
    <m/>
    <m/>
    <m/>
    <m/>
    <e v="#DIV/0!"/>
    <m/>
    <m/>
    <m/>
    <m/>
    <e v="#DIV/0!"/>
    <d v="2024-07-07T00:00:00"/>
    <m/>
    <m/>
    <m/>
    <m/>
    <e v="#DIV/0!"/>
    <n v="5"/>
    <n v="0"/>
    <n v="0"/>
    <n v="3.3333333333333335"/>
    <n v="0"/>
    <n v="0"/>
    <n v="0"/>
    <n v="0"/>
    <m/>
    <m/>
    <m/>
    <n v="0"/>
    <n v="22.84"/>
    <n v="15.04"/>
    <n v="34.150612959719794"/>
    <n v="-0.33975481611208236"/>
    <d v="2024-08-01T15:50:45"/>
    <d v="2024-08-01T15:50:45"/>
    <n v="6"/>
    <n v="8.6867999999999999"/>
    <n v="8220"/>
    <n v="12.5"/>
    <n v="9572.027561051369"/>
    <n v="177.94153799390364"/>
    <m/>
    <n v="4.72"/>
    <n v="5.09"/>
    <x v="98"/>
  </r>
  <r>
    <n v="420"/>
    <n v="4"/>
    <n v="10"/>
    <s v="AB_Hague"/>
    <x v="0"/>
    <x v="0"/>
    <n v="49"/>
    <n v="38"/>
    <n v="180.27351844177375"/>
    <n v="75"/>
    <n v="68"/>
    <n v="78"/>
    <n v="74"/>
    <n v="73.75"/>
    <n v="87"/>
    <n v="99"/>
    <n v="97"/>
    <n v="103"/>
    <n v="96.5"/>
    <n v="102"/>
    <n v="101"/>
    <n v="98"/>
    <n v="100"/>
    <n v="100.25"/>
    <n v="100"/>
    <n v="105"/>
    <n v="105"/>
    <n v="100"/>
    <n v="102.5"/>
    <m/>
    <m/>
    <m/>
    <m/>
    <e v="#DIV/0!"/>
    <m/>
    <m/>
    <m/>
    <m/>
    <e v="#DIV/0!"/>
    <d v="2024-07-06T00:00:00"/>
    <m/>
    <m/>
    <m/>
    <m/>
    <e v="#DIV/0!"/>
    <n v="40"/>
    <n v="0"/>
    <n v="0"/>
    <n v="26.666666666666668"/>
    <n v="0"/>
    <n v="0"/>
    <n v="0"/>
    <n v="0"/>
    <m/>
    <m/>
    <m/>
    <n v="0"/>
    <n v="28.99"/>
    <n v="15.86"/>
    <n v="45.291479820627799"/>
    <n v="4.1165919282511201"/>
    <d v="2024-08-06T02:47:54"/>
    <d v="2024-08-06T02:47:54"/>
    <n v="6"/>
    <n v="8.6867999999999999"/>
    <n v="8280"/>
    <n v="12.2"/>
    <n v="9674.9543057954379"/>
    <n v="179.85491978722288"/>
    <m/>
    <n v="4.63"/>
    <n v="4.67"/>
    <x v="99"/>
  </r>
  <r>
    <n v="421"/>
    <n v="4"/>
    <n v="16"/>
    <s v="AB_Hague"/>
    <x v="6"/>
    <x v="6"/>
    <n v="42"/>
    <n v="51"/>
    <n v="192.70617488603401"/>
    <n v="74"/>
    <n v="72"/>
    <n v="70"/>
    <n v="69"/>
    <n v="71.25"/>
    <n v="90"/>
    <n v="92"/>
    <n v="89"/>
    <n v="90"/>
    <n v="90.25"/>
    <n v="95"/>
    <n v="99"/>
    <n v="98"/>
    <n v="96"/>
    <n v="97"/>
    <n v="100"/>
    <n v="95"/>
    <n v="100"/>
    <n v="100"/>
    <n v="98.75"/>
    <m/>
    <m/>
    <m/>
    <m/>
    <e v="#DIV/0!"/>
    <m/>
    <m/>
    <m/>
    <m/>
    <e v="#DIV/0!"/>
    <d v="2024-07-07T00:00:00"/>
    <m/>
    <m/>
    <m/>
    <m/>
    <e v="#DIV/0!"/>
    <n v="30"/>
    <n v="0"/>
    <n v="0"/>
    <n v="20"/>
    <n v="0"/>
    <n v="0"/>
    <n v="0"/>
    <n v="0"/>
    <m/>
    <m/>
    <m/>
    <n v="0"/>
    <n v="24.1"/>
    <n v="13.56"/>
    <n v="43.734439834024897"/>
    <n v="3.493775933609959"/>
    <d v="2024-08-05T11:51:02"/>
    <d v="2024-08-05T11:51:02"/>
    <n v="6"/>
    <n v="8.6867999999999999"/>
    <n v="8380"/>
    <n v="12.8"/>
    <n v="9724.8872184253523"/>
    <n v="180.78315982970204"/>
    <m/>
    <n v="4.4400000000000004"/>
    <n v="4.2699999999999996"/>
    <x v="100"/>
  </r>
  <r>
    <n v="422"/>
    <n v="4"/>
    <n v="14"/>
    <s v="AB_Hague"/>
    <x v="4"/>
    <x v="4"/>
    <n v="45"/>
    <n v="56"/>
    <n v="209.28305014504767"/>
    <n v="68"/>
    <n v="66"/>
    <n v="70"/>
    <n v="68"/>
    <n v="68"/>
    <n v="98"/>
    <n v="97"/>
    <n v="92"/>
    <n v="93"/>
    <n v="95"/>
    <n v="94"/>
    <n v="97"/>
    <n v="96"/>
    <n v="99"/>
    <n v="96.5"/>
    <n v="95"/>
    <n v="100"/>
    <n v="105"/>
    <n v="100"/>
    <n v="100"/>
    <m/>
    <m/>
    <m/>
    <m/>
    <e v="#DIV/0!"/>
    <m/>
    <m/>
    <m/>
    <m/>
    <e v="#DIV/0!"/>
    <d v="2024-07-07T00:00:00"/>
    <m/>
    <m/>
    <m/>
    <m/>
    <e v="#DIV/0!"/>
    <n v="20"/>
    <n v="0"/>
    <n v="0"/>
    <n v="13.333333333333334"/>
    <n v="0"/>
    <n v="0"/>
    <n v="0"/>
    <n v="0"/>
    <m/>
    <m/>
    <m/>
    <n v="0"/>
    <n v="21.3"/>
    <n v="13.19"/>
    <n v="38.075117370892023"/>
    <n v="1.2300469483568093"/>
    <d v="2024-08-03T05:31:16"/>
    <d v="2024-08-03T05:31:16"/>
    <n v="6"/>
    <n v="8.6867999999999999"/>
    <n v="8460"/>
    <n v="11.4"/>
    <n v="9975.3502823099352"/>
    <n v="185.43920396601803"/>
    <m/>
    <n v="4.37"/>
    <n v="4.4000000000000004"/>
    <x v="101"/>
  </r>
  <r>
    <n v="423"/>
    <n v="4"/>
    <n v="15"/>
    <s v="AB_Hague"/>
    <x v="5"/>
    <x v="5"/>
    <n v="45"/>
    <n v="39"/>
    <n v="174.05719021964362"/>
    <n v="78"/>
    <n v="80"/>
    <n v="85"/>
    <n v="80"/>
    <n v="80.75"/>
    <n v="99"/>
    <n v="96"/>
    <n v="92"/>
    <n v="87"/>
    <n v="93.5"/>
    <n v="95"/>
    <n v="98"/>
    <n v="98"/>
    <n v="97"/>
    <n v="97"/>
    <n v="100"/>
    <n v="95"/>
    <n v="100"/>
    <n v="100"/>
    <n v="98.75"/>
    <m/>
    <m/>
    <m/>
    <m/>
    <e v="#DIV/0!"/>
    <m/>
    <m/>
    <m/>
    <m/>
    <e v="#DIV/0!"/>
    <d v="2024-07-08T00:00:00"/>
    <m/>
    <m/>
    <m/>
    <m/>
    <e v="#DIV/0!"/>
    <n v="0"/>
    <n v="0"/>
    <n v="0"/>
    <n v="0"/>
    <n v="0"/>
    <n v="0"/>
    <n v="0"/>
    <n v="0"/>
    <m/>
    <m/>
    <m/>
    <n v="0"/>
    <n v="24.59"/>
    <n v="14.51"/>
    <n v="40.99227328182188"/>
    <n v="2.3969093127287522"/>
    <d v="2024-08-04T09:31:33"/>
    <d v="2024-08-04T09:31:33"/>
    <n v="6"/>
    <n v="8.6867999999999999"/>
    <n v="8210"/>
    <n v="11.9"/>
    <n v="9625.9396690107988"/>
    <n v="178.94375025725202"/>
    <m/>
    <n v="4.4000000000000004"/>
    <n v="4.43"/>
    <x v="102"/>
  </r>
  <r>
    <n v="424"/>
    <n v="4"/>
    <n v="12"/>
    <s v="AB_Hague"/>
    <x v="2"/>
    <x v="2"/>
    <n v="44"/>
    <n v="50"/>
    <n v="194.77828429341071"/>
    <n v="71"/>
    <n v="78"/>
    <n v="74"/>
    <n v="75"/>
    <n v="74.5"/>
    <n v="101"/>
    <n v="104"/>
    <n v="98"/>
    <n v="102"/>
    <n v="101.25"/>
    <n v="104"/>
    <n v="105"/>
    <n v="104"/>
    <n v="104"/>
    <n v="104.25"/>
    <n v="100"/>
    <n v="110"/>
    <n v="100"/>
    <n v="110"/>
    <n v="105"/>
    <m/>
    <m/>
    <m/>
    <m/>
    <e v="#DIV/0!"/>
    <m/>
    <m/>
    <m/>
    <m/>
    <e v="#DIV/0!"/>
    <d v="2024-07-06T00:00:00"/>
    <m/>
    <m/>
    <m/>
    <m/>
    <e v="#DIV/0!"/>
    <n v="20"/>
    <n v="0"/>
    <n v="0"/>
    <n v="13.333333333333334"/>
    <n v="0"/>
    <n v="0"/>
    <n v="0"/>
    <n v="0"/>
    <m/>
    <m/>
    <m/>
    <n v="0"/>
    <n v="28.12"/>
    <n v="16.62"/>
    <n v="40.896159317211946"/>
    <n v="2.3584637268847786"/>
    <d v="2024-08-04T08:36:11"/>
    <d v="2024-08-04T08:36:11"/>
    <n v="6"/>
    <n v="8.6867999999999999"/>
    <n v="8150"/>
    <n v="10.7"/>
    <n v="9685.7473740637924"/>
    <n v="180.05556015887819"/>
    <m/>
    <n v="4.53"/>
    <n v="4.4000000000000004"/>
    <x v="103"/>
  </r>
  <r>
    <n v="425"/>
    <n v="4"/>
    <n v="11"/>
    <s v="AB_Hague"/>
    <x v="1"/>
    <x v="1"/>
    <n v="42"/>
    <n v="49"/>
    <n v="188.56195607128058"/>
    <n v="76"/>
    <n v="72"/>
    <n v="74"/>
    <n v="70"/>
    <n v="73"/>
    <n v="107"/>
    <n v="103"/>
    <n v="103"/>
    <n v="102"/>
    <n v="103.75"/>
    <n v="97"/>
    <n v="100"/>
    <n v="102"/>
    <n v="102"/>
    <n v="100.25"/>
    <n v="100"/>
    <n v="110"/>
    <n v="110"/>
    <n v="100"/>
    <n v="105"/>
    <m/>
    <m/>
    <m/>
    <m/>
    <e v="#DIV/0!"/>
    <m/>
    <m/>
    <m/>
    <m/>
    <e v="#DIV/0!"/>
    <d v="2024-07-06T00:00:00"/>
    <m/>
    <m/>
    <m/>
    <m/>
    <e v="#DIV/0!"/>
    <n v="10"/>
    <n v="0"/>
    <n v="0"/>
    <n v="6.666666666666667"/>
    <n v="0"/>
    <n v="0"/>
    <n v="0"/>
    <n v="0"/>
    <m/>
    <m/>
    <m/>
    <n v="0"/>
    <n v="26.5"/>
    <n v="12.85"/>
    <n v="51.509433962264154"/>
    <n v="6.603773584905662"/>
    <d v="2024-08-08T14:29:26"/>
    <d v="2024-08-08T14:29:26"/>
    <n v="6"/>
    <n v="8.6867999999999999"/>
    <n v="7960"/>
    <n v="10"/>
    <n v="9534.098776137922"/>
    <n v="177.23645160769215"/>
    <m/>
    <n v="4.3600000000000003"/>
    <n v="4.37"/>
    <x v="104"/>
  </r>
  <r>
    <n v="426"/>
    <n v="4"/>
    <n v="17"/>
    <s v="AB_Hague"/>
    <x v="7"/>
    <x v="7"/>
    <n v="48"/>
    <n v="56"/>
    <n v="215.4993783671778"/>
    <n v="63"/>
    <n v="72"/>
    <n v="73"/>
    <n v="70"/>
    <n v="69.5"/>
    <n v="99"/>
    <n v="98"/>
    <n v="107"/>
    <n v="97"/>
    <n v="100.25"/>
    <n v="101"/>
    <n v="101"/>
    <n v="102"/>
    <n v="101"/>
    <n v="101.25"/>
    <n v="90"/>
    <n v="110"/>
    <n v="100"/>
    <n v="100"/>
    <n v="100"/>
    <m/>
    <m/>
    <m/>
    <m/>
    <e v="#DIV/0!"/>
    <m/>
    <m/>
    <m/>
    <m/>
    <e v="#DIV/0!"/>
    <d v="2024-07-07T00:00:00"/>
    <m/>
    <m/>
    <m/>
    <m/>
    <e v="#DIV/0!"/>
    <n v="40"/>
    <n v="15"/>
    <n v="5"/>
    <n v="36.666666666666671"/>
    <n v="0"/>
    <n v="0"/>
    <n v="0"/>
    <n v="0"/>
    <m/>
    <m/>
    <m/>
    <n v="0"/>
    <n v="25.42"/>
    <n v="13.94"/>
    <n v="45.161290322580648"/>
    <n v="4.0645161290322589"/>
    <d v="2024-08-06T01:32:54"/>
    <d v="2024-08-06T01:32:54"/>
    <n v="6"/>
    <n v="8.6867999999999999"/>
    <n v="7550"/>
    <n v="10.199999999999999"/>
    <n v="9022.925222269334"/>
    <n v="167.7338663114171"/>
    <m/>
    <n v="4.3899999999999997"/>
    <n v="4.1399999999999997"/>
    <x v="105"/>
  </r>
  <r>
    <n v="427"/>
    <n v="4"/>
    <n v="18"/>
    <s v="AB_Hague"/>
    <x v="8"/>
    <x v="8"/>
    <n v="44"/>
    <n v="60"/>
    <n v="215.4993783671778"/>
    <n v="79"/>
    <n v="78"/>
    <n v="72"/>
    <n v="79"/>
    <n v="77"/>
    <n v="97"/>
    <n v="103"/>
    <n v="101"/>
    <n v="98"/>
    <n v="99.75"/>
    <n v="99"/>
    <n v="98"/>
    <n v="99"/>
    <n v="91"/>
    <n v="96.75"/>
    <n v="115"/>
    <n v="100"/>
    <n v="100"/>
    <n v="100"/>
    <n v="103.75"/>
    <m/>
    <m/>
    <m/>
    <m/>
    <e v="#DIV/0!"/>
    <m/>
    <m/>
    <m/>
    <m/>
    <e v="#DIV/0!"/>
    <d v="2024-07-06T00:00:00"/>
    <m/>
    <m/>
    <m/>
    <m/>
    <e v="#DIV/0!"/>
    <n v="5"/>
    <n v="10"/>
    <n v="0"/>
    <n v="6.666666666666667"/>
    <n v="0"/>
    <n v="0"/>
    <n v="0"/>
    <n v="0"/>
    <m/>
    <m/>
    <m/>
    <n v="0"/>
    <n v="27.34"/>
    <n v="16.440000000000001"/>
    <n v="39.868324798829548"/>
    <n v="1.947329919531819"/>
    <d v="2024-08-03T22:44:09"/>
    <d v="2024-08-03T22:44:09"/>
    <n v="6"/>
    <n v="8.6867999999999999"/>
    <n v="8410"/>
    <n v="10.1"/>
    <n v="10061.894453640511"/>
    <n v="187.04803792024026"/>
    <m/>
    <n v="4.34"/>
    <n v="4.3600000000000003"/>
    <x v="1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999A8-95A5-4CCC-90A8-DD34669DBC80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G12" firstHeaderRow="0" firstDataRow="1" firstDataCol="1"/>
  <pivotFields count="73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compact="0" outline="0" showAll="0">
      <items count="10">
        <item x="4"/>
        <item x="5"/>
        <item x="1"/>
        <item x="7"/>
        <item x="6"/>
        <item x="2"/>
        <item x="8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numFmtId="165" outline="0" showAll="0"/>
    <pivotField compact="0" numFmtId="165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08">
        <item x="49"/>
        <item x="100"/>
        <item x="59"/>
        <item x="47"/>
        <item x="105"/>
        <item x="16"/>
        <item x="101"/>
        <item x="55"/>
        <item x="102"/>
        <item x="61"/>
        <item x="106"/>
        <item x="104"/>
        <item x="10"/>
        <item x="58"/>
        <item x="12"/>
        <item x="45"/>
        <item x="103"/>
        <item x="46"/>
        <item x="53"/>
        <item x="77"/>
        <item x="17"/>
        <item x="51"/>
        <item x="99"/>
        <item x="54"/>
        <item x="80"/>
        <item x="42"/>
        <item x="57"/>
        <item x="89"/>
        <item x="90"/>
        <item x="79"/>
        <item x="93"/>
        <item x="56"/>
        <item x="36"/>
        <item x="15"/>
        <item x="48"/>
        <item x="94"/>
        <item x="75"/>
        <item x="13"/>
        <item x="98"/>
        <item x="50"/>
        <item x="68"/>
        <item x="60"/>
        <item x="52"/>
        <item x="27"/>
        <item x="26"/>
        <item x="9"/>
        <item x="91"/>
        <item x="20"/>
        <item x="92"/>
        <item x="41"/>
        <item x="0"/>
        <item x="8"/>
        <item x="6"/>
        <item x="7"/>
        <item x="11"/>
        <item x="4"/>
        <item x="84"/>
        <item x="70"/>
        <item x="97"/>
        <item x="71"/>
        <item x="24"/>
        <item x="22"/>
        <item x="72"/>
        <item x="38"/>
        <item x="88"/>
        <item x="85"/>
        <item x="30"/>
        <item x="82"/>
        <item x="67"/>
        <item x="29"/>
        <item x="34"/>
        <item x="39"/>
        <item x="74"/>
        <item x="73"/>
        <item x="14"/>
        <item x="35"/>
        <item x="78"/>
        <item x="2"/>
        <item x="44"/>
        <item x="95"/>
        <item x="43"/>
        <item x="64"/>
        <item x="25"/>
        <item x="28"/>
        <item x="96"/>
        <item x="40"/>
        <item x="1"/>
        <item x="18"/>
        <item x="81"/>
        <item x="63"/>
        <item x="83"/>
        <item x="19"/>
        <item x="65"/>
        <item x="37"/>
        <item x="76"/>
        <item x="87"/>
        <item x="62"/>
        <item x="21"/>
        <item x="5"/>
        <item x="33"/>
        <item x="31"/>
        <item x="69"/>
        <item x="66"/>
        <item x="86"/>
        <item x="23"/>
        <item x="3"/>
        <item x="32"/>
        <item t="default"/>
      </items>
    </pivotField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Week 4 Height" fld="28" subtotal="average" baseField="0" baseItem="0" numFmtId="164"/>
    <dataField name="Average of Lodging Index 1" fld="48" subtotal="average" baseField="0" baseItem="0" numFmtId="164"/>
    <dataField name="Average of Lodging Index 2" fld="52" subtotal="average" baseField="0" baseItem="0" numFmtId="164"/>
    <dataField name="Average of Remaining days to reach maturity" fld="60" subtotal="average" baseField="0" baseItem="0" numFmtId="164"/>
    <dataField name="Average of Yield adj to 13.5% bu" fld="68" subtotal="average" baseField="0" baseItem="0"/>
    <dataField name="Average of TKW - Avg (adjusted to 13.5% moisture)" fld="7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A1C28-8246-4BA7-B7BA-42FBF5D094F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Z5:AB22" firstHeaderRow="1" firstDataRow="1" firstDataCol="0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7" showAll="0"/>
    <pivotField numFmtId="167" showAll="0"/>
    <pivotField showAll="0"/>
    <pivotField showAll="0"/>
    <pivotField showAll="0"/>
    <pivotField showAll="0"/>
  </pivot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9A7F1-7D26-4C0F-AB83-D536F0BD5176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Z26:CB57" firstHeaderRow="0" firstDataRow="1" firstDataCol="1"/>
  <pivotFields count="75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0">
        <item x="4"/>
        <item x="5"/>
        <item x="1"/>
        <item x="7"/>
        <item x="6"/>
        <item x="2"/>
        <item x="8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numFmtId="165" showAll="0"/>
    <pivotField numFmtId="165" showAll="0"/>
    <pivotField showAll="0"/>
    <pivotField numFmtId="2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5"/>
    <field x="7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Week 4 Height" fld="30" subtotal="average" baseField="7" baseItem="0"/>
    <dataField name="Average of Yield adj to 13.5% bu" fld="70" subtotal="average" baseField="5" baseItem="0"/>
  </dataFields>
  <formats count="15">
    <format dxfId="14">
      <pivotArea collapsedLevelsAreSubtotals="1" fieldPosition="0">
        <references count="1">
          <reference field="7" count="0"/>
        </references>
      </pivotArea>
    </format>
    <format dxfId="13">
      <pivotArea collapsedLevelsAreSubtotals="1" fieldPosition="0">
        <references count="3">
          <reference field="4294967294" count="1" selected="0">
            <x v="1"/>
          </reference>
          <reference field="5" count="1" selected="0">
            <x v="1"/>
          </reference>
          <reference field="7" count="1">
            <x v="4"/>
          </reference>
        </references>
      </pivotArea>
    </format>
    <format dxfId="12">
      <pivotArea collapsedLevelsAreSubtotals="1" fieldPosition="0">
        <references count="3">
          <reference field="4294967294" count="1" selected="0">
            <x v="1"/>
          </reference>
          <reference field="5" count="1" selected="0">
            <x v="2"/>
          </reference>
          <reference field="7" count="1">
            <x v="4"/>
          </reference>
        </references>
      </pivotArea>
    </format>
    <format dxfId="11">
      <pivotArea collapsedLevelsAreSubtotals="1" fieldPosition="0">
        <references count="3">
          <reference field="4294967294" count="1" selected="0">
            <x v="1"/>
          </reference>
          <reference field="5" count="1" selected="0">
            <x v="0"/>
          </reference>
          <reference field="7" count="2">
            <x v="0"/>
            <x v="1"/>
          </reference>
        </references>
      </pivotArea>
    </format>
    <format dxfId="10">
      <pivotArea collapsedLevelsAreSubtotals="1" fieldPosition="0">
        <references count="3">
          <reference field="4294967294" count="1" selected="0">
            <x v="1"/>
          </reference>
          <reference field="5" count="1" selected="0">
            <x v="1"/>
          </reference>
          <reference field="7" count="1">
            <x v="8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1"/>
          </reference>
          <reference field="5" count="1" selected="0">
            <x v="0"/>
          </reference>
          <reference field="7" count="1">
            <x v="8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1"/>
          </reference>
          <reference field="5" count="1" selected="0">
            <x v="2"/>
          </reference>
          <reference field="7" count="1">
            <x v="8"/>
          </reference>
        </references>
      </pivotArea>
    </format>
    <format dxfId="7">
      <pivotArea collapsedLevelsAreSubtotals="1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>
            <x v="1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7" count="1">
            <x v="4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>
            <x v="1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>
            <x v="4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2">
            <x v="6"/>
            <x v="7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>
            <x v="1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>
            <x v="7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E356B8-3203-4C8A-A169-0DC73E8ED3D1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Z12:CA22" firstHeaderRow="1" firstDataRow="1" firstDataCol="1"/>
  <pivotFields count="75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10">
        <item x="4"/>
        <item x="5"/>
        <item x="1"/>
        <item x="7"/>
        <item x="6"/>
        <item x="2"/>
        <item x="8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numFmtId="165" showAll="0"/>
    <pivotField numFmtId="165"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Week 4 Height" fld="30" subtotal="average" baseField="7" baseItem="0"/>
  </dataFields>
  <formats count="1">
    <format dxfId="15">
      <pivotArea collapsedLevelsAreSubtotals="1" fieldPosition="0">
        <references count="1">
          <reference field="7" count="0"/>
        </references>
      </pivotArea>
    </format>
  </formats>
  <conditionalFormats count="1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3F329-2AA9-4E15-8DF2-CC709DAE6CC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Z60:CB70" firstHeaderRow="0" firstDataRow="1" firstDataCol="1"/>
  <pivotFields count="75"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10">
        <item x="4"/>
        <item x="5"/>
        <item x="1"/>
        <item x="7"/>
        <item x="6"/>
        <item x="2"/>
        <item x="8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numFmtId="165" showAll="0"/>
    <pivotField numFmtId="165" showAll="0"/>
    <pivotField showAll="0"/>
    <pivotField numFmtId="2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ield adj to 13.5% bu" fld="70" subtotal="average" baseField="5" baseItem="0" numFmtId="1"/>
    <dataField name="StdDev of Yield adj to 13.5% bu" fld="70" subtotal="stdDev" baseField="5" baseItem="1"/>
  </dataFields>
  <formats count="3">
    <format dxfId="18">
      <pivotArea outline="0" collapsedLevelsAreSubtotals="1" fieldPosition="0"/>
    </format>
    <format dxfId="17">
      <pivotArea collapsedLevelsAreSubtotals="1" fieldPosition="0">
        <references count="2">
          <reference field="4294967294" count="1" selected="0">
            <x v="0"/>
          </reference>
          <reference field="7" count="1"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7" count="1">
            <x v="7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7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6B74D-3962-423E-BC3D-91317739207C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Z5:CB9" firstHeaderRow="0" firstDataRow="1" firstDataCol="1"/>
  <pivotFields count="75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>
      <items count="10">
        <item x="4"/>
        <item x="5"/>
        <item x="1"/>
        <item x="7"/>
        <item x="6"/>
        <item x="2"/>
        <item x="8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164" showAll="0"/>
    <pivotField numFmtId="164" showAll="0"/>
    <pivotField numFmtId="165" showAll="0"/>
    <pivotField numFmtId="165" showAll="0"/>
    <pivotField showAll="0"/>
    <pivotField numFmtId="2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Yield adj to 13.5% bu" fld="70" subtotal="average" baseField="5" baseItem="0" numFmtId="1"/>
    <dataField name="StdDev of Yield adj to 13.5% bu" fld="70" subtotal="stdDev" baseField="5" baseItem="1"/>
  </dataFields>
  <formats count="1">
    <format dxfId="19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A5486-1A14-4A51-98DF-370138271337}" name="Table1" displayName="Table1" ref="A1:G109" totalsRowShown="0" headerRowDxfId="41">
  <autoFilter ref="A1:G109" xr:uid="{925A5486-1A14-4A51-98DF-370138271337}"/>
  <tableColumns count="7">
    <tableColumn id="1" xr3:uid="{A4717232-9A24-45C5-A4EF-264E1DCDC4A0}" name="Trial"/>
    <tableColumn id="2" xr3:uid="{E33E4EFB-8C1B-45A9-AB48-D4E5D33DB642}" name="Year" dataDxfId="40"/>
    <tableColumn id="3" xr3:uid="{075205FF-3909-487C-A56B-6DA6B1706029}" name="Location"/>
    <tableColumn id="4" xr3:uid="{3EFEE624-666B-4820-9123-C75E7CFF9564}" name="Plot"/>
    <tableColumn id="5" xr3:uid="{BA5D0B8A-7464-4B88-A5C8-07A03B10B840}" name="Cultivar"/>
    <tableColumn id="6" xr3:uid="{99E0C8F5-A801-446D-9295-78F4ACC7BC8D}" name="PGR trt #"/>
    <tableColumn id="7" xr3:uid="{B6882982-22D4-472B-8EA3-260F7D608045}" name="PGR trt Name" dataDxfId="3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66068C-DAC8-4A8B-A65E-D395000D67E0}" name="Table145" displayName="Table145" ref="A1:J35" totalsRowShown="0">
  <autoFilter ref="A1:J35" xr:uid="{00000000-0009-0000-0100-000001000000}">
    <filterColumn colId="5">
      <filters>
        <filter val="NASA South;"/>
        <filter val="NASA South;NASA North;"/>
      </filters>
    </filterColumn>
  </autoFilter>
  <sortState xmlns:xlrd2="http://schemas.microsoft.com/office/spreadsheetml/2017/richdata2" ref="A2:J33">
    <sortCondition ref="G1:G34"/>
  </sortState>
  <tableColumns count="10">
    <tableColumn id="1" xr3:uid="{AC8DAD8F-6551-4557-B33F-E08D885FC5BC}" name="ID" dataDxfId="38"/>
    <tableColumn id="2" xr3:uid="{E9BC84F6-EECE-4318-9204-F9146DD0B555}" name="Start time" dataDxfId="37"/>
    <tableColumn id="3" xr3:uid="{D38955AB-0791-4210-A4D0-DAB6AC6DFBD6}" name="Completion time" dataDxfId="36"/>
    <tableColumn id="4" xr3:uid="{DC6F186E-260C-42DE-91FC-00AC553CF32F}" name="Email" dataDxfId="35"/>
    <tableColumn id="5" xr3:uid="{318F0A0A-457D-4044-9F79-0E4AED9BA8E2}" name="Name" dataDxfId="34"/>
    <tableColumn id="6" xr3:uid="{7B754E57-92DB-47C8-9A5A-ACD56DB536A6}" name="Location" dataDxfId="33"/>
    <tableColumn id="7" xr3:uid="{F73473C1-156A-4689-B6B3-5063EAE65606}" name="Date" dataDxfId="32"/>
    <tableColumn id="8" xr3:uid="{1510D35D-C8C1-47DA-A481-37B7EAF62A58}" name="Amount of water in Inches" dataDxfId="31"/>
    <tableColumn id="10" xr3:uid="{536D408E-E6FD-4F65-82E6-4B3741C65285}" name="mm"/>
    <tableColumn id="9" xr3:uid="{02FD3639-9C09-4711-9534-31F82ADAF131}" name="Notes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B67FBC-6215-4881-B0A9-DBA8AFEE9E63}" name="Table14" displayName="Table14" ref="A1:J35" totalsRowShown="0">
  <autoFilter ref="A1:J35" xr:uid="{00000000-0009-0000-0100-000001000000}">
    <filterColumn colId="5">
      <filters>
        <filter val="NASA South;"/>
        <filter val="NASA South;NASA North;"/>
      </filters>
    </filterColumn>
  </autoFilter>
  <sortState xmlns:xlrd2="http://schemas.microsoft.com/office/spreadsheetml/2017/richdata2" ref="A2:J33">
    <sortCondition ref="G1:G34"/>
  </sortState>
  <tableColumns count="10">
    <tableColumn id="1" xr3:uid="{EA065876-B455-4910-BB93-A8E844645965}" name="ID" dataDxfId="29"/>
    <tableColumn id="2" xr3:uid="{81953765-38DA-4540-8B3B-48B805A54091}" name="Start time" dataDxfId="28"/>
    <tableColumn id="3" xr3:uid="{D1A6B7FA-3D0D-4453-8A3B-C1C55A7BBAC3}" name="Completion time" dataDxfId="27"/>
    <tableColumn id="4" xr3:uid="{8F16D7D4-9667-428B-A5B8-867AA5F01B64}" name="Email" dataDxfId="26"/>
    <tableColumn id="5" xr3:uid="{4A26D4EB-6D5F-42BA-95F6-76FD48D78728}" name="Name" dataDxfId="25"/>
    <tableColumn id="6" xr3:uid="{9E2FCB88-5B23-4389-8FD8-30AFFAE78BBC}" name="Location" dataDxfId="24"/>
    <tableColumn id="7" xr3:uid="{E6E35DB6-068B-4AFB-86CB-7E417886ED0E}" name="Date" dataDxfId="23"/>
    <tableColumn id="8" xr3:uid="{7B81A945-EFE6-4918-A4AF-ADE9293039F9}" name="Amount of water in Inches" dataDxfId="22"/>
    <tableColumn id="10" xr3:uid="{5CD728ED-CEB0-4D83-A2EE-17B312027B38}" name="mm"/>
    <tableColumn id="9" xr3:uid="{D316C91D-AA96-4D52-A63A-A3772E9822F7}" name="Notes" dataDxfId="2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D42CEB-A5F9-48F7-9849-D0E496B3C97B}" name="Table25" displayName="Table25" ref="A38:B47" totalsRowShown="0" headerRowDxfId="20">
  <autoFilter ref="A38:B47" xr:uid="{7A76B61D-F7D5-436E-988E-3C4FF7DFEE34}"/>
  <tableColumns count="2">
    <tableColumn id="1" xr3:uid="{24ECEB04-C405-47B3-B1D7-C4105382333B}" name="Site"/>
    <tableColumn id="2" xr3:uid="{E84C4EC5-FA68-4384-B4C3-39002E0160CB}" name="Inch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comments" Target="../comments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0.bin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6981-D3B0-4CF9-816F-650983F456CA}">
  <sheetPr>
    <pageSetUpPr fitToPage="1"/>
  </sheetPr>
  <dimension ref="A1:AB32"/>
  <sheetViews>
    <sheetView topLeftCell="B1" zoomScale="70" zoomScaleNormal="70" workbookViewId="0">
      <selection activeCell="W32" sqref="W32"/>
    </sheetView>
  </sheetViews>
  <sheetFormatPr defaultColWidth="15.69921875" defaultRowHeight="15.6" x14ac:dyDescent="0.3"/>
  <cols>
    <col min="1" max="1" width="33" style="3" customWidth="1"/>
    <col min="2" max="16384" width="15.69921875" style="3"/>
  </cols>
  <sheetData>
    <row r="1" spans="1:28" ht="26.4" thickBot="1" x14ac:dyDescent="0.55000000000000004">
      <c r="B1" s="4" t="s">
        <v>0</v>
      </c>
    </row>
    <row r="2" spans="1:28" s="55" customFormat="1" ht="16.2" thickTop="1" x14ac:dyDescent="0.3">
      <c r="A2" s="61" t="s">
        <v>1</v>
      </c>
      <c r="B2" s="62" t="s">
        <v>2</v>
      </c>
      <c r="C2" s="135" t="s">
        <v>3</v>
      </c>
      <c r="D2" s="62" t="s">
        <v>4</v>
      </c>
      <c r="E2" s="135" t="s">
        <v>5</v>
      </c>
      <c r="F2" s="62" t="s">
        <v>6</v>
      </c>
      <c r="G2" s="62" t="s">
        <v>7</v>
      </c>
      <c r="H2" s="62" t="s">
        <v>8</v>
      </c>
      <c r="I2" s="135" t="s">
        <v>9</v>
      </c>
      <c r="J2" s="62" t="s">
        <v>10</v>
      </c>
      <c r="K2" s="135" t="s">
        <v>11</v>
      </c>
      <c r="L2" s="62" t="s">
        <v>12</v>
      </c>
      <c r="M2" s="62" t="s">
        <v>13</v>
      </c>
      <c r="N2" s="62" t="s">
        <v>14</v>
      </c>
      <c r="O2" s="135" t="s">
        <v>15</v>
      </c>
      <c r="P2" s="62" t="s">
        <v>16</v>
      </c>
      <c r="Q2" s="62" t="s">
        <v>17</v>
      </c>
      <c r="R2" s="135" t="s">
        <v>18</v>
      </c>
      <c r="S2" s="62" t="s">
        <v>19</v>
      </c>
      <c r="T2" s="62" t="s">
        <v>20</v>
      </c>
      <c r="U2" s="62" t="s">
        <v>21</v>
      </c>
      <c r="V2" s="135" t="s">
        <v>22</v>
      </c>
      <c r="W2" s="62" t="s">
        <v>23</v>
      </c>
      <c r="X2" s="62" t="s">
        <v>24</v>
      </c>
      <c r="Y2" s="62" t="s">
        <v>25</v>
      </c>
      <c r="Z2" s="135" t="s">
        <v>26</v>
      </c>
      <c r="AA2" s="135" t="s">
        <v>27</v>
      </c>
      <c r="AB2" s="62" t="s">
        <v>28</v>
      </c>
    </row>
    <row r="3" spans="1:28" x14ac:dyDescent="0.3">
      <c r="A3" s="55" t="s">
        <v>29</v>
      </c>
      <c r="B3" s="53">
        <v>5</v>
      </c>
      <c r="C3" s="136">
        <v>2</v>
      </c>
      <c r="D3" s="53">
        <v>9</v>
      </c>
      <c r="E3" s="136">
        <v>7</v>
      </c>
      <c r="F3" s="53">
        <v>6</v>
      </c>
      <c r="G3" s="53">
        <v>4</v>
      </c>
      <c r="H3" s="53">
        <v>1</v>
      </c>
      <c r="I3" s="136">
        <v>8</v>
      </c>
      <c r="J3" s="53">
        <v>3</v>
      </c>
      <c r="K3" s="136">
        <v>7</v>
      </c>
      <c r="L3" s="53">
        <v>9</v>
      </c>
      <c r="M3" s="53">
        <v>6</v>
      </c>
      <c r="N3" s="53">
        <v>4</v>
      </c>
      <c r="O3" s="136">
        <v>8</v>
      </c>
      <c r="P3" s="53">
        <v>5</v>
      </c>
      <c r="Q3" s="53">
        <v>3</v>
      </c>
      <c r="R3" s="136">
        <v>2</v>
      </c>
      <c r="S3" s="53">
        <v>1</v>
      </c>
      <c r="T3" s="53">
        <v>4</v>
      </c>
      <c r="U3" s="53">
        <v>1</v>
      </c>
      <c r="V3" s="136">
        <v>7</v>
      </c>
      <c r="W3" s="53">
        <v>5</v>
      </c>
      <c r="X3" s="53">
        <v>6</v>
      </c>
      <c r="Y3" s="53">
        <v>3</v>
      </c>
      <c r="Z3" s="136">
        <v>2</v>
      </c>
      <c r="AA3" s="136">
        <v>8</v>
      </c>
      <c r="AB3" s="53">
        <v>9</v>
      </c>
    </row>
    <row r="4" spans="1:28" ht="31.2" x14ac:dyDescent="0.3">
      <c r="A4" s="55" t="s">
        <v>30</v>
      </c>
      <c r="B4" s="54" t="s">
        <v>31</v>
      </c>
      <c r="C4" s="137" t="s">
        <v>32</v>
      </c>
      <c r="D4" s="54" t="s">
        <v>33</v>
      </c>
      <c r="E4" s="137" t="s">
        <v>34</v>
      </c>
      <c r="F4" s="54" t="s">
        <v>35</v>
      </c>
      <c r="G4" s="54" t="s">
        <v>36</v>
      </c>
      <c r="H4" s="54" t="s">
        <v>37</v>
      </c>
      <c r="I4" s="137" t="s">
        <v>38</v>
      </c>
      <c r="J4" s="54" t="s">
        <v>39</v>
      </c>
      <c r="K4" s="137" t="s">
        <v>34</v>
      </c>
      <c r="L4" s="54" t="s">
        <v>33</v>
      </c>
      <c r="M4" s="54" t="s">
        <v>35</v>
      </c>
      <c r="N4" s="54" t="s">
        <v>36</v>
      </c>
      <c r="O4" s="137" t="s">
        <v>38</v>
      </c>
      <c r="P4" s="54" t="s">
        <v>31</v>
      </c>
      <c r="Q4" s="54" t="s">
        <v>39</v>
      </c>
      <c r="R4" s="137" t="s">
        <v>32</v>
      </c>
      <c r="S4" s="54" t="s">
        <v>37</v>
      </c>
      <c r="T4" s="54" t="s">
        <v>36</v>
      </c>
      <c r="U4" s="54" t="s">
        <v>37</v>
      </c>
      <c r="V4" s="137" t="s">
        <v>34</v>
      </c>
      <c r="W4" s="54" t="s">
        <v>31</v>
      </c>
      <c r="X4" s="54" t="s">
        <v>35</v>
      </c>
      <c r="Y4" s="54" t="s">
        <v>39</v>
      </c>
      <c r="Z4" s="137" t="s">
        <v>32</v>
      </c>
      <c r="AA4" s="137" t="s">
        <v>38</v>
      </c>
      <c r="AB4" s="54" t="s">
        <v>33</v>
      </c>
    </row>
    <row r="5" spans="1:28" x14ac:dyDescent="0.3">
      <c r="A5" s="55" t="s">
        <v>40</v>
      </c>
      <c r="B5" s="60" t="s">
        <v>41</v>
      </c>
      <c r="C5" s="136" t="s">
        <v>41</v>
      </c>
      <c r="D5" s="60" t="s">
        <v>41</v>
      </c>
      <c r="E5" s="136" t="s">
        <v>41</v>
      </c>
      <c r="F5" s="60" t="s">
        <v>41</v>
      </c>
      <c r="G5" s="60" t="s">
        <v>41</v>
      </c>
      <c r="H5" s="60" t="s">
        <v>41</v>
      </c>
      <c r="I5" s="136" t="s">
        <v>41</v>
      </c>
      <c r="J5" s="60" t="s">
        <v>41</v>
      </c>
      <c r="K5" s="136" t="s">
        <v>42</v>
      </c>
      <c r="L5" s="58" t="s">
        <v>42</v>
      </c>
      <c r="M5" s="58" t="s">
        <v>42</v>
      </c>
      <c r="N5" s="58" t="s">
        <v>42</v>
      </c>
      <c r="O5" s="136" t="s">
        <v>42</v>
      </c>
      <c r="P5" s="58" t="s">
        <v>42</v>
      </c>
      <c r="Q5" s="58" t="s">
        <v>42</v>
      </c>
      <c r="R5" s="136" t="s">
        <v>42</v>
      </c>
      <c r="S5" s="58" t="s">
        <v>42</v>
      </c>
      <c r="T5" s="59" t="s">
        <v>43</v>
      </c>
      <c r="U5" s="59" t="s">
        <v>43</v>
      </c>
      <c r="V5" s="136" t="s">
        <v>43</v>
      </c>
      <c r="W5" s="59" t="s">
        <v>43</v>
      </c>
      <c r="X5" s="59" t="s">
        <v>43</v>
      </c>
      <c r="Y5" s="59" t="s">
        <v>43</v>
      </c>
      <c r="Z5" s="136" t="s">
        <v>43</v>
      </c>
      <c r="AA5" s="136" t="s">
        <v>43</v>
      </c>
      <c r="AB5" s="59" t="s">
        <v>43</v>
      </c>
    </row>
    <row r="6" spans="1:28" s="55" customFormat="1" ht="16.2" thickBot="1" x14ac:dyDescent="0.35">
      <c r="A6" s="57" t="s">
        <v>44</v>
      </c>
      <c r="B6" s="56">
        <v>401</v>
      </c>
      <c r="C6" s="138">
        <v>402</v>
      </c>
      <c r="D6" s="56">
        <v>403</v>
      </c>
      <c r="E6" s="138">
        <v>404</v>
      </c>
      <c r="F6" s="56">
        <v>405</v>
      </c>
      <c r="G6" s="56">
        <v>406</v>
      </c>
      <c r="H6" s="56">
        <v>407</v>
      </c>
      <c r="I6" s="138">
        <v>408</v>
      </c>
      <c r="J6" s="56">
        <v>409</v>
      </c>
      <c r="K6" s="138">
        <v>410</v>
      </c>
      <c r="L6" s="56">
        <v>411</v>
      </c>
      <c r="M6" s="56">
        <v>412</v>
      </c>
      <c r="N6" s="56">
        <v>413</v>
      </c>
      <c r="O6" s="138">
        <v>414</v>
      </c>
      <c r="P6" s="56">
        <v>415</v>
      </c>
      <c r="Q6" s="56">
        <v>416</v>
      </c>
      <c r="R6" s="138">
        <v>417</v>
      </c>
      <c r="S6" s="56">
        <v>418</v>
      </c>
      <c r="T6" s="56">
        <v>419</v>
      </c>
      <c r="U6" s="56">
        <v>420</v>
      </c>
      <c r="V6" s="138">
        <v>421</v>
      </c>
      <c r="W6" s="56">
        <v>422</v>
      </c>
      <c r="X6" s="56">
        <v>423</v>
      </c>
      <c r="Y6" s="56">
        <v>424</v>
      </c>
      <c r="Z6" s="138">
        <v>425</v>
      </c>
      <c r="AA6" s="138">
        <v>426</v>
      </c>
      <c r="AB6" s="56">
        <v>427</v>
      </c>
    </row>
    <row r="7" spans="1:28" s="1" customFormat="1" ht="16.8" thickTop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s="55" customFormat="1" ht="16.2" thickTop="1" x14ac:dyDescent="0.3">
      <c r="A8" s="61" t="s">
        <v>1</v>
      </c>
      <c r="B8" s="135" t="s">
        <v>26</v>
      </c>
      <c r="C8" s="62" t="s">
        <v>24</v>
      </c>
      <c r="D8" s="62" t="s">
        <v>28</v>
      </c>
      <c r="E8" s="62" t="s">
        <v>23</v>
      </c>
      <c r="F8" s="62" t="s">
        <v>21</v>
      </c>
      <c r="G8" s="62" t="s">
        <v>20</v>
      </c>
      <c r="H8" s="135" t="s">
        <v>22</v>
      </c>
      <c r="I8" s="135" t="s">
        <v>27</v>
      </c>
      <c r="J8" s="62" t="s">
        <v>25</v>
      </c>
      <c r="K8" s="135" t="s">
        <v>9</v>
      </c>
      <c r="L8" s="62" t="s">
        <v>8</v>
      </c>
      <c r="M8" s="135" t="s">
        <v>5</v>
      </c>
      <c r="N8" s="62" t="s">
        <v>4</v>
      </c>
      <c r="O8" s="135" t="s">
        <v>3</v>
      </c>
      <c r="P8" s="62" t="s">
        <v>6</v>
      </c>
      <c r="Q8" s="62" t="s">
        <v>10</v>
      </c>
      <c r="R8" s="62" t="s">
        <v>7</v>
      </c>
      <c r="S8" s="62" t="s">
        <v>2</v>
      </c>
      <c r="T8" s="62" t="s">
        <v>13</v>
      </c>
      <c r="U8" s="62" t="s">
        <v>14</v>
      </c>
      <c r="V8" s="62" t="s">
        <v>12</v>
      </c>
      <c r="W8" s="62" t="s">
        <v>17</v>
      </c>
      <c r="X8" s="62" t="s">
        <v>16</v>
      </c>
      <c r="Y8" s="62" t="s">
        <v>19</v>
      </c>
      <c r="Z8" s="135" t="s">
        <v>11</v>
      </c>
      <c r="AA8" s="135" t="s">
        <v>18</v>
      </c>
      <c r="AB8" s="135" t="s">
        <v>15</v>
      </c>
    </row>
    <row r="9" spans="1:28" x14ac:dyDescent="0.3">
      <c r="A9" s="55" t="s">
        <v>29</v>
      </c>
      <c r="B9" s="136">
        <v>2</v>
      </c>
      <c r="C9" s="53">
        <v>6</v>
      </c>
      <c r="D9" s="53">
        <v>9</v>
      </c>
      <c r="E9" s="53">
        <v>5</v>
      </c>
      <c r="F9" s="53">
        <v>1</v>
      </c>
      <c r="G9" s="53">
        <v>4</v>
      </c>
      <c r="H9" s="136">
        <v>7</v>
      </c>
      <c r="I9" s="136">
        <v>8</v>
      </c>
      <c r="J9" s="53">
        <v>3</v>
      </c>
      <c r="K9" s="136">
        <v>8</v>
      </c>
      <c r="L9" s="53">
        <v>1</v>
      </c>
      <c r="M9" s="136">
        <v>7</v>
      </c>
      <c r="N9" s="53">
        <v>9</v>
      </c>
      <c r="O9" s="136">
        <v>2</v>
      </c>
      <c r="P9" s="53">
        <v>6</v>
      </c>
      <c r="Q9" s="53">
        <v>3</v>
      </c>
      <c r="R9" s="53">
        <v>4</v>
      </c>
      <c r="S9" s="53">
        <v>5</v>
      </c>
      <c r="T9" s="53">
        <v>6</v>
      </c>
      <c r="U9" s="53">
        <v>4</v>
      </c>
      <c r="V9" s="53">
        <v>9</v>
      </c>
      <c r="W9" s="53">
        <v>3</v>
      </c>
      <c r="X9" s="53">
        <v>5</v>
      </c>
      <c r="Y9" s="53">
        <v>1</v>
      </c>
      <c r="Z9" s="136">
        <v>7</v>
      </c>
      <c r="AA9" s="136">
        <v>2</v>
      </c>
      <c r="AB9" s="136">
        <v>8</v>
      </c>
    </row>
    <row r="10" spans="1:28" ht="31.2" x14ac:dyDescent="0.3">
      <c r="A10" s="55" t="s">
        <v>30</v>
      </c>
      <c r="B10" s="137" t="s">
        <v>32</v>
      </c>
      <c r="C10" s="54" t="s">
        <v>35</v>
      </c>
      <c r="D10" s="54" t="s">
        <v>33</v>
      </c>
      <c r="E10" s="54" t="s">
        <v>31</v>
      </c>
      <c r="F10" s="54" t="s">
        <v>37</v>
      </c>
      <c r="G10" s="54" t="s">
        <v>36</v>
      </c>
      <c r="H10" s="137" t="s">
        <v>34</v>
      </c>
      <c r="I10" s="137" t="s">
        <v>38</v>
      </c>
      <c r="J10" s="54" t="s">
        <v>39</v>
      </c>
      <c r="K10" s="137" t="s">
        <v>38</v>
      </c>
      <c r="L10" s="54" t="s">
        <v>37</v>
      </c>
      <c r="M10" s="137" t="s">
        <v>34</v>
      </c>
      <c r="N10" s="54" t="s">
        <v>33</v>
      </c>
      <c r="O10" s="137" t="s">
        <v>32</v>
      </c>
      <c r="P10" s="54" t="s">
        <v>35</v>
      </c>
      <c r="Q10" s="54" t="s">
        <v>39</v>
      </c>
      <c r="R10" s="54" t="s">
        <v>36</v>
      </c>
      <c r="S10" s="54" t="s">
        <v>31</v>
      </c>
      <c r="T10" s="54" t="s">
        <v>35</v>
      </c>
      <c r="U10" s="54" t="s">
        <v>36</v>
      </c>
      <c r="V10" s="54" t="s">
        <v>33</v>
      </c>
      <c r="W10" s="54" t="s">
        <v>39</v>
      </c>
      <c r="X10" s="54" t="s">
        <v>31</v>
      </c>
      <c r="Y10" s="54" t="s">
        <v>37</v>
      </c>
      <c r="Z10" s="137" t="s">
        <v>34</v>
      </c>
      <c r="AA10" s="137" t="s">
        <v>32</v>
      </c>
      <c r="AB10" s="137" t="s">
        <v>38</v>
      </c>
    </row>
    <row r="11" spans="1:28" x14ac:dyDescent="0.3">
      <c r="A11" s="55" t="s">
        <v>40</v>
      </c>
      <c r="B11" s="136" t="s">
        <v>43</v>
      </c>
      <c r="C11" s="59" t="s">
        <v>43</v>
      </c>
      <c r="D11" s="59" t="s">
        <v>43</v>
      </c>
      <c r="E11" s="59" t="s">
        <v>43</v>
      </c>
      <c r="F11" s="59" t="s">
        <v>43</v>
      </c>
      <c r="G11" s="59" t="s">
        <v>43</v>
      </c>
      <c r="H11" s="136" t="s">
        <v>43</v>
      </c>
      <c r="I11" s="136" t="s">
        <v>43</v>
      </c>
      <c r="J11" s="59" t="s">
        <v>43</v>
      </c>
      <c r="K11" s="136" t="s">
        <v>41</v>
      </c>
      <c r="L11" s="60" t="s">
        <v>41</v>
      </c>
      <c r="M11" s="136" t="s">
        <v>41</v>
      </c>
      <c r="N11" s="60" t="s">
        <v>41</v>
      </c>
      <c r="O11" s="136" t="s">
        <v>41</v>
      </c>
      <c r="P11" s="60" t="s">
        <v>41</v>
      </c>
      <c r="Q11" s="60" t="s">
        <v>41</v>
      </c>
      <c r="R11" s="60" t="s">
        <v>41</v>
      </c>
      <c r="S11" s="60" t="s">
        <v>41</v>
      </c>
      <c r="T11" s="58" t="s">
        <v>42</v>
      </c>
      <c r="U11" s="58" t="s">
        <v>42</v>
      </c>
      <c r="V11" s="58" t="s">
        <v>42</v>
      </c>
      <c r="W11" s="58" t="s">
        <v>42</v>
      </c>
      <c r="X11" s="58" t="s">
        <v>42</v>
      </c>
      <c r="Y11" s="58" t="s">
        <v>42</v>
      </c>
      <c r="Z11" s="136" t="s">
        <v>42</v>
      </c>
      <c r="AA11" s="136" t="s">
        <v>42</v>
      </c>
      <c r="AB11" s="136" t="s">
        <v>42</v>
      </c>
    </row>
    <row r="12" spans="1:28" s="55" customFormat="1" ht="16.2" thickBot="1" x14ac:dyDescent="0.35">
      <c r="A12" s="57" t="s">
        <v>44</v>
      </c>
      <c r="B12" s="138">
        <v>301</v>
      </c>
      <c r="C12" s="56">
        <v>302</v>
      </c>
      <c r="D12" s="56">
        <v>303</v>
      </c>
      <c r="E12" s="56">
        <v>304</v>
      </c>
      <c r="F12" s="56">
        <v>305</v>
      </c>
      <c r="G12" s="56">
        <v>306</v>
      </c>
      <c r="H12" s="138">
        <v>307</v>
      </c>
      <c r="I12" s="138">
        <v>308</v>
      </c>
      <c r="J12" s="56">
        <v>309</v>
      </c>
      <c r="K12" s="138">
        <v>310</v>
      </c>
      <c r="L12" s="56">
        <v>311</v>
      </c>
      <c r="M12" s="138">
        <v>312</v>
      </c>
      <c r="N12" s="56">
        <v>313</v>
      </c>
      <c r="O12" s="138">
        <v>314</v>
      </c>
      <c r="P12" s="56">
        <v>315</v>
      </c>
      <c r="Q12" s="56">
        <v>316</v>
      </c>
      <c r="R12" s="56">
        <v>317</v>
      </c>
      <c r="S12" s="56">
        <v>318</v>
      </c>
      <c r="T12" s="56">
        <v>319</v>
      </c>
      <c r="U12" s="56">
        <v>320</v>
      </c>
      <c r="V12" s="56">
        <v>321</v>
      </c>
      <c r="W12" s="56">
        <v>322</v>
      </c>
      <c r="X12" s="56">
        <v>323</v>
      </c>
      <c r="Y12" s="56">
        <v>324</v>
      </c>
      <c r="Z12" s="138">
        <v>325</v>
      </c>
      <c r="AA12" s="138">
        <v>326</v>
      </c>
      <c r="AB12" s="138">
        <v>327</v>
      </c>
    </row>
    <row r="13" spans="1:28" s="1" customFormat="1" ht="16.8" thickTop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s="55" customFormat="1" ht="16.2" thickTop="1" x14ac:dyDescent="0.3">
      <c r="A14" s="61" t="s">
        <v>1</v>
      </c>
      <c r="B14" s="62" t="s">
        <v>4</v>
      </c>
      <c r="C14" s="135" t="s">
        <v>9</v>
      </c>
      <c r="D14" s="62" t="s">
        <v>6</v>
      </c>
      <c r="E14" s="62" t="s">
        <v>7</v>
      </c>
      <c r="F14" s="62" t="s">
        <v>8</v>
      </c>
      <c r="G14" s="135" t="s">
        <v>5</v>
      </c>
      <c r="H14" s="62" t="s">
        <v>2</v>
      </c>
      <c r="I14" s="62" t="s">
        <v>10</v>
      </c>
      <c r="J14" s="135" t="s">
        <v>3</v>
      </c>
      <c r="K14" s="135" t="s">
        <v>15</v>
      </c>
      <c r="L14" s="62" t="s">
        <v>19</v>
      </c>
      <c r="M14" s="135" t="s">
        <v>18</v>
      </c>
      <c r="N14" s="62" t="s">
        <v>13</v>
      </c>
      <c r="O14" s="62" t="s">
        <v>12</v>
      </c>
      <c r="P14" s="62" t="s">
        <v>14</v>
      </c>
      <c r="Q14" s="62" t="s">
        <v>16</v>
      </c>
      <c r="R14" s="62" t="s">
        <v>17</v>
      </c>
      <c r="S14" s="135" t="s">
        <v>11</v>
      </c>
      <c r="T14" s="62" t="s">
        <v>25</v>
      </c>
      <c r="U14" s="135" t="s">
        <v>26</v>
      </c>
      <c r="V14" s="62" t="s">
        <v>28</v>
      </c>
      <c r="W14" s="62" t="s">
        <v>20</v>
      </c>
      <c r="X14" s="62" t="s">
        <v>23</v>
      </c>
      <c r="Y14" s="135" t="s">
        <v>22</v>
      </c>
      <c r="Z14" s="62" t="s">
        <v>24</v>
      </c>
      <c r="AA14" s="62" t="s">
        <v>21</v>
      </c>
      <c r="AB14" s="135" t="s">
        <v>27</v>
      </c>
    </row>
    <row r="15" spans="1:28" x14ac:dyDescent="0.3">
      <c r="A15" s="55" t="s">
        <v>29</v>
      </c>
      <c r="B15" s="53">
        <v>9</v>
      </c>
      <c r="C15" s="136">
        <v>8</v>
      </c>
      <c r="D15" s="53">
        <v>6</v>
      </c>
      <c r="E15" s="53">
        <v>4</v>
      </c>
      <c r="F15" s="53">
        <v>1</v>
      </c>
      <c r="G15" s="136">
        <v>7</v>
      </c>
      <c r="H15" s="53">
        <v>5</v>
      </c>
      <c r="I15" s="53">
        <v>3</v>
      </c>
      <c r="J15" s="136">
        <v>2</v>
      </c>
      <c r="K15" s="136">
        <v>8</v>
      </c>
      <c r="L15" s="53">
        <v>1</v>
      </c>
      <c r="M15" s="136">
        <v>2</v>
      </c>
      <c r="N15" s="53">
        <v>6</v>
      </c>
      <c r="O15" s="53">
        <v>9</v>
      </c>
      <c r="P15" s="53">
        <v>4</v>
      </c>
      <c r="Q15" s="53">
        <v>5</v>
      </c>
      <c r="R15" s="53">
        <v>3</v>
      </c>
      <c r="S15" s="136">
        <v>7</v>
      </c>
      <c r="T15" s="53">
        <v>3</v>
      </c>
      <c r="U15" s="136">
        <v>2</v>
      </c>
      <c r="V15" s="53">
        <v>9</v>
      </c>
      <c r="W15" s="53">
        <v>4</v>
      </c>
      <c r="X15" s="53">
        <v>5</v>
      </c>
      <c r="Y15" s="136">
        <v>7</v>
      </c>
      <c r="Z15" s="53">
        <v>6</v>
      </c>
      <c r="AA15" s="53">
        <v>1</v>
      </c>
      <c r="AB15" s="136">
        <v>8</v>
      </c>
    </row>
    <row r="16" spans="1:28" ht="31.2" x14ac:dyDescent="0.3">
      <c r="A16" s="55" t="s">
        <v>30</v>
      </c>
      <c r="B16" s="54" t="s">
        <v>33</v>
      </c>
      <c r="C16" s="137" t="s">
        <v>38</v>
      </c>
      <c r="D16" s="54" t="s">
        <v>35</v>
      </c>
      <c r="E16" s="54" t="s">
        <v>36</v>
      </c>
      <c r="F16" s="54" t="s">
        <v>37</v>
      </c>
      <c r="G16" s="137" t="s">
        <v>34</v>
      </c>
      <c r="H16" s="54" t="s">
        <v>31</v>
      </c>
      <c r="I16" s="54" t="s">
        <v>39</v>
      </c>
      <c r="J16" s="137" t="s">
        <v>32</v>
      </c>
      <c r="K16" s="137" t="s">
        <v>38</v>
      </c>
      <c r="L16" s="54" t="s">
        <v>37</v>
      </c>
      <c r="M16" s="137" t="s">
        <v>32</v>
      </c>
      <c r="N16" s="54" t="s">
        <v>35</v>
      </c>
      <c r="O16" s="54" t="s">
        <v>33</v>
      </c>
      <c r="P16" s="54" t="s">
        <v>36</v>
      </c>
      <c r="Q16" s="54" t="s">
        <v>31</v>
      </c>
      <c r="R16" s="54" t="s">
        <v>39</v>
      </c>
      <c r="S16" s="137" t="s">
        <v>34</v>
      </c>
      <c r="T16" s="54" t="s">
        <v>39</v>
      </c>
      <c r="U16" s="137" t="s">
        <v>32</v>
      </c>
      <c r="V16" s="54" t="s">
        <v>33</v>
      </c>
      <c r="W16" s="54" t="s">
        <v>36</v>
      </c>
      <c r="X16" s="54" t="s">
        <v>31</v>
      </c>
      <c r="Y16" s="137" t="s">
        <v>34</v>
      </c>
      <c r="Z16" s="54" t="s">
        <v>35</v>
      </c>
      <c r="AA16" s="54" t="s">
        <v>37</v>
      </c>
      <c r="AB16" s="137" t="s">
        <v>38</v>
      </c>
    </row>
    <row r="17" spans="1:28" x14ac:dyDescent="0.3">
      <c r="A17" s="55" t="s">
        <v>40</v>
      </c>
      <c r="B17" s="60" t="s">
        <v>41</v>
      </c>
      <c r="C17" s="136" t="s">
        <v>41</v>
      </c>
      <c r="D17" s="60" t="s">
        <v>41</v>
      </c>
      <c r="E17" s="60" t="s">
        <v>41</v>
      </c>
      <c r="F17" s="60" t="s">
        <v>41</v>
      </c>
      <c r="G17" s="136" t="s">
        <v>41</v>
      </c>
      <c r="H17" s="60" t="s">
        <v>41</v>
      </c>
      <c r="I17" s="60" t="s">
        <v>41</v>
      </c>
      <c r="J17" s="136" t="s">
        <v>41</v>
      </c>
      <c r="K17" s="136" t="s">
        <v>42</v>
      </c>
      <c r="L17" s="58" t="s">
        <v>42</v>
      </c>
      <c r="M17" s="136" t="s">
        <v>42</v>
      </c>
      <c r="N17" s="58" t="s">
        <v>42</v>
      </c>
      <c r="O17" s="58" t="s">
        <v>42</v>
      </c>
      <c r="P17" s="58" t="s">
        <v>42</v>
      </c>
      <c r="Q17" s="58" t="s">
        <v>42</v>
      </c>
      <c r="R17" s="58" t="s">
        <v>42</v>
      </c>
      <c r="S17" s="136" t="s">
        <v>42</v>
      </c>
      <c r="T17" s="59" t="s">
        <v>43</v>
      </c>
      <c r="U17" s="136" t="s">
        <v>43</v>
      </c>
      <c r="V17" s="59" t="s">
        <v>43</v>
      </c>
      <c r="W17" s="59" t="s">
        <v>43</v>
      </c>
      <c r="X17" s="59" t="s">
        <v>43</v>
      </c>
      <c r="Y17" s="136" t="s">
        <v>43</v>
      </c>
      <c r="Z17" s="59" t="s">
        <v>43</v>
      </c>
      <c r="AA17" s="59" t="s">
        <v>43</v>
      </c>
      <c r="AB17" s="136" t="s">
        <v>43</v>
      </c>
    </row>
    <row r="18" spans="1:28" s="55" customFormat="1" ht="16.2" thickBot="1" x14ac:dyDescent="0.35">
      <c r="A18" s="57" t="s">
        <v>44</v>
      </c>
      <c r="B18" s="56">
        <v>201</v>
      </c>
      <c r="C18" s="138">
        <v>202</v>
      </c>
      <c r="D18" s="56">
        <v>203</v>
      </c>
      <c r="E18" s="56">
        <v>204</v>
      </c>
      <c r="F18" s="56">
        <v>205</v>
      </c>
      <c r="G18" s="138">
        <v>206</v>
      </c>
      <c r="H18" s="56">
        <v>207</v>
      </c>
      <c r="I18" s="56">
        <v>208</v>
      </c>
      <c r="J18" s="138">
        <v>209</v>
      </c>
      <c r="K18" s="138">
        <v>210</v>
      </c>
      <c r="L18" s="56">
        <v>211</v>
      </c>
      <c r="M18" s="138">
        <v>212</v>
      </c>
      <c r="N18" s="56">
        <v>213</v>
      </c>
      <c r="O18" s="56">
        <v>214</v>
      </c>
      <c r="P18" s="56">
        <v>215</v>
      </c>
      <c r="Q18" s="56">
        <v>216</v>
      </c>
      <c r="R18" s="56">
        <v>217</v>
      </c>
      <c r="S18" s="138">
        <v>218</v>
      </c>
      <c r="T18" s="56">
        <v>219</v>
      </c>
      <c r="U18" s="138">
        <v>220</v>
      </c>
      <c r="V18" s="56">
        <v>221</v>
      </c>
      <c r="W18" s="56">
        <v>222</v>
      </c>
      <c r="X18" s="56">
        <v>223</v>
      </c>
      <c r="Y18" s="138">
        <v>224</v>
      </c>
      <c r="Z18" s="56">
        <v>225</v>
      </c>
      <c r="AA18" s="56">
        <v>226</v>
      </c>
      <c r="AB18" s="138">
        <v>227</v>
      </c>
    </row>
    <row r="19" spans="1:28" s="1" customFormat="1" ht="16.8" thickTop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s="55" customFormat="1" ht="16.2" thickTop="1" x14ac:dyDescent="0.3">
      <c r="A20" s="61" t="s">
        <v>1</v>
      </c>
      <c r="B20" s="62" t="s">
        <v>19</v>
      </c>
      <c r="C20" s="135" t="s">
        <v>18</v>
      </c>
      <c r="D20" s="62" t="s">
        <v>17</v>
      </c>
      <c r="E20" s="62" t="s">
        <v>14</v>
      </c>
      <c r="F20" s="62" t="s">
        <v>16</v>
      </c>
      <c r="G20" s="62" t="s">
        <v>13</v>
      </c>
      <c r="H20" s="135" t="s">
        <v>11</v>
      </c>
      <c r="I20" s="135" t="s">
        <v>15</v>
      </c>
      <c r="J20" s="62" t="s">
        <v>12</v>
      </c>
      <c r="K20" s="62" t="s">
        <v>21</v>
      </c>
      <c r="L20" s="135" t="s">
        <v>26</v>
      </c>
      <c r="M20" s="62" t="s">
        <v>25</v>
      </c>
      <c r="N20" s="62" t="s">
        <v>20</v>
      </c>
      <c r="O20" s="62" t="s">
        <v>23</v>
      </c>
      <c r="P20" s="62" t="s">
        <v>24</v>
      </c>
      <c r="Q20" s="135" t="s">
        <v>22</v>
      </c>
      <c r="R20" s="135" t="s">
        <v>27</v>
      </c>
      <c r="S20" s="62" t="s">
        <v>28</v>
      </c>
      <c r="T20" s="62" t="s">
        <v>8</v>
      </c>
      <c r="U20" s="135" t="s">
        <v>3</v>
      </c>
      <c r="V20" s="62" t="s">
        <v>10</v>
      </c>
      <c r="W20" s="62" t="s">
        <v>7</v>
      </c>
      <c r="X20" s="62" t="s">
        <v>2</v>
      </c>
      <c r="Y20" s="62" t="s">
        <v>6</v>
      </c>
      <c r="Z20" s="135" t="s">
        <v>5</v>
      </c>
      <c r="AA20" s="135" t="s">
        <v>9</v>
      </c>
      <c r="AB20" s="62" t="s">
        <v>4</v>
      </c>
    </row>
    <row r="21" spans="1:28" x14ac:dyDescent="0.3">
      <c r="A21" s="55" t="s">
        <v>29</v>
      </c>
      <c r="B21" s="53">
        <v>1</v>
      </c>
      <c r="C21" s="136">
        <v>2</v>
      </c>
      <c r="D21" s="53">
        <v>3</v>
      </c>
      <c r="E21" s="53">
        <v>4</v>
      </c>
      <c r="F21" s="53">
        <v>5</v>
      </c>
      <c r="G21" s="53">
        <v>6</v>
      </c>
      <c r="H21" s="136">
        <v>7</v>
      </c>
      <c r="I21" s="136">
        <v>8</v>
      </c>
      <c r="J21" s="53">
        <v>9</v>
      </c>
      <c r="K21" s="53">
        <v>1</v>
      </c>
      <c r="L21" s="136">
        <v>2</v>
      </c>
      <c r="M21" s="53">
        <v>3</v>
      </c>
      <c r="N21" s="53">
        <v>4</v>
      </c>
      <c r="O21" s="53">
        <v>5</v>
      </c>
      <c r="P21" s="53">
        <v>6</v>
      </c>
      <c r="Q21" s="136">
        <v>7</v>
      </c>
      <c r="R21" s="136">
        <v>8</v>
      </c>
      <c r="S21" s="53">
        <v>9</v>
      </c>
      <c r="T21" s="53">
        <v>1</v>
      </c>
      <c r="U21" s="136">
        <v>2</v>
      </c>
      <c r="V21" s="53">
        <v>3</v>
      </c>
      <c r="W21" s="53">
        <v>4</v>
      </c>
      <c r="X21" s="53">
        <v>5</v>
      </c>
      <c r="Y21" s="53">
        <v>6</v>
      </c>
      <c r="Z21" s="136">
        <v>7</v>
      </c>
      <c r="AA21" s="136">
        <v>8</v>
      </c>
      <c r="AB21" s="53">
        <v>9</v>
      </c>
    </row>
    <row r="22" spans="1:28" ht="31.2" x14ac:dyDescent="0.3">
      <c r="A22" s="55" t="s">
        <v>30</v>
      </c>
      <c r="B22" s="54" t="s">
        <v>37</v>
      </c>
      <c r="C22" s="137" t="s">
        <v>32</v>
      </c>
      <c r="D22" s="54" t="s">
        <v>39</v>
      </c>
      <c r="E22" s="54" t="s">
        <v>36</v>
      </c>
      <c r="F22" s="54" t="s">
        <v>31</v>
      </c>
      <c r="G22" s="54" t="s">
        <v>35</v>
      </c>
      <c r="H22" s="137" t="s">
        <v>34</v>
      </c>
      <c r="I22" s="137" t="s">
        <v>38</v>
      </c>
      <c r="J22" s="54" t="s">
        <v>33</v>
      </c>
      <c r="K22" s="54" t="s">
        <v>37</v>
      </c>
      <c r="L22" s="137" t="s">
        <v>32</v>
      </c>
      <c r="M22" s="54" t="s">
        <v>39</v>
      </c>
      <c r="N22" s="54" t="s">
        <v>36</v>
      </c>
      <c r="O22" s="54" t="s">
        <v>31</v>
      </c>
      <c r="P22" s="54" t="s">
        <v>35</v>
      </c>
      <c r="Q22" s="137" t="s">
        <v>34</v>
      </c>
      <c r="R22" s="137" t="s">
        <v>38</v>
      </c>
      <c r="S22" s="54" t="s">
        <v>33</v>
      </c>
      <c r="T22" s="54" t="s">
        <v>37</v>
      </c>
      <c r="U22" s="137" t="s">
        <v>32</v>
      </c>
      <c r="V22" s="54" t="s">
        <v>39</v>
      </c>
      <c r="W22" s="54" t="s">
        <v>36</v>
      </c>
      <c r="X22" s="54" t="s">
        <v>31</v>
      </c>
      <c r="Y22" s="54" t="s">
        <v>35</v>
      </c>
      <c r="Z22" s="137" t="s">
        <v>34</v>
      </c>
      <c r="AA22" s="137" t="s">
        <v>38</v>
      </c>
      <c r="AB22" s="54" t="s">
        <v>33</v>
      </c>
    </row>
    <row r="23" spans="1:28" x14ac:dyDescent="0.3">
      <c r="A23" s="55" t="s">
        <v>40</v>
      </c>
      <c r="B23" s="58" t="s">
        <v>42</v>
      </c>
      <c r="C23" s="136" t="s">
        <v>42</v>
      </c>
      <c r="D23" s="58" t="s">
        <v>42</v>
      </c>
      <c r="E23" s="58" t="s">
        <v>42</v>
      </c>
      <c r="F23" s="58" t="s">
        <v>42</v>
      </c>
      <c r="G23" s="58" t="s">
        <v>42</v>
      </c>
      <c r="H23" s="136" t="s">
        <v>42</v>
      </c>
      <c r="I23" s="136" t="s">
        <v>42</v>
      </c>
      <c r="J23" s="58" t="s">
        <v>42</v>
      </c>
      <c r="K23" s="59" t="s">
        <v>43</v>
      </c>
      <c r="L23" s="136" t="s">
        <v>43</v>
      </c>
      <c r="M23" s="59" t="s">
        <v>43</v>
      </c>
      <c r="N23" s="59" t="s">
        <v>43</v>
      </c>
      <c r="O23" s="59" t="s">
        <v>43</v>
      </c>
      <c r="P23" s="59" t="s">
        <v>43</v>
      </c>
      <c r="Q23" s="136" t="s">
        <v>43</v>
      </c>
      <c r="R23" s="136" t="s">
        <v>43</v>
      </c>
      <c r="S23" s="59" t="s">
        <v>43</v>
      </c>
      <c r="T23" s="60" t="s">
        <v>41</v>
      </c>
      <c r="U23" s="136" t="s">
        <v>41</v>
      </c>
      <c r="V23" s="60" t="s">
        <v>41</v>
      </c>
      <c r="W23" s="60" t="s">
        <v>41</v>
      </c>
      <c r="X23" s="60" t="s">
        <v>41</v>
      </c>
      <c r="Y23" s="60" t="s">
        <v>41</v>
      </c>
      <c r="Z23" s="136" t="s">
        <v>41</v>
      </c>
      <c r="AA23" s="136" t="s">
        <v>41</v>
      </c>
      <c r="AB23" s="60" t="s">
        <v>41</v>
      </c>
    </row>
    <row r="24" spans="1:28" s="55" customFormat="1" ht="16.2" thickBot="1" x14ac:dyDescent="0.35">
      <c r="A24" s="57" t="s">
        <v>44</v>
      </c>
      <c r="B24" s="56">
        <v>101</v>
      </c>
      <c r="C24" s="138">
        <v>102</v>
      </c>
      <c r="D24" s="56">
        <v>103</v>
      </c>
      <c r="E24" s="56">
        <v>104</v>
      </c>
      <c r="F24" s="56">
        <v>105</v>
      </c>
      <c r="G24" s="56">
        <v>106</v>
      </c>
      <c r="H24" s="138">
        <v>107</v>
      </c>
      <c r="I24" s="138">
        <v>108</v>
      </c>
      <c r="J24" s="56">
        <v>109</v>
      </c>
      <c r="K24" s="56">
        <v>110</v>
      </c>
      <c r="L24" s="138">
        <v>111</v>
      </c>
      <c r="M24" s="56">
        <v>112</v>
      </c>
      <c r="N24" s="56">
        <v>113</v>
      </c>
      <c r="O24" s="56">
        <v>114</v>
      </c>
      <c r="P24" s="56">
        <v>115</v>
      </c>
      <c r="Q24" s="138">
        <v>116</v>
      </c>
      <c r="R24" s="138">
        <v>117</v>
      </c>
      <c r="S24" s="56">
        <v>118</v>
      </c>
      <c r="T24" s="56">
        <v>119</v>
      </c>
      <c r="U24" s="138">
        <v>120</v>
      </c>
      <c r="V24" s="56">
        <v>121</v>
      </c>
      <c r="W24" s="56">
        <v>122</v>
      </c>
      <c r="X24" s="56">
        <v>123</v>
      </c>
      <c r="Y24" s="56">
        <v>124</v>
      </c>
      <c r="Z24" s="138">
        <v>125</v>
      </c>
      <c r="AA24" s="138">
        <v>126</v>
      </c>
      <c r="AB24" s="56">
        <v>127</v>
      </c>
    </row>
    <row r="25" spans="1:28" s="1" customFormat="1" ht="16.2" thickTop="1" x14ac:dyDescent="0.3"/>
    <row r="26" spans="1:28" x14ac:dyDescent="0.3">
      <c r="A26" s="1"/>
    </row>
    <row r="27" spans="1:28" x14ac:dyDescent="0.3">
      <c r="A27" s="52"/>
    </row>
    <row r="32" spans="1:28" x14ac:dyDescent="0.3">
      <c r="W32" s="3">
        <f>18*4/6</f>
        <v>12</v>
      </c>
    </row>
  </sheetData>
  <pageMargins left="0.7" right="0.7" top="0.75" bottom="0.75" header="0.3" footer="0.3"/>
  <pageSetup paperSize="256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3FD4-D31C-4836-9FDD-DEC8233C16F7}">
  <dimension ref="B1:BX112"/>
  <sheetViews>
    <sheetView topLeftCell="BD1" workbookViewId="0">
      <selection activeCell="BI16" sqref="BI16"/>
    </sheetView>
  </sheetViews>
  <sheetFormatPr defaultColWidth="11" defaultRowHeight="15.6" x14ac:dyDescent="0.3"/>
  <cols>
    <col min="2" max="2" width="8.5" customWidth="1"/>
    <col min="3" max="3" width="12.5" customWidth="1"/>
    <col min="4" max="4" width="9.19921875" customWidth="1"/>
    <col min="5" max="5" width="7.69921875" customWidth="1"/>
    <col min="6" max="6" width="7.5" customWidth="1"/>
    <col min="7" max="7" width="13.69921875" customWidth="1"/>
    <col min="9" max="9" width="26.3984375" customWidth="1"/>
    <col min="10" max="11" width="10" customWidth="1"/>
    <col min="12" max="12" width="11.69921875" customWidth="1"/>
    <col min="63" max="63" width="9.19921875" bestFit="1" customWidth="1"/>
    <col min="64" max="64" width="10.69921875" customWidth="1"/>
    <col min="65" max="65" width="10.8984375" customWidth="1"/>
    <col min="67" max="67" width="12.69921875" customWidth="1"/>
    <col min="68" max="68" width="11" customWidth="1"/>
    <col min="70" max="70" width="11.69921875" customWidth="1"/>
    <col min="71" max="71" width="10.19921875" customWidth="1"/>
    <col min="72" max="72" width="11.69921875" customWidth="1"/>
  </cols>
  <sheetData>
    <row r="1" spans="2:76" ht="16.2" thickBot="1" x14ac:dyDescent="0.35">
      <c r="BJ1" s="9" t="s">
        <v>45</v>
      </c>
      <c r="BK1" s="9"/>
      <c r="BL1" s="43"/>
    </row>
    <row r="2" spans="2:76" ht="16.2" thickBot="1" x14ac:dyDescent="0.35">
      <c r="H2" t="s">
        <v>46</v>
      </c>
      <c r="I2" t="s">
        <v>47</v>
      </c>
      <c r="J2" s="49" t="s">
        <v>48</v>
      </c>
      <c r="K2" s="50"/>
      <c r="L2" s="51"/>
      <c r="M2" s="48" t="s">
        <v>49</v>
      </c>
      <c r="N2" s="32"/>
      <c r="R2" s="48" t="s">
        <v>49</v>
      </c>
      <c r="S2" s="32"/>
      <c r="W2" s="48" t="s">
        <v>49</v>
      </c>
      <c r="X2" s="32"/>
      <c r="AB2" s="48" t="s">
        <v>49</v>
      </c>
      <c r="AC2" s="32"/>
      <c r="AG2" s="48" t="s">
        <v>49</v>
      </c>
      <c r="AH2" s="32"/>
      <c r="AL2" s="48" t="s">
        <v>49</v>
      </c>
      <c r="AM2" s="32"/>
      <c r="AR2" s="48" t="s">
        <v>49</v>
      </c>
      <c r="AS2" s="32"/>
      <c r="AW2" s="48" t="s">
        <v>49</v>
      </c>
      <c r="AX2" s="32"/>
      <c r="BA2" s="48" t="s">
        <v>49</v>
      </c>
      <c r="BB2" s="32"/>
      <c r="BE2" s="48" t="s">
        <v>49</v>
      </c>
      <c r="BF2" s="32"/>
      <c r="BJ2" s="44" t="s">
        <v>50</v>
      </c>
      <c r="BK2" s="44"/>
      <c r="BL2" s="45"/>
      <c r="BO2" t="s">
        <v>51</v>
      </c>
      <c r="BP2" s="46"/>
    </row>
    <row r="3" spans="2:76" ht="30" customHeight="1" x14ac:dyDescent="0.3">
      <c r="D3" s="11"/>
      <c r="J3" s="188" t="s">
        <v>52</v>
      </c>
      <c r="K3" s="189"/>
      <c r="L3" s="190"/>
      <c r="M3" s="191" t="s">
        <v>53</v>
      </c>
      <c r="N3" s="192"/>
      <c r="O3" s="192"/>
      <c r="P3" s="192"/>
      <c r="Q3" s="193"/>
      <c r="R3" s="191" t="s">
        <v>53</v>
      </c>
      <c r="S3" s="192"/>
      <c r="T3" s="192"/>
      <c r="U3" s="192"/>
      <c r="V3" s="193"/>
      <c r="W3" s="191" t="s">
        <v>53</v>
      </c>
      <c r="X3" s="192"/>
      <c r="Y3" s="192"/>
      <c r="Z3" s="192"/>
      <c r="AA3" s="193"/>
      <c r="AB3" s="191" t="s">
        <v>53</v>
      </c>
      <c r="AC3" s="192"/>
      <c r="AD3" s="192"/>
      <c r="AE3" s="192"/>
      <c r="AF3" s="193"/>
      <c r="AG3" s="191" t="s">
        <v>53</v>
      </c>
      <c r="AH3" s="192"/>
      <c r="AI3" s="192"/>
      <c r="AJ3" s="192"/>
      <c r="AK3" s="193"/>
      <c r="AL3" s="191" t="s">
        <v>53</v>
      </c>
      <c r="AM3" s="192"/>
      <c r="AN3" s="192"/>
      <c r="AO3" s="192"/>
      <c r="AP3" s="193"/>
      <c r="AQ3" s="1"/>
      <c r="AR3" s="191" t="s">
        <v>54</v>
      </c>
      <c r="AS3" s="192"/>
      <c r="AT3" s="192"/>
      <c r="AU3" s="192"/>
      <c r="AV3" s="193"/>
      <c r="AW3" s="191" t="s">
        <v>55</v>
      </c>
      <c r="AX3" s="192"/>
      <c r="AY3" s="192"/>
      <c r="AZ3" s="193"/>
      <c r="BA3" s="191" t="s">
        <v>56</v>
      </c>
      <c r="BB3" s="192"/>
      <c r="BC3" s="192"/>
      <c r="BD3" s="193"/>
      <c r="BE3" s="191" t="s">
        <v>57</v>
      </c>
      <c r="BF3" s="192"/>
      <c r="BG3" s="192"/>
      <c r="BH3" s="193"/>
      <c r="BI3" s="185" t="s">
        <v>58</v>
      </c>
      <c r="BJ3" s="186"/>
      <c r="BK3" s="186"/>
      <c r="BL3" s="186"/>
      <c r="BM3" s="186"/>
      <c r="BN3" s="187"/>
      <c r="BS3" t="s">
        <v>59</v>
      </c>
      <c r="BT3" s="3" t="s">
        <v>60</v>
      </c>
      <c r="BV3" t="s">
        <v>61</v>
      </c>
      <c r="BW3" t="s">
        <v>61</v>
      </c>
    </row>
    <row r="4" spans="2:76" ht="78.599999999999994" x14ac:dyDescent="0.3">
      <c r="B4" s="9" t="s">
        <v>62</v>
      </c>
      <c r="C4" s="9" t="s">
        <v>63</v>
      </c>
      <c r="D4" s="15" t="s">
        <v>64</v>
      </c>
      <c r="E4" s="16" t="s">
        <v>65</v>
      </c>
      <c r="F4" s="16" t="s">
        <v>1</v>
      </c>
      <c r="G4" s="16" t="s">
        <v>40</v>
      </c>
      <c r="H4" s="16" t="s">
        <v>66</v>
      </c>
      <c r="I4" s="12" t="s">
        <v>67</v>
      </c>
      <c r="J4" s="12" t="s">
        <v>68</v>
      </c>
      <c r="K4" s="13" t="s">
        <v>69</v>
      </c>
      <c r="L4" s="14" t="s">
        <v>70</v>
      </c>
      <c r="M4" s="12" t="s">
        <v>71</v>
      </c>
      <c r="N4" s="13" t="s">
        <v>72</v>
      </c>
      <c r="O4" s="13" t="s">
        <v>73</v>
      </c>
      <c r="P4" s="13" t="s">
        <v>74</v>
      </c>
      <c r="Q4" s="14" t="s">
        <v>75</v>
      </c>
      <c r="R4" s="12" t="s">
        <v>71</v>
      </c>
      <c r="S4" s="13" t="s">
        <v>72</v>
      </c>
      <c r="T4" s="13" t="s">
        <v>73</v>
      </c>
      <c r="U4" s="13" t="s">
        <v>74</v>
      </c>
      <c r="V4" s="14" t="s">
        <v>76</v>
      </c>
      <c r="W4" s="12" t="s">
        <v>71</v>
      </c>
      <c r="X4" s="13" t="s">
        <v>72</v>
      </c>
      <c r="Y4" s="13" t="s">
        <v>73</v>
      </c>
      <c r="Z4" s="13" t="s">
        <v>74</v>
      </c>
      <c r="AA4" s="14" t="s">
        <v>77</v>
      </c>
      <c r="AB4" s="12" t="s">
        <v>71</v>
      </c>
      <c r="AC4" s="13" t="s">
        <v>72</v>
      </c>
      <c r="AD4" s="13" t="s">
        <v>73</v>
      </c>
      <c r="AE4" s="13" t="s">
        <v>74</v>
      </c>
      <c r="AF4" s="14" t="s">
        <v>78</v>
      </c>
      <c r="AG4" s="12" t="s">
        <v>71</v>
      </c>
      <c r="AH4" s="13" t="s">
        <v>72</v>
      </c>
      <c r="AI4" s="13" t="s">
        <v>73</v>
      </c>
      <c r="AJ4" s="13" t="s">
        <v>74</v>
      </c>
      <c r="AK4" s="14" t="s">
        <v>79</v>
      </c>
      <c r="AL4" s="12" t="s">
        <v>71</v>
      </c>
      <c r="AM4" s="13" t="s">
        <v>72</v>
      </c>
      <c r="AN4" s="13" t="s">
        <v>73</v>
      </c>
      <c r="AO4" s="13" t="s">
        <v>74</v>
      </c>
      <c r="AP4" s="14" t="s">
        <v>80</v>
      </c>
      <c r="AQ4" s="41" t="s">
        <v>81</v>
      </c>
      <c r="AR4" s="12" t="s">
        <v>71</v>
      </c>
      <c r="AS4" s="13" t="s">
        <v>72</v>
      </c>
      <c r="AT4" s="13" t="s">
        <v>73</v>
      </c>
      <c r="AU4" s="13" t="s">
        <v>74</v>
      </c>
      <c r="AV4" s="41" t="s">
        <v>82</v>
      </c>
      <c r="AW4" s="12" t="s">
        <v>83</v>
      </c>
      <c r="AX4" s="13" t="s">
        <v>84</v>
      </c>
      <c r="AY4" s="13" t="s">
        <v>85</v>
      </c>
      <c r="AZ4" s="42" t="s">
        <v>86</v>
      </c>
      <c r="BA4" s="12" t="s">
        <v>83</v>
      </c>
      <c r="BB4" s="13" t="s">
        <v>84</v>
      </c>
      <c r="BC4" s="13" t="s">
        <v>85</v>
      </c>
      <c r="BD4" s="42" t="s">
        <v>87</v>
      </c>
      <c r="BE4" s="12" t="s">
        <v>83</v>
      </c>
      <c r="BF4" s="13" t="s">
        <v>84</v>
      </c>
      <c r="BG4" s="13" t="s">
        <v>85</v>
      </c>
      <c r="BH4" s="42" t="s">
        <v>88</v>
      </c>
      <c r="BI4" s="12" t="s">
        <v>89</v>
      </c>
      <c r="BJ4" s="13" t="s">
        <v>90</v>
      </c>
      <c r="BK4" s="13" t="s">
        <v>91</v>
      </c>
      <c r="BL4" s="13" t="s">
        <v>92</v>
      </c>
      <c r="BM4" s="13" t="s">
        <v>93</v>
      </c>
      <c r="BN4" s="14" t="s">
        <v>94</v>
      </c>
      <c r="BO4" s="12" t="s">
        <v>95</v>
      </c>
      <c r="BP4" s="13" t="s">
        <v>96</v>
      </c>
      <c r="BQ4" s="13" t="s">
        <v>97</v>
      </c>
      <c r="BR4" s="13" t="s">
        <v>98</v>
      </c>
      <c r="BS4" s="12" t="s">
        <v>99</v>
      </c>
      <c r="BT4" s="47" t="s">
        <v>100</v>
      </c>
      <c r="BU4" s="24" t="s">
        <v>101</v>
      </c>
      <c r="BV4" s="19" t="s">
        <v>102</v>
      </c>
      <c r="BW4" s="19" t="s">
        <v>103</v>
      </c>
      <c r="BX4" s="14" t="s">
        <v>104</v>
      </c>
    </row>
    <row r="5" spans="2:76" x14ac:dyDescent="0.3">
      <c r="B5" s="63">
        <v>2024</v>
      </c>
      <c r="C5" t="s">
        <v>105</v>
      </c>
      <c r="D5">
        <v>101</v>
      </c>
      <c r="E5">
        <v>1</v>
      </c>
      <c r="F5">
        <v>1</v>
      </c>
      <c r="G5" t="s">
        <v>42</v>
      </c>
      <c r="H5">
        <v>1</v>
      </c>
      <c r="I5" t="s">
        <v>37</v>
      </c>
      <c r="L5" s="21" t="e">
        <f>(AVERAGE(J5:K5))/L$2</f>
        <v>#DIV/0!</v>
      </c>
      <c r="Q5" s="20" t="e">
        <f>AVERAGE(M5:P5)</f>
        <v>#DIV/0!</v>
      </c>
      <c r="V5" s="20" t="e">
        <f>AVERAGE(R5:U5)</f>
        <v>#DIV/0!</v>
      </c>
      <c r="W5" s="20"/>
      <c r="X5" s="20"/>
      <c r="Y5" s="20"/>
      <c r="Z5" s="20"/>
      <c r="AA5" s="20" t="e">
        <f>AVERAGE(W5:Z5)</f>
        <v>#DIV/0!</v>
      </c>
      <c r="AB5" s="20"/>
      <c r="AC5" s="20"/>
      <c r="AD5" s="20"/>
      <c r="AE5" s="20"/>
      <c r="AF5" s="20" t="e">
        <f>AVERAGE(AB5:AE5)</f>
        <v>#DIV/0!</v>
      </c>
      <c r="AG5" s="20"/>
      <c r="AH5" s="20"/>
      <c r="AI5" s="20"/>
      <c r="AJ5" s="20"/>
      <c r="AK5" s="20" t="e">
        <f>AVERAGE(AG5:AJ5)</f>
        <v>#DIV/0!</v>
      </c>
      <c r="AL5" s="20"/>
      <c r="AM5" s="20"/>
      <c r="AN5" s="20"/>
      <c r="AO5" s="20"/>
      <c r="AP5" s="20" t="e">
        <f>AVERAGE(AL5:AO5)</f>
        <v>#DIV/0!</v>
      </c>
      <c r="AQ5" s="20"/>
      <c r="AR5" s="20"/>
      <c r="AS5" s="20"/>
      <c r="AT5" s="20"/>
      <c r="AU5" s="20"/>
      <c r="AV5" s="20" t="e">
        <f>AVERAGE(AR5:AU5)</f>
        <v>#DIV/0!</v>
      </c>
      <c r="AW5">
        <v>0</v>
      </c>
      <c r="AX5">
        <v>0</v>
      </c>
      <c r="AY5">
        <v>0</v>
      </c>
      <c r="AZ5" s="20">
        <f>((2*AW5)/3)+(AX5/3)+AY5</f>
        <v>0</v>
      </c>
      <c r="BA5">
        <v>0</v>
      </c>
      <c r="BB5">
        <v>0</v>
      </c>
      <c r="BC5">
        <v>0</v>
      </c>
      <c r="BD5" s="20">
        <f>((2*BA5)/3)+(BB5/3)+BC5</f>
        <v>0</v>
      </c>
      <c r="BE5">
        <v>0</v>
      </c>
      <c r="BF5">
        <v>0</v>
      </c>
      <c r="BG5">
        <v>0</v>
      </c>
      <c r="BH5" s="20">
        <f>((2*BE5)/3)+(BF5/3)+BG5</f>
        <v>0</v>
      </c>
      <c r="BK5" s="17" t="e">
        <f>(BI5-BJ5)/BI5*100</f>
        <v>#DIV/0!</v>
      </c>
      <c r="BL5" s="17" t="e">
        <f>(BK5-35)/2.5</f>
        <v>#DIV/0!</v>
      </c>
      <c r="BM5" s="18" t="e">
        <f>BL$2+BL5</f>
        <v>#DIV/0!</v>
      </c>
      <c r="BN5" s="20" t="e">
        <f>BM5-BL$1</f>
        <v>#DIV/0!</v>
      </c>
      <c r="BO5">
        <v>6</v>
      </c>
      <c r="BP5" s="22">
        <f>BO5*BP$2</f>
        <v>0</v>
      </c>
      <c r="BR5" s="20"/>
      <c r="BS5" s="20" t="e">
        <f>(BQ5*(100-BR5)/(100-13.5))/BP5*10000/1000</f>
        <v>#DIV/0!</v>
      </c>
      <c r="BT5" s="20" t="e">
        <f>BS5*(2.204/48)*(1/2.47)</f>
        <v>#DIV/0!</v>
      </c>
      <c r="BV5" s="20"/>
      <c r="BW5" s="20"/>
      <c r="BX5" s="20" t="e">
        <f>(AVERAGE(BV5:BW5)*10)*((100-BR5)/(100-13.5))</f>
        <v>#DIV/0!</v>
      </c>
    </row>
    <row r="6" spans="2:76" x14ac:dyDescent="0.3">
      <c r="B6" s="63">
        <v>2024</v>
      </c>
      <c r="C6" t="s">
        <v>105</v>
      </c>
      <c r="D6">
        <v>102</v>
      </c>
      <c r="E6">
        <v>1</v>
      </c>
      <c r="F6">
        <v>2</v>
      </c>
      <c r="G6" t="s">
        <v>42</v>
      </c>
      <c r="H6">
        <v>2</v>
      </c>
      <c r="I6" t="s">
        <v>32</v>
      </c>
      <c r="L6" s="21" t="e">
        <f t="shared" ref="L6:L69" si="0">(AVERAGE(J6:K6))/L$2</f>
        <v>#DIV/0!</v>
      </c>
      <c r="Q6" s="20" t="e">
        <f t="shared" ref="Q6:Q69" si="1">AVERAGE(M6:P6)</f>
        <v>#DIV/0!</v>
      </c>
      <c r="V6" s="20" t="e">
        <f t="shared" ref="V6:V69" si="2">AVERAGE(R6:U6)</f>
        <v>#DIV/0!</v>
      </c>
      <c r="W6" s="20"/>
      <c r="X6" s="20"/>
      <c r="Y6" s="20"/>
      <c r="Z6" s="20"/>
      <c r="AA6" s="20" t="e">
        <f t="shared" ref="AA6:AA69" si="3">AVERAGE(W6:Z6)</f>
        <v>#DIV/0!</v>
      </c>
      <c r="AB6" s="20"/>
      <c r="AC6" s="20"/>
      <c r="AD6" s="20"/>
      <c r="AE6" s="20"/>
      <c r="AF6" s="20" t="e">
        <f t="shared" ref="AF6:AF69" si="4">AVERAGE(AB6:AE6)</f>
        <v>#DIV/0!</v>
      </c>
      <c r="AG6" s="20"/>
      <c r="AH6" s="20"/>
      <c r="AI6" s="20"/>
      <c r="AJ6" s="20"/>
      <c r="AK6" s="20" t="e">
        <f t="shared" ref="AK6:AK69" si="5">AVERAGE(AG6:AJ6)</f>
        <v>#DIV/0!</v>
      </c>
      <c r="AL6" s="20"/>
      <c r="AM6" s="20"/>
      <c r="AN6" s="20"/>
      <c r="AO6" s="20"/>
      <c r="AP6" s="20" t="e">
        <f t="shared" ref="AP6:AP69" si="6">AVERAGE(AL6:AO6)</f>
        <v>#DIV/0!</v>
      </c>
      <c r="AQ6" s="20"/>
      <c r="AR6" s="20"/>
      <c r="AS6" s="20"/>
      <c r="AT6" s="20"/>
      <c r="AU6" s="20"/>
      <c r="AV6" s="20" t="e">
        <f t="shared" ref="AV6:AV69" si="7">AVERAGE(AR6:AU6)</f>
        <v>#DIV/0!</v>
      </c>
      <c r="AZ6" s="20">
        <f t="shared" ref="AZ6:AZ69" si="8">((2*AW6)/3)+(AX6/3)+AY6</f>
        <v>0</v>
      </c>
      <c r="BA6" s="20"/>
      <c r="BB6" s="20"/>
      <c r="BC6" s="20"/>
      <c r="BD6" s="20">
        <f t="shared" ref="BD6:BD69" si="9">((2*BA6)/3)+(BB6/3)+BC6</f>
        <v>0</v>
      </c>
      <c r="BH6" s="20">
        <f t="shared" ref="BH6:BH69" si="10">((2*BE6)/3)+(BF6/3)+BG6</f>
        <v>0</v>
      </c>
      <c r="BK6" s="17" t="e">
        <f t="shared" ref="BK6:BK69" si="11">(BI6-BJ6)/BI6*100</f>
        <v>#DIV/0!</v>
      </c>
      <c r="BL6" s="17" t="e">
        <f t="shared" ref="BL6:BL69" si="12">(BK6-35)/2.5</f>
        <v>#DIV/0!</v>
      </c>
      <c r="BM6" s="18" t="e">
        <f t="shared" ref="BM6:BM69" si="13">BL$2+BL6</f>
        <v>#DIV/0!</v>
      </c>
      <c r="BN6" s="20" t="e">
        <f t="shared" ref="BN6:BN69" si="14">BM6-BL$1</f>
        <v>#DIV/0!</v>
      </c>
      <c r="BO6">
        <v>6</v>
      </c>
      <c r="BP6" s="22">
        <f t="shared" ref="BP6:BP69" si="15">BO6*BP$2</f>
        <v>0</v>
      </c>
      <c r="BR6" s="20"/>
      <c r="BS6" s="20" t="e">
        <f t="shared" ref="BS6:BS69" si="16">(BQ6*(100-BR6)/(100-13.5))/BP6*10000/1000</f>
        <v>#DIV/0!</v>
      </c>
      <c r="BT6" s="20" t="e">
        <f t="shared" ref="BT6:BT69" si="17">BS6*(2.204/48)*(1/2.47)</f>
        <v>#DIV/0!</v>
      </c>
      <c r="BV6" s="20"/>
      <c r="BW6" s="20"/>
      <c r="BX6" s="20" t="e">
        <f t="shared" ref="BX6:BX69" si="18">(AVERAGE(BV6:BW6)*10)*((100-BR6)/(100-13.5))</f>
        <v>#DIV/0!</v>
      </c>
    </row>
    <row r="7" spans="2:76" x14ac:dyDescent="0.3">
      <c r="B7" s="63">
        <v>2024</v>
      </c>
      <c r="C7" t="s">
        <v>105</v>
      </c>
      <c r="D7">
        <v>103</v>
      </c>
      <c r="E7">
        <v>1</v>
      </c>
      <c r="F7">
        <v>3</v>
      </c>
      <c r="G7" t="s">
        <v>42</v>
      </c>
      <c r="H7">
        <v>3</v>
      </c>
      <c r="I7" t="s">
        <v>39</v>
      </c>
      <c r="L7" s="21" t="e">
        <f t="shared" si="0"/>
        <v>#DIV/0!</v>
      </c>
      <c r="Q7" s="20" t="e">
        <f t="shared" si="1"/>
        <v>#DIV/0!</v>
      </c>
      <c r="V7" s="20" t="e">
        <f t="shared" si="2"/>
        <v>#DIV/0!</v>
      </c>
      <c r="W7" s="20"/>
      <c r="X7" s="20"/>
      <c r="Y7" s="20"/>
      <c r="Z7" s="20"/>
      <c r="AA7" s="20" t="e">
        <f t="shared" si="3"/>
        <v>#DIV/0!</v>
      </c>
      <c r="AB7" s="20"/>
      <c r="AC7" s="20"/>
      <c r="AD7" s="20"/>
      <c r="AE7" s="20"/>
      <c r="AF7" s="20" t="e">
        <f t="shared" si="4"/>
        <v>#DIV/0!</v>
      </c>
      <c r="AG7" s="20"/>
      <c r="AH7" s="20"/>
      <c r="AI7" s="20"/>
      <c r="AJ7" s="20"/>
      <c r="AK7" s="20" t="e">
        <f t="shared" si="5"/>
        <v>#DIV/0!</v>
      </c>
      <c r="AL7" s="20"/>
      <c r="AM7" s="20"/>
      <c r="AN7" s="20"/>
      <c r="AO7" s="20"/>
      <c r="AP7" s="20" t="e">
        <f t="shared" si="6"/>
        <v>#DIV/0!</v>
      </c>
      <c r="AQ7" s="20"/>
      <c r="AR7" s="20"/>
      <c r="AS7" s="20"/>
      <c r="AT7" s="20"/>
      <c r="AU7" s="20"/>
      <c r="AV7" s="20" t="e">
        <f t="shared" si="7"/>
        <v>#DIV/0!</v>
      </c>
      <c r="AZ7" s="20">
        <f t="shared" si="8"/>
        <v>0</v>
      </c>
      <c r="BA7" s="20"/>
      <c r="BB7" s="20"/>
      <c r="BC7" s="20"/>
      <c r="BD7" s="20">
        <f t="shared" si="9"/>
        <v>0</v>
      </c>
      <c r="BH7" s="20">
        <f t="shared" si="10"/>
        <v>0</v>
      </c>
      <c r="BK7" s="17" t="e">
        <f t="shared" si="11"/>
        <v>#DIV/0!</v>
      </c>
      <c r="BL7" s="17" t="e">
        <f t="shared" si="12"/>
        <v>#DIV/0!</v>
      </c>
      <c r="BM7" s="18" t="e">
        <f t="shared" si="13"/>
        <v>#DIV/0!</v>
      </c>
      <c r="BN7" s="20" t="e">
        <f t="shared" si="14"/>
        <v>#DIV/0!</v>
      </c>
      <c r="BO7">
        <v>6</v>
      </c>
      <c r="BP7" s="22">
        <f t="shared" si="15"/>
        <v>0</v>
      </c>
      <c r="BR7" s="20"/>
      <c r="BS7" s="20" t="e">
        <f t="shared" si="16"/>
        <v>#DIV/0!</v>
      </c>
      <c r="BT7" s="20" t="e">
        <f t="shared" si="17"/>
        <v>#DIV/0!</v>
      </c>
      <c r="BV7" s="20"/>
      <c r="BW7" s="20"/>
      <c r="BX7" s="20" t="e">
        <f t="shared" si="18"/>
        <v>#DIV/0!</v>
      </c>
    </row>
    <row r="8" spans="2:76" x14ac:dyDescent="0.3">
      <c r="B8" s="63">
        <v>2024</v>
      </c>
      <c r="C8" t="s">
        <v>105</v>
      </c>
      <c r="D8">
        <v>104</v>
      </c>
      <c r="E8">
        <v>1</v>
      </c>
      <c r="F8">
        <v>4</v>
      </c>
      <c r="G8" t="s">
        <v>42</v>
      </c>
      <c r="H8">
        <v>4</v>
      </c>
      <c r="I8" t="s">
        <v>36</v>
      </c>
      <c r="L8" s="21" t="e">
        <f t="shared" si="0"/>
        <v>#DIV/0!</v>
      </c>
      <c r="Q8" s="20" t="e">
        <f t="shared" si="1"/>
        <v>#DIV/0!</v>
      </c>
      <c r="V8" s="20" t="e">
        <f t="shared" si="2"/>
        <v>#DIV/0!</v>
      </c>
      <c r="W8" s="20"/>
      <c r="X8" s="20"/>
      <c r="Y8" s="20"/>
      <c r="Z8" s="20"/>
      <c r="AA8" s="20" t="e">
        <f t="shared" si="3"/>
        <v>#DIV/0!</v>
      </c>
      <c r="AB8" s="20"/>
      <c r="AC8" s="20"/>
      <c r="AD8" s="20"/>
      <c r="AE8" s="20"/>
      <c r="AF8" s="20" t="e">
        <f t="shared" si="4"/>
        <v>#DIV/0!</v>
      </c>
      <c r="AG8" s="20"/>
      <c r="AH8" s="20"/>
      <c r="AI8" s="20"/>
      <c r="AJ8" s="20"/>
      <c r="AK8" s="20" t="e">
        <f t="shared" si="5"/>
        <v>#DIV/0!</v>
      </c>
      <c r="AL8" s="20"/>
      <c r="AM8" s="20"/>
      <c r="AN8" s="20"/>
      <c r="AO8" s="20"/>
      <c r="AP8" s="20" t="e">
        <f t="shared" si="6"/>
        <v>#DIV/0!</v>
      </c>
      <c r="AQ8" s="20"/>
      <c r="AR8" s="20"/>
      <c r="AS8" s="20"/>
      <c r="AT8" s="20"/>
      <c r="AU8" s="20"/>
      <c r="AV8" s="20" t="e">
        <f t="shared" si="7"/>
        <v>#DIV/0!</v>
      </c>
      <c r="AZ8" s="20">
        <f t="shared" si="8"/>
        <v>0</v>
      </c>
      <c r="BA8" s="20"/>
      <c r="BB8" s="20"/>
      <c r="BC8" s="20"/>
      <c r="BD8" s="20">
        <f t="shared" si="9"/>
        <v>0</v>
      </c>
      <c r="BH8" s="20">
        <f t="shared" si="10"/>
        <v>0</v>
      </c>
      <c r="BK8" s="17" t="e">
        <f t="shared" si="11"/>
        <v>#DIV/0!</v>
      </c>
      <c r="BL8" s="17" t="e">
        <f t="shared" si="12"/>
        <v>#DIV/0!</v>
      </c>
      <c r="BM8" s="18" t="e">
        <f t="shared" si="13"/>
        <v>#DIV/0!</v>
      </c>
      <c r="BN8" s="20" t="e">
        <f t="shared" si="14"/>
        <v>#DIV/0!</v>
      </c>
      <c r="BO8">
        <v>6</v>
      </c>
      <c r="BP8" s="22">
        <f t="shared" si="15"/>
        <v>0</v>
      </c>
      <c r="BR8" s="20"/>
      <c r="BS8" s="20" t="e">
        <f t="shared" si="16"/>
        <v>#DIV/0!</v>
      </c>
      <c r="BT8" s="20" t="e">
        <f t="shared" si="17"/>
        <v>#DIV/0!</v>
      </c>
      <c r="BV8" s="20"/>
      <c r="BW8" s="20"/>
      <c r="BX8" s="20" t="e">
        <f t="shared" si="18"/>
        <v>#DIV/0!</v>
      </c>
    </row>
    <row r="9" spans="2:76" x14ac:dyDescent="0.3">
      <c r="B9" s="63">
        <v>2024</v>
      </c>
      <c r="C9" t="s">
        <v>105</v>
      </c>
      <c r="D9">
        <v>105</v>
      </c>
      <c r="E9">
        <v>1</v>
      </c>
      <c r="F9">
        <v>5</v>
      </c>
      <c r="G9" t="s">
        <v>42</v>
      </c>
      <c r="H9">
        <v>5</v>
      </c>
      <c r="I9" t="s">
        <v>31</v>
      </c>
      <c r="L9" s="21" t="e">
        <f t="shared" si="0"/>
        <v>#DIV/0!</v>
      </c>
      <c r="Q9" s="20" t="e">
        <f t="shared" si="1"/>
        <v>#DIV/0!</v>
      </c>
      <c r="V9" s="20" t="e">
        <f t="shared" si="2"/>
        <v>#DIV/0!</v>
      </c>
      <c r="W9" s="20"/>
      <c r="X9" s="20"/>
      <c r="Y9" s="20"/>
      <c r="Z9" s="20"/>
      <c r="AA9" s="20" t="e">
        <f t="shared" si="3"/>
        <v>#DIV/0!</v>
      </c>
      <c r="AB9" s="20"/>
      <c r="AC9" s="20"/>
      <c r="AD9" s="20"/>
      <c r="AE9" s="20"/>
      <c r="AF9" s="20" t="e">
        <f t="shared" si="4"/>
        <v>#DIV/0!</v>
      </c>
      <c r="AG9" s="20"/>
      <c r="AH9" s="20"/>
      <c r="AI9" s="20"/>
      <c r="AJ9" s="20"/>
      <c r="AK9" s="20" t="e">
        <f t="shared" si="5"/>
        <v>#DIV/0!</v>
      </c>
      <c r="AL9" s="20"/>
      <c r="AM9" s="20"/>
      <c r="AN9" s="20"/>
      <c r="AO9" s="20"/>
      <c r="AP9" s="20" t="e">
        <f t="shared" si="6"/>
        <v>#DIV/0!</v>
      </c>
      <c r="AQ9" s="20"/>
      <c r="AR9" s="20"/>
      <c r="AS9" s="20"/>
      <c r="AT9" s="20"/>
      <c r="AU9" s="20"/>
      <c r="AV9" s="20" t="e">
        <f t="shared" si="7"/>
        <v>#DIV/0!</v>
      </c>
      <c r="AZ9" s="20">
        <f t="shared" si="8"/>
        <v>0</v>
      </c>
      <c r="BA9" s="20"/>
      <c r="BB9" s="20"/>
      <c r="BC9" s="20"/>
      <c r="BD9" s="20">
        <f t="shared" si="9"/>
        <v>0</v>
      </c>
      <c r="BH9" s="20">
        <f t="shared" si="10"/>
        <v>0</v>
      </c>
      <c r="BK9" s="17" t="e">
        <f t="shared" si="11"/>
        <v>#DIV/0!</v>
      </c>
      <c r="BL9" s="17" t="e">
        <f t="shared" si="12"/>
        <v>#DIV/0!</v>
      </c>
      <c r="BM9" s="18" t="e">
        <f t="shared" si="13"/>
        <v>#DIV/0!</v>
      </c>
      <c r="BN9" s="20" t="e">
        <f t="shared" si="14"/>
        <v>#DIV/0!</v>
      </c>
      <c r="BO9">
        <v>6</v>
      </c>
      <c r="BP9" s="22">
        <f t="shared" si="15"/>
        <v>0</v>
      </c>
      <c r="BR9" s="20"/>
      <c r="BS9" s="20" t="e">
        <f t="shared" si="16"/>
        <v>#DIV/0!</v>
      </c>
      <c r="BT9" s="20" t="e">
        <f t="shared" si="17"/>
        <v>#DIV/0!</v>
      </c>
      <c r="BV9" s="20"/>
      <c r="BW9" s="20"/>
      <c r="BX9" s="20" t="e">
        <f t="shared" si="18"/>
        <v>#DIV/0!</v>
      </c>
    </row>
    <row r="10" spans="2:76" x14ac:dyDescent="0.3">
      <c r="B10" s="63">
        <v>2024</v>
      </c>
      <c r="C10" t="s">
        <v>105</v>
      </c>
      <c r="D10">
        <v>106</v>
      </c>
      <c r="E10">
        <v>1</v>
      </c>
      <c r="F10">
        <v>6</v>
      </c>
      <c r="G10" t="s">
        <v>42</v>
      </c>
      <c r="H10">
        <v>6</v>
      </c>
      <c r="I10" t="s">
        <v>35</v>
      </c>
      <c r="L10" s="21" t="e">
        <f t="shared" si="0"/>
        <v>#DIV/0!</v>
      </c>
      <c r="Q10" s="20" t="e">
        <f t="shared" si="1"/>
        <v>#DIV/0!</v>
      </c>
      <c r="V10" s="20" t="e">
        <f t="shared" si="2"/>
        <v>#DIV/0!</v>
      </c>
      <c r="W10" s="20"/>
      <c r="X10" s="20"/>
      <c r="Y10" s="20"/>
      <c r="Z10" s="20"/>
      <c r="AA10" s="20" t="e">
        <f t="shared" si="3"/>
        <v>#DIV/0!</v>
      </c>
      <c r="AB10" s="20"/>
      <c r="AC10" s="20"/>
      <c r="AD10" s="20"/>
      <c r="AE10" s="20"/>
      <c r="AF10" s="20" t="e">
        <f t="shared" si="4"/>
        <v>#DIV/0!</v>
      </c>
      <c r="AG10" s="20"/>
      <c r="AH10" s="20"/>
      <c r="AI10" s="20"/>
      <c r="AJ10" s="20"/>
      <c r="AK10" s="20" t="e">
        <f t="shared" si="5"/>
        <v>#DIV/0!</v>
      </c>
      <c r="AL10" s="20"/>
      <c r="AM10" s="20"/>
      <c r="AN10" s="20"/>
      <c r="AO10" s="20"/>
      <c r="AP10" s="20" t="e">
        <f t="shared" si="6"/>
        <v>#DIV/0!</v>
      </c>
      <c r="AQ10" s="20"/>
      <c r="AR10" s="20"/>
      <c r="AS10" s="20"/>
      <c r="AT10" s="20"/>
      <c r="AU10" s="20"/>
      <c r="AV10" s="20" t="e">
        <f t="shared" si="7"/>
        <v>#DIV/0!</v>
      </c>
      <c r="AZ10" s="20">
        <f t="shared" si="8"/>
        <v>0</v>
      </c>
      <c r="BA10" s="20"/>
      <c r="BB10" s="20"/>
      <c r="BC10" s="20"/>
      <c r="BD10" s="20">
        <f t="shared" si="9"/>
        <v>0</v>
      </c>
      <c r="BH10" s="20">
        <f t="shared" si="10"/>
        <v>0</v>
      </c>
      <c r="BK10" s="17" t="e">
        <f t="shared" si="11"/>
        <v>#DIV/0!</v>
      </c>
      <c r="BL10" s="17" t="e">
        <f t="shared" si="12"/>
        <v>#DIV/0!</v>
      </c>
      <c r="BM10" s="18" t="e">
        <f t="shared" si="13"/>
        <v>#DIV/0!</v>
      </c>
      <c r="BN10" s="20" t="e">
        <f t="shared" si="14"/>
        <v>#DIV/0!</v>
      </c>
      <c r="BO10">
        <v>6</v>
      </c>
      <c r="BP10" s="22">
        <f t="shared" si="15"/>
        <v>0</v>
      </c>
      <c r="BR10" s="20"/>
      <c r="BS10" s="20" t="e">
        <f t="shared" si="16"/>
        <v>#DIV/0!</v>
      </c>
      <c r="BT10" s="20" t="e">
        <f t="shared" si="17"/>
        <v>#DIV/0!</v>
      </c>
      <c r="BV10" s="20"/>
      <c r="BW10" s="20"/>
      <c r="BX10" s="20" t="e">
        <f t="shared" si="18"/>
        <v>#DIV/0!</v>
      </c>
    </row>
    <row r="11" spans="2:76" x14ac:dyDescent="0.3">
      <c r="B11" s="63">
        <v>2024</v>
      </c>
      <c r="C11" t="s">
        <v>105</v>
      </c>
      <c r="D11">
        <v>107</v>
      </c>
      <c r="E11">
        <v>1</v>
      </c>
      <c r="F11">
        <v>7</v>
      </c>
      <c r="G11" t="s">
        <v>42</v>
      </c>
      <c r="H11">
        <v>7</v>
      </c>
      <c r="I11" t="s">
        <v>34</v>
      </c>
      <c r="L11" s="21" t="e">
        <f t="shared" si="0"/>
        <v>#DIV/0!</v>
      </c>
      <c r="Q11" s="20" t="e">
        <f t="shared" si="1"/>
        <v>#DIV/0!</v>
      </c>
      <c r="V11" s="20" t="e">
        <f t="shared" si="2"/>
        <v>#DIV/0!</v>
      </c>
      <c r="W11" s="20"/>
      <c r="X11" s="20"/>
      <c r="Y11" s="20"/>
      <c r="Z11" s="20"/>
      <c r="AA11" s="20" t="e">
        <f t="shared" si="3"/>
        <v>#DIV/0!</v>
      </c>
      <c r="AB11" s="20"/>
      <c r="AC11" s="20"/>
      <c r="AD11" s="20"/>
      <c r="AE11" s="20"/>
      <c r="AF11" s="20" t="e">
        <f t="shared" si="4"/>
        <v>#DIV/0!</v>
      </c>
      <c r="AG11" s="20"/>
      <c r="AH11" s="20"/>
      <c r="AI11" s="20"/>
      <c r="AJ11" s="20"/>
      <c r="AK11" s="20" t="e">
        <f t="shared" si="5"/>
        <v>#DIV/0!</v>
      </c>
      <c r="AL11" s="20"/>
      <c r="AM11" s="20"/>
      <c r="AN11" s="20"/>
      <c r="AO11" s="20"/>
      <c r="AP11" s="20" t="e">
        <f t="shared" si="6"/>
        <v>#DIV/0!</v>
      </c>
      <c r="AQ11" s="20"/>
      <c r="AR11" s="20"/>
      <c r="AS11" s="20"/>
      <c r="AT11" s="20"/>
      <c r="AU11" s="20"/>
      <c r="AV11" s="20" t="e">
        <f t="shared" si="7"/>
        <v>#DIV/0!</v>
      </c>
      <c r="AZ11" s="20">
        <f t="shared" si="8"/>
        <v>0</v>
      </c>
      <c r="BA11" s="20"/>
      <c r="BB11" s="20"/>
      <c r="BC11" s="20"/>
      <c r="BD11" s="20">
        <f t="shared" si="9"/>
        <v>0</v>
      </c>
      <c r="BH11" s="20">
        <f t="shared" si="10"/>
        <v>0</v>
      </c>
      <c r="BK11" s="17" t="e">
        <f t="shared" si="11"/>
        <v>#DIV/0!</v>
      </c>
      <c r="BL11" s="17" t="e">
        <f t="shared" si="12"/>
        <v>#DIV/0!</v>
      </c>
      <c r="BM11" s="18" t="e">
        <f t="shared" si="13"/>
        <v>#DIV/0!</v>
      </c>
      <c r="BN11" s="20" t="e">
        <f t="shared" si="14"/>
        <v>#DIV/0!</v>
      </c>
      <c r="BO11">
        <v>6</v>
      </c>
      <c r="BP11" s="22">
        <f t="shared" si="15"/>
        <v>0</v>
      </c>
      <c r="BR11" s="20"/>
      <c r="BS11" s="20" t="e">
        <f t="shared" si="16"/>
        <v>#DIV/0!</v>
      </c>
      <c r="BT11" s="20" t="e">
        <f t="shared" si="17"/>
        <v>#DIV/0!</v>
      </c>
      <c r="BV11" s="20"/>
      <c r="BW11" s="20"/>
      <c r="BX11" s="20" t="e">
        <f t="shared" si="18"/>
        <v>#DIV/0!</v>
      </c>
    </row>
    <row r="12" spans="2:76" x14ac:dyDescent="0.3">
      <c r="B12" s="63">
        <v>2024</v>
      </c>
      <c r="C12" t="s">
        <v>105</v>
      </c>
      <c r="D12">
        <v>108</v>
      </c>
      <c r="E12">
        <v>1</v>
      </c>
      <c r="F12">
        <v>8</v>
      </c>
      <c r="G12" t="s">
        <v>42</v>
      </c>
      <c r="H12">
        <v>8</v>
      </c>
      <c r="I12" t="s">
        <v>38</v>
      </c>
      <c r="L12" s="21" t="e">
        <f t="shared" si="0"/>
        <v>#DIV/0!</v>
      </c>
      <c r="Q12" s="20" t="e">
        <f t="shared" si="1"/>
        <v>#DIV/0!</v>
      </c>
      <c r="V12" s="20" t="e">
        <f t="shared" si="2"/>
        <v>#DIV/0!</v>
      </c>
      <c r="W12" s="20"/>
      <c r="X12" s="20"/>
      <c r="Y12" s="20"/>
      <c r="Z12" s="20"/>
      <c r="AA12" s="20" t="e">
        <f t="shared" si="3"/>
        <v>#DIV/0!</v>
      </c>
      <c r="AB12" s="20"/>
      <c r="AC12" s="20"/>
      <c r="AD12" s="20"/>
      <c r="AE12" s="20"/>
      <c r="AF12" s="20" t="e">
        <f t="shared" si="4"/>
        <v>#DIV/0!</v>
      </c>
      <c r="AG12" s="20"/>
      <c r="AH12" s="20"/>
      <c r="AI12" s="20"/>
      <c r="AJ12" s="20"/>
      <c r="AK12" s="20" t="e">
        <f t="shared" si="5"/>
        <v>#DIV/0!</v>
      </c>
      <c r="AL12" s="20"/>
      <c r="AM12" s="20"/>
      <c r="AN12" s="20"/>
      <c r="AO12" s="20"/>
      <c r="AP12" s="20" t="e">
        <f t="shared" si="6"/>
        <v>#DIV/0!</v>
      </c>
      <c r="AQ12" s="20"/>
      <c r="AR12" s="20"/>
      <c r="AS12" s="20"/>
      <c r="AT12" s="20"/>
      <c r="AU12" s="20"/>
      <c r="AV12" s="20" t="e">
        <f t="shared" si="7"/>
        <v>#DIV/0!</v>
      </c>
      <c r="AZ12" s="20">
        <f t="shared" si="8"/>
        <v>0</v>
      </c>
      <c r="BA12" s="20"/>
      <c r="BB12" s="20"/>
      <c r="BC12" s="20"/>
      <c r="BD12" s="20">
        <f t="shared" si="9"/>
        <v>0</v>
      </c>
      <c r="BH12" s="20">
        <f t="shared" si="10"/>
        <v>0</v>
      </c>
      <c r="BK12" s="17" t="e">
        <f t="shared" si="11"/>
        <v>#DIV/0!</v>
      </c>
      <c r="BL12" s="17" t="e">
        <f t="shared" si="12"/>
        <v>#DIV/0!</v>
      </c>
      <c r="BM12" s="18" t="e">
        <f t="shared" si="13"/>
        <v>#DIV/0!</v>
      </c>
      <c r="BN12" s="20" t="e">
        <f t="shared" si="14"/>
        <v>#DIV/0!</v>
      </c>
      <c r="BO12">
        <v>6</v>
      </c>
      <c r="BP12" s="22">
        <f t="shared" si="15"/>
        <v>0</v>
      </c>
      <c r="BR12" s="20"/>
      <c r="BS12" s="20" t="e">
        <f t="shared" si="16"/>
        <v>#DIV/0!</v>
      </c>
      <c r="BT12" s="20" t="e">
        <f t="shared" si="17"/>
        <v>#DIV/0!</v>
      </c>
      <c r="BV12" s="20"/>
      <c r="BW12" s="20"/>
      <c r="BX12" s="20" t="e">
        <f t="shared" si="18"/>
        <v>#DIV/0!</v>
      </c>
    </row>
    <row r="13" spans="2:76" x14ac:dyDescent="0.3">
      <c r="B13" s="63">
        <v>2024</v>
      </c>
      <c r="C13" t="s">
        <v>105</v>
      </c>
      <c r="D13">
        <v>109</v>
      </c>
      <c r="E13">
        <v>1</v>
      </c>
      <c r="F13">
        <v>9</v>
      </c>
      <c r="G13" t="s">
        <v>42</v>
      </c>
      <c r="H13">
        <v>9</v>
      </c>
      <c r="I13" t="s">
        <v>33</v>
      </c>
      <c r="L13" s="21" t="e">
        <f t="shared" si="0"/>
        <v>#DIV/0!</v>
      </c>
      <c r="Q13" s="20" t="e">
        <f t="shared" si="1"/>
        <v>#DIV/0!</v>
      </c>
      <c r="V13" s="20" t="e">
        <f t="shared" si="2"/>
        <v>#DIV/0!</v>
      </c>
      <c r="W13" s="20"/>
      <c r="X13" s="20"/>
      <c r="Y13" s="20"/>
      <c r="Z13" s="20"/>
      <c r="AA13" s="20" t="e">
        <f t="shared" si="3"/>
        <v>#DIV/0!</v>
      </c>
      <c r="AB13" s="20"/>
      <c r="AC13" s="20"/>
      <c r="AD13" s="20"/>
      <c r="AE13" s="20"/>
      <c r="AF13" s="20" t="e">
        <f t="shared" si="4"/>
        <v>#DIV/0!</v>
      </c>
      <c r="AG13" s="20"/>
      <c r="AH13" s="20"/>
      <c r="AI13" s="20"/>
      <c r="AJ13" s="20"/>
      <c r="AK13" s="20" t="e">
        <f t="shared" si="5"/>
        <v>#DIV/0!</v>
      </c>
      <c r="AL13" s="20"/>
      <c r="AM13" s="20"/>
      <c r="AN13" s="20"/>
      <c r="AO13" s="20"/>
      <c r="AP13" s="20" t="e">
        <f t="shared" si="6"/>
        <v>#DIV/0!</v>
      </c>
      <c r="AQ13" s="20"/>
      <c r="AR13" s="20"/>
      <c r="AS13" s="20"/>
      <c r="AT13" s="20"/>
      <c r="AU13" s="20"/>
      <c r="AV13" s="20" t="e">
        <f t="shared" si="7"/>
        <v>#DIV/0!</v>
      </c>
      <c r="AZ13" s="20">
        <f t="shared" si="8"/>
        <v>0</v>
      </c>
      <c r="BA13" s="20"/>
      <c r="BB13" s="20"/>
      <c r="BC13" s="20"/>
      <c r="BD13" s="20">
        <f t="shared" si="9"/>
        <v>0</v>
      </c>
      <c r="BH13" s="20">
        <f t="shared" si="10"/>
        <v>0</v>
      </c>
      <c r="BK13" s="17" t="e">
        <f t="shared" si="11"/>
        <v>#DIV/0!</v>
      </c>
      <c r="BL13" s="17" t="e">
        <f t="shared" si="12"/>
        <v>#DIV/0!</v>
      </c>
      <c r="BM13" s="18" t="e">
        <f t="shared" si="13"/>
        <v>#DIV/0!</v>
      </c>
      <c r="BN13" s="20" t="e">
        <f t="shared" si="14"/>
        <v>#DIV/0!</v>
      </c>
      <c r="BO13">
        <v>6</v>
      </c>
      <c r="BP13" s="22">
        <f t="shared" si="15"/>
        <v>0</v>
      </c>
      <c r="BR13" s="20"/>
      <c r="BS13" s="20" t="e">
        <f t="shared" si="16"/>
        <v>#DIV/0!</v>
      </c>
      <c r="BT13" s="20" t="e">
        <f t="shared" si="17"/>
        <v>#DIV/0!</v>
      </c>
      <c r="BV13" s="20"/>
      <c r="BW13" s="20"/>
      <c r="BX13" s="20" t="e">
        <f t="shared" si="18"/>
        <v>#DIV/0!</v>
      </c>
    </row>
    <row r="14" spans="2:76" x14ac:dyDescent="0.3">
      <c r="B14" s="63">
        <v>2024</v>
      </c>
      <c r="C14" t="s">
        <v>105</v>
      </c>
      <c r="D14">
        <v>110</v>
      </c>
      <c r="E14">
        <v>1</v>
      </c>
      <c r="F14">
        <v>10</v>
      </c>
      <c r="G14" t="s">
        <v>106</v>
      </c>
      <c r="H14">
        <v>1</v>
      </c>
      <c r="I14" t="s">
        <v>37</v>
      </c>
      <c r="L14" s="21" t="e">
        <f t="shared" si="0"/>
        <v>#DIV/0!</v>
      </c>
      <c r="Q14" s="20" t="e">
        <f t="shared" si="1"/>
        <v>#DIV/0!</v>
      </c>
      <c r="V14" s="20" t="e">
        <f t="shared" si="2"/>
        <v>#DIV/0!</v>
      </c>
      <c r="W14" s="20"/>
      <c r="X14" s="20"/>
      <c r="Y14" s="20"/>
      <c r="Z14" s="20"/>
      <c r="AA14" s="20" t="e">
        <f t="shared" si="3"/>
        <v>#DIV/0!</v>
      </c>
      <c r="AB14" s="20"/>
      <c r="AC14" s="20"/>
      <c r="AD14" s="20"/>
      <c r="AE14" s="20"/>
      <c r="AF14" s="20" t="e">
        <f t="shared" si="4"/>
        <v>#DIV/0!</v>
      </c>
      <c r="AG14" s="20"/>
      <c r="AH14" s="20"/>
      <c r="AI14" s="20"/>
      <c r="AJ14" s="20"/>
      <c r="AK14" s="20" t="e">
        <f t="shared" si="5"/>
        <v>#DIV/0!</v>
      </c>
      <c r="AL14" s="20"/>
      <c r="AM14" s="20"/>
      <c r="AN14" s="20"/>
      <c r="AO14" s="20"/>
      <c r="AP14" s="20" t="e">
        <f t="shared" si="6"/>
        <v>#DIV/0!</v>
      </c>
      <c r="AQ14" s="20"/>
      <c r="AR14" s="20"/>
      <c r="AS14" s="20"/>
      <c r="AT14" s="20"/>
      <c r="AU14" s="20"/>
      <c r="AV14" s="20" t="e">
        <f t="shared" si="7"/>
        <v>#DIV/0!</v>
      </c>
      <c r="AZ14" s="20">
        <f t="shared" si="8"/>
        <v>0</v>
      </c>
      <c r="BA14" s="20"/>
      <c r="BB14" s="20"/>
      <c r="BC14" s="20"/>
      <c r="BD14" s="20">
        <f t="shared" si="9"/>
        <v>0</v>
      </c>
      <c r="BH14" s="20">
        <f t="shared" si="10"/>
        <v>0</v>
      </c>
      <c r="BK14" s="17" t="e">
        <f t="shared" si="11"/>
        <v>#DIV/0!</v>
      </c>
      <c r="BL14" s="17" t="e">
        <f t="shared" si="12"/>
        <v>#DIV/0!</v>
      </c>
      <c r="BM14" s="18" t="e">
        <f t="shared" si="13"/>
        <v>#DIV/0!</v>
      </c>
      <c r="BN14" s="20" t="e">
        <f t="shared" si="14"/>
        <v>#DIV/0!</v>
      </c>
      <c r="BO14">
        <v>6</v>
      </c>
      <c r="BP14" s="22">
        <f t="shared" si="15"/>
        <v>0</v>
      </c>
      <c r="BR14" s="20"/>
      <c r="BS14" s="20" t="e">
        <f t="shared" si="16"/>
        <v>#DIV/0!</v>
      </c>
      <c r="BT14" s="20" t="e">
        <f t="shared" si="17"/>
        <v>#DIV/0!</v>
      </c>
      <c r="BV14" s="20"/>
      <c r="BW14" s="20"/>
      <c r="BX14" s="20" t="e">
        <f t="shared" si="18"/>
        <v>#DIV/0!</v>
      </c>
    </row>
    <row r="15" spans="2:76" x14ac:dyDescent="0.3">
      <c r="B15" s="63">
        <v>2024</v>
      </c>
      <c r="C15" t="s">
        <v>105</v>
      </c>
      <c r="D15">
        <v>111</v>
      </c>
      <c r="E15">
        <v>1</v>
      </c>
      <c r="F15">
        <v>11</v>
      </c>
      <c r="G15" t="s">
        <v>106</v>
      </c>
      <c r="H15">
        <v>2</v>
      </c>
      <c r="I15" t="s">
        <v>32</v>
      </c>
      <c r="L15" s="21" t="e">
        <f t="shared" si="0"/>
        <v>#DIV/0!</v>
      </c>
      <c r="Q15" s="20" t="e">
        <f t="shared" si="1"/>
        <v>#DIV/0!</v>
      </c>
      <c r="V15" s="20" t="e">
        <f t="shared" si="2"/>
        <v>#DIV/0!</v>
      </c>
      <c r="W15" s="20"/>
      <c r="X15" s="20"/>
      <c r="Y15" s="20"/>
      <c r="Z15" s="20"/>
      <c r="AA15" s="20" t="e">
        <f t="shared" si="3"/>
        <v>#DIV/0!</v>
      </c>
      <c r="AB15" s="20"/>
      <c r="AC15" s="20"/>
      <c r="AD15" s="20"/>
      <c r="AE15" s="20"/>
      <c r="AF15" s="20" t="e">
        <f t="shared" si="4"/>
        <v>#DIV/0!</v>
      </c>
      <c r="AG15" s="20"/>
      <c r="AH15" s="20"/>
      <c r="AI15" s="20"/>
      <c r="AJ15" s="20"/>
      <c r="AK15" s="20" t="e">
        <f t="shared" si="5"/>
        <v>#DIV/0!</v>
      </c>
      <c r="AL15" s="20"/>
      <c r="AM15" s="20"/>
      <c r="AN15" s="20"/>
      <c r="AO15" s="20"/>
      <c r="AP15" s="20" t="e">
        <f t="shared" si="6"/>
        <v>#DIV/0!</v>
      </c>
      <c r="AQ15" s="20"/>
      <c r="AR15" s="20"/>
      <c r="AS15" s="20"/>
      <c r="AT15" s="20"/>
      <c r="AU15" s="20"/>
      <c r="AV15" s="20" t="e">
        <f t="shared" si="7"/>
        <v>#DIV/0!</v>
      </c>
      <c r="AZ15" s="20">
        <f t="shared" si="8"/>
        <v>0</v>
      </c>
      <c r="BA15" s="20"/>
      <c r="BB15" s="20"/>
      <c r="BC15" s="20"/>
      <c r="BD15" s="20">
        <f t="shared" si="9"/>
        <v>0</v>
      </c>
      <c r="BH15" s="20">
        <f t="shared" si="10"/>
        <v>0</v>
      </c>
      <c r="BK15" s="17" t="e">
        <f t="shared" si="11"/>
        <v>#DIV/0!</v>
      </c>
      <c r="BL15" s="17" t="e">
        <f t="shared" si="12"/>
        <v>#DIV/0!</v>
      </c>
      <c r="BM15" s="18" t="e">
        <f t="shared" si="13"/>
        <v>#DIV/0!</v>
      </c>
      <c r="BN15" s="20" t="e">
        <f t="shared" si="14"/>
        <v>#DIV/0!</v>
      </c>
      <c r="BO15">
        <v>6</v>
      </c>
      <c r="BP15" s="22">
        <f t="shared" si="15"/>
        <v>0</v>
      </c>
      <c r="BR15" s="20"/>
      <c r="BS15" s="20" t="e">
        <f t="shared" si="16"/>
        <v>#DIV/0!</v>
      </c>
      <c r="BT15" s="20" t="e">
        <f t="shared" si="17"/>
        <v>#DIV/0!</v>
      </c>
      <c r="BV15" s="20"/>
      <c r="BW15" s="20"/>
      <c r="BX15" s="20" t="e">
        <f t="shared" si="18"/>
        <v>#DIV/0!</v>
      </c>
    </row>
    <row r="16" spans="2:76" x14ac:dyDescent="0.3">
      <c r="B16" s="63">
        <v>2024</v>
      </c>
      <c r="C16" t="s">
        <v>105</v>
      </c>
      <c r="D16">
        <v>112</v>
      </c>
      <c r="E16">
        <v>1</v>
      </c>
      <c r="F16">
        <v>12</v>
      </c>
      <c r="G16" t="s">
        <v>106</v>
      </c>
      <c r="H16">
        <v>3</v>
      </c>
      <c r="I16" t="s">
        <v>39</v>
      </c>
      <c r="L16" s="21" t="e">
        <f t="shared" si="0"/>
        <v>#DIV/0!</v>
      </c>
      <c r="Q16" s="20" t="e">
        <f t="shared" si="1"/>
        <v>#DIV/0!</v>
      </c>
      <c r="V16" s="20" t="e">
        <f t="shared" si="2"/>
        <v>#DIV/0!</v>
      </c>
      <c r="W16" s="20"/>
      <c r="X16" s="20"/>
      <c r="Y16" s="20"/>
      <c r="Z16" s="20"/>
      <c r="AA16" s="20" t="e">
        <f t="shared" si="3"/>
        <v>#DIV/0!</v>
      </c>
      <c r="AB16" s="20"/>
      <c r="AC16" s="20"/>
      <c r="AD16" s="20"/>
      <c r="AE16" s="20"/>
      <c r="AF16" s="20" t="e">
        <f t="shared" si="4"/>
        <v>#DIV/0!</v>
      </c>
      <c r="AG16" s="20"/>
      <c r="AH16" s="20"/>
      <c r="AI16" s="20"/>
      <c r="AJ16" s="20"/>
      <c r="AK16" s="20" t="e">
        <f t="shared" si="5"/>
        <v>#DIV/0!</v>
      </c>
      <c r="AL16" s="20"/>
      <c r="AM16" s="20"/>
      <c r="AN16" s="20"/>
      <c r="AO16" s="20"/>
      <c r="AP16" s="20" t="e">
        <f t="shared" si="6"/>
        <v>#DIV/0!</v>
      </c>
      <c r="AQ16" s="20"/>
      <c r="AR16" s="20"/>
      <c r="AS16" s="20"/>
      <c r="AT16" s="20"/>
      <c r="AU16" s="20"/>
      <c r="AV16" s="20" t="e">
        <f t="shared" si="7"/>
        <v>#DIV/0!</v>
      </c>
      <c r="AZ16" s="20">
        <f t="shared" si="8"/>
        <v>0</v>
      </c>
      <c r="BA16" s="20"/>
      <c r="BB16" s="20"/>
      <c r="BC16" s="20"/>
      <c r="BD16" s="20">
        <f t="shared" si="9"/>
        <v>0</v>
      </c>
      <c r="BH16" s="20">
        <f t="shared" si="10"/>
        <v>0</v>
      </c>
      <c r="BK16" s="17" t="e">
        <f t="shared" si="11"/>
        <v>#DIV/0!</v>
      </c>
      <c r="BL16" s="17" t="e">
        <f t="shared" si="12"/>
        <v>#DIV/0!</v>
      </c>
      <c r="BM16" s="18" t="e">
        <f t="shared" si="13"/>
        <v>#DIV/0!</v>
      </c>
      <c r="BN16" s="20" t="e">
        <f t="shared" si="14"/>
        <v>#DIV/0!</v>
      </c>
      <c r="BO16">
        <v>6</v>
      </c>
      <c r="BP16" s="22">
        <f t="shared" si="15"/>
        <v>0</v>
      </c>
      <c r="BR16" s="20"/>
      <c r="BS16" s="20" t="e">
        <f t="shared" si="16"/>
        <v>#DIV/0!</v>
      </c>
      <c r="BT16" s="20" t="e">
        <f t="shared" si="17"/>
        <v>#DIV/0!</v>
      </c>
      <c r="BV16" s="20"/>
      <c r="BW16" s="20"/>
      <c r="BX16" s="20" t="e">
        <f t="shared" si="18"/>
        <v>#DIV/0!</v>
      </c>
    </row>
    <row r="17" spans="2:76" x14ac:dyDescent="0.3">
      <c r="B17" s="63">
        <v>2024</v>
      </c>
      <c r="C17" t="s">
        <v>105</v>
      </c>
      <c r="D17">
        <v>113</v>
      </c>
      <c r="E17">
        <v>1</v>
      </c>
      <c r="F17">
        <v>13</v>
      </c>
      <c r="G17" t="s">
        <v>106</v>
      </c>
      <c r="H17">
        <v>4</v>
      </c>
      <c r="I17" t="s">
        <v>36</v>
      </c>
      <c r="L17" s="21" t="e">
        <f t="shared" si="0"/>
        <v>#DIV/0!</v>
      </c>
      <c r="Q17" s="20" t="e">
        <f t="shared" si="1"/>
        <v>#DIV/0!</v>
      </c>
      <c r="V17" s="20" t="e">
        <f t="shared" si="2"/>
        <v>#DIV/0!</v>
      </c>
      <c r="W17" s="20"/>
      <c r="X17" s="20"/>
      <c r="Y17" s="20"/>
      <c r="Z17" s="20"/>
      <c r="AA17" s="20" t="e">
        <f t="shared" si="3"/>
        <v>#DIV/0!</v>
      </c>
      <c r="AB17" s="20"/>
      <c r="AC17" s="20"/>
      <c r="AD17" s="20"/>
      <c r="AE17" s="20"/>
      <c r="AF17" s="20" t="e">
        <f t="shared" si="4"/>
        <v>#DIV/0!</v>
      </c>
      <c r="AG17" s="20"/>
      <c r="AH17" s="20"/>
      <c r="AI17" s="20"/>
      <c r="AJ17" s="20"/>
      <c r="AK17" s="20" t="e">
        <f t="shared" si="5"/>
        <v>#DIV/0!</v>
      </c>
      <c r="AL17" s="20"/>
      <c r="AM17" s="20"/>
      <c r="AN17" s="20"/>
      <c r="AO17" s="20"/>
      <c r="AP17" s="20" t="e">
        <f t="shared" si="6"/>
        <v>#DIV/0!</v>
      </c>
      <c r="AQ17" s="20"/>
      <c r="AR17" s="20"/>
      <c r="AS17" s="20"/>
      <c r="AT17" s="20"/>
      <c r="AU17" s="20"/>
      <c r="AV17" s="20" t="e">
        <f t="shared" si="7"/>
        <v>#DIV/0!</v>
      </c>
      <c r="AZ17" s="20">
        <f t="shared" si="8"/>
        <v>0</v>
      </c>
      <c r="BA17" s="20"/>
      <c r="BB17" s="20"/>
      <c r="BC17" s="20"/>
      <c r="BD17" s="20">
        <f t="shared" si="9"/>
        <v>0</v>
      </c>
      <c r="BH17" s="20">
        <f t="shared" si="10"/>
        <v>0</v>
      </c>
      <c r="BK17" s="17" t="e">
        <f t="shared" si="11"/>
        <v>#DIV/0!</v>
      </c>
      <c r="BL17" s="17" t="e">
        <f t="shared" si="12"/>
        <v>#DIV/0!</v>
      </c>
      <c r="BM17" s="18" t="e">
        <f t="shared" si="13"/>
        <v>#DIV/0!</v>
      </c>
      <c r="BN17" s="20" t="e">
        <f t="shared" si="14"/>
        <v>#DIV/0!</v>
      </c>
      <c r="BO17">
        <v>6</v>
      </c>
      <c r="BP17" s="22">
        <f t="shared" si="15"/>
        <v>0</v>
      </c>
      <c r="BR17" s="20"/>
      <c r="BS17" s="20" t="e">
        <f t="shared" si="16"/>
        <v>#DIV/0!</v>
      </c>
      <c r="BT17" s="20" t="e">
        <f t="shared" si="17"/>
        <v>#DIV/0!</v>
      </c>
      <c r="BV17" s="20"/>
      <c r="BW17" s="20"/>
      <c r="BX17" s="20" t="e">
        <f t="shared" si="18"/>
        <v>#DIV/0!</v>
      </c>
    </row>
    <row r="18" spans="2:76" x14ac:dyDescent="0.3">
      <c r="B18" s="63">
        <v>2024</v>
      </c>
      <c r="C18" t="s">
        <v>105</v>
      </c>
      <c r="D18">
        <v>114</v>
      </c>
      <c r="E18">
        <v>1</v>
      </c>
      <c r="F18">
        <v>14</v>
      </c>
      <c r="G18" t="s">
        <v>106</v>
      </c>
      <c r="H18">
        <v>5</v>
      </c>
      <c r="I18" t="s">
        <v>31</v>
      </c>
      <c r="L18" s="21" t="e">
        <f t="shared" si="0"/>
        <v>#DIV/0!</v>
      </c>
      <c r="Q18" s="20" t="e">
        <f t="shared" si="1"/>
        <v>#DIV/0!</v>
      </c>
      <c r="V18" s="20" t="e">
        <f t="shared" si="2"/>
        <v>#DIV/0!</v>
      </c>
      <c r="W18" s="20"/>
      <c r="X18" s="20"/>
      <c r="Y18" s="20"/>
      <c r="Z18" s="20"/>
      <c r="AA18" s="20" t="e">
        <f t="shared" si="3"/>
        <v>#DIV/0!</v>
      </c>
      <c r="AB18" s="20"/>
      <c r="AC18" s="20"/>
      <c r="AD18" s="20"/>
      <c r="AE18" s="20"/>
      <c r="AF18" s="20" t="e">
        <f t="shared" si="4"/>
        <v>#DIV/0!</v>
      </c>
      <c r="AG18" s="20"/>
      <c r="AH18" s="20"/>
      <c r="AI18" s="20"/>
      <c r="AJ18" s="20"/>
      <c r="AK18" s="20" t="e">
        <f t="shared" si="5"/>
        <v>#DIV/0!</v>
      </c>
      <c r="AL18" s="20"/>
      <c r="AM18" s="20"/>
      <c r="AN18" s="20"/>
      <c r="AO18" s="20"/>
      <c r="AP18" s="20" t="e">
        <f t="shared" si="6"/>
        <v>#DIV/0!</v>
      </c>
      <c r="AQ18" s="20"/>
      <c r="AR18" s="20"/>
      <c r="AS18" s="20"/>
      <c r="AT18" s="20"/>
      <c r="AU18" s="20"/>
      <c r="AV18" s="20" t="e">
        <f t="shared" si="7"/>
        <v>#DIV/0!</v>
      </c>
      <c r="AZ18" s="20">
        <f t="shared" si="8"/>
        <v>0</v>
      </c>
      <c r="BA18" s="20"/>
      <c r="BB18" s="20"/>
      <c r="BC18" s="20"/>
      <c r="BD18" s="20">
        <f t="shared" si="9"/>
        <v>0</v>
      </c>
      <c r="BH18" s="20">
        <f t="shared" si="10"/>
        <v>0</v>
      </c>
      <c r="BK18" s="17" t="e">
        <f t="shared" si="11"/>
        <v>#DIV/0!</v>
      </c>
      <c r="BL18" s="17" t="e">
        <f t="shared" si="12"/>
        <v>#DIV/0!</v>
      </c>
      <c r="BM18" s="18" t="e">
        <f t="shared" si="13"/>
        <v>#DIV/0!</v>
      </c>
      <c r="BN18" s="20" t="e">
        <f t="shared" si="14"/>
        <v>#DIV/0!</v>
      </c>
      <c r="BO18">
        <v>6</v>
      </c>
      <c r="BP18" s="22">
        <f t="shared" si="15"/>
        <v>0</v>
      </c>
      <c r="BR18" s="20"/>
      <c r="BS18" s="20" t="e">
        <f t="shared" si="16"/>
        <v>#DIV/0!</v>
      </c>
      <c r="BT18" s="20" t="e">
        <f t="shared" si="17"/>
        <v>#DIV/0!</v>
      </c>
      <c r="BV18" s="20"/>
      <c r="BW18" s="20"/>
      <c r="BX18" s="20" t="e">
        <f t="shared" si="18"/>
        <v>#DIV/0!</v>
      </c>
    </row>
    <row r="19" spans="2:76" x14ac:dyDescent="0.3">
      <c r="B19" s="63">
        <v>2024</v>
      </c>
      <c r="C19" t="s">
        <v>105</v>
      </c>
      <c r="D19">
        <v>115</v>
      </c>
      <c r="E19">
        <v>1</v>
      </c>
      <c r="F19">
        <v>15</v>
      </c>
      <c r="G19" t="s">
        <v>106</v>
      </c>
      <c r="H19">
        <v>6</v>
      </c>
      <c r="I19" t="s">
        <v>35</v>
      </c>
      <c r="L19" s="21" t="e">
        <f t="shared" si="0"/>
        <v>#DIV/0!</v>
      </c>
      <c r="Q19" s="20" t="e">
        <f t="shared" si="1"/>
        <v>#DIV/0!</v>
      </c>
      <c r="V19" s="20" t="e">
        <f t="shared" si="2"/>
        <v>#DIV/0!</v>
      </c>
      <c r="W19" s="20"/>
      <c r="X19" s="20"/>
      <c r="Y19" s="20"/>
      <c r="Z19" s="20"/>
      <c r="AA19" s="20" t="e">
        <f t="shared" si="3"/>
        <v>#DIV/0!</v>
      </c>
      <c r="AB19" s="20"/>
      <c r="AC19" s="20"/>
      <c r="AD19" s="20"/>
      <c r="AE19" s="20"/>
      <c r="AF19" s="20" t="e">
        <f t="shared" si="4"/>
        <v>#DIV/0!</v>
      </c>
      <c r="AG19" s="20"/>
      <c r="AH19" s="20"/>
      <c r="AI19" s="20"/>
      <c r="AJ19" s="20"/>
      <c r="AK19" s="20" t="e">
        <f t="shared" si="5"/>
        <v>#DIV/0!</v>
      </c>
      <c r="AL19" s="20"/>
      <c r="AM19" s="20"/>
      <c r="AN19" s="20"/>
      <c r="AO19" s="20"/>
      <c r="AP19" s="20" t="e">
        <f t="shared" si="6"/>
        <v>#DIV/0!</v>
      </c>
      <c r="AQ19" s="20"/>
      <c r="AR19" s="20"/>
      <c r="AS19" s="20"/>
      <c r="AT19" s="20"/>
      <c r="AU19" s="20"/>
      <c r="AV19" s="20" t="e">
        <f t="shared" si="7"/>
        <v>#DIV/0!</v>
      </c>
      <c r="AZ19" s="20">
        <f t="shared" si="8"/>
        <v>0</v>
      </c>
      <c r="BA19" s="20"/>
      <c r="BB19" s="20"/>
      <c r="BC19" s="20"/>
      <c r="BD19" s="20">
        <f t="shared" si="9"/>
        <v>0</v>
      </c>
      <c r="BH19" s="20">
        <f t="shared" si="10"/>
        <v>0</v>
      </c>
      <c r="BK19" s="17" t="e">
        <f t="shared" si="11"/>
        <v>#DIV/0!</v>
      </c>
      <c r="BL19" s="17" t="e">
        <f t="shared" si="12"/>
        <v>#DIV/0!</v>
      </c>
      <c r="BM19" s="18" t="e">
        <f t="shared" si="13"/>
        <v>#DIV/0!</v>
      </c>
      <c r="BN19" s="20" t="e">
        <f t="shared" si="14"/>
        <v>#DIV/0!</v>
      </c>
      <c r="BO19">
        <v>6</v>
      </c>
      <c r="BP19" s="22">
        <f t="shared" si="15"/>
        <v>0</v>
      </c>
      <c r="BR19" s="20"/>
      <c r="BS19" s="20" t="e">
        <f t="shared" si="16"/>
        <v>#DIV/0!</v>
      </c>
      <c r="BT19" s="20" t="e">
        <f t="shared" si="17"/>
        <v>#DIV/0!</v>
      </c>
      <c r="BV19" s="20"/>
      <c r="BW19" s="20"/>
      <c r="BX19" s="20" t="e">
        <f t="shared" si="18"/>
        <v>#DIV/0!</v>
      </c>
    </row>
    <row r="20" spans="2:76" x14ac:dyDescent="0.3">
      <c r="B20" s="63">
        <v>2024</v>
      </c>
      <c r="C20" t="s">
        <v>105</v>
      </c>
      <c r="D20">
        <v>116</v>
      </c>
      <c r="E20">
        <v>1</v>
      </c>
      <c r="F20">
        <v>16</v>
      </c>
      <c r="G20" t="s">
        <v>106</v>
      </c>
      <c r="H20">
        <v>7</v>
      </c>
      <c r="I20" t="s">
        <v>34</v>
      </c>
      <c r="L20" s="21" t="e">
        <f t="shared" si="0"/>
        <v>#DIV/0!</v>
      </c>
      <c r="Q20" s="20" t="e">
        <f t="shared" si="1"/>
        <v>#DIV/0!</v>
      </c>
      <c r="V20" s="20" t="e">
        <f t="shared" si="2"/>
        <v>#DIV/0!</v>
      </c>
      <c r="W20" s="20"/>
      <c r="X20" s="20"/>
      <c r="Y20" s="20"/>
      <c r="Z20" s="20"/>
      <c r="AA20" s="20" t="e">
        <f t="shared" si="3"/>
        <v>#DIV/0!</v>
      </c>
      <c r="AB20" s="20"/>
      <c r="AC20" s="20"/>
      <c r="AD20" s="20"/>
      <c r="AE20" s="20"/>
      <c r="AF20" s="20" t="e">
        <f t="shared" si="4"/>
        <v>#DIV/0!</v>
      </c>
      <c r="AG20" s="20"/>
      <c r="AH20" s="20"/>
      <c r="AI20" s="20"/>
      <c r="AJ20" s="20"/>
      <c r="AK20" s="20" t="e">
        <f t="shared" si="5"/>
        <v>#DIV/0!</v>
      </c>
      <c r="AL20" s="20"/>
      <c r="AM20" s="20"/>
      <c r="AN20" s="20"/>
      <c r="AO20" s="20"/>
      <c r="AP20" s="20" t="e">
        <f t="shared" si="6"/>
        <v>#DIV/0!</v>
      </c>
      <c r="AQ20" s="20"/>
      <c r="AR20" s="20"/>
      <c r="AS20" s="20"/>
      <c r="AT20" s="20"/>
      <c r="AU20" s="20"/>
      <c r="AV20" s="20" t="e">
        <f t="shared" si="7"/>
        <v>#DIV/0!</v>
      </c>
      <c r="AZ20" s="20">
        <f t="shared" si="8"/>
        <v>0</v>
      </c>
      <c r="BA20" s="20"/>
      <c r="BB20" s="20"/>
      <c r="BC20" s="20"/>
      <c r="BD20" s="20">
        <f t="shared" si="9"/>
        <v>0</v>
      </c>
      <c r="BH20" s="20">
        <f t="shared" si="10"/>
        <v>0</v>
      </c>
      <c r="BK20" s="17" t="e">
        <f t="shared" si="11"/>
        <v>#DIV/0!</v>
      </c>
      <c r="BL20" s="17" t="e">
        <f t="shared" si="12"/>
        <v>#DIV/0!</v>
      </c>
      <c r="BM20" s="18" t="e">
        <f t="shared" si="13"/>
        <v>#DIV/0!</v>
      </c>
      <c r="BN20" s="20" t="e">
        <f t="shared" si="14"/>
        <v>#DIV/0!</v>
      </c>
      <c r="BP20" s="22">
        <f t="shared" si="15"/>
        <v>0</v>
      </c>
      <c r="BR20" s="20"/>
      <c r="BS20" s="20" t="e">
        <f t="shared" si="16"/>
        <v>#DIV/0!</v>
      </c>
      <c r="BT20" s="20" t="e">
        <f t="shared" si="17"/>
        <v>#DIV/0!</v>
      </c>
      <c r="BV20" s="20"/>
      <c r="BW20" s="20"/>
      <c r="BX20" s="20" t="e">
        <f t="shared" si="18"/>
        <v>#DIV/0!</v>
      </c>
    </row>
    <row r="21" spans="2:76" x14ac:dyDescent="0.3">
      <c r="B21" s="63">
        <v>2024</v>
      </c>
      <c r="C21" t="s">
        <v>105</v>
      </c>
      <c r="D21">
        <v>117</v>
      </c>
      <c r="E21">
        <v>1</v>
      </c>
      <c r="F21">
        <v>17</v>
      </c>
      <c r="G21" t="s">
        <v>106</v>
      </c>
      <c r="H21">
        <v>8</v>
      </c>
      <c r="I21" t="s">
        <v>38</v>
      </c>
      <c r="L21" s="21" t="e">
        <f t="shared" si="0"/>
        <v>#DIV/0!</v>
      </c>
      <c r="Q21" s="20" t="e">
        <f t="shared" si="1"/>
        <v>#DIV/0!</v>
      </c>
      <c r="V21" s="20" t="e">
        <f t="shared" si="2"/>
        <v>#DIV/0!</v>
      </c>
      <c r="W21" s="20"/>
      <c r="X21" s="20"/>
      <c r="Y21" s="20"/>
      <c r="Z21" s="20"/>
      <c r="AA21" s="20" t="e">
        <f t="shared" si="3"/>
        <v>#DIV/0!</v>
      </c>
      <c r="AB21" s="20"/>
      <c r="AC21" s="20"/>
      <c r="AD21" s="20"/>
      <c r="AE21" s="20"/>
      <c r="AF21" s="20" t="e">
        <f t="shared" si="4"/>
        <v>#DIV/0!</v>
      </c>
      <c r="AG21" s="20"/>
      <c r="AH21" s="20"/>
      <c r="AI21" s="20"/>
      <c r="AJ21" s="20"/>
      <c r="AK21" s="20" t="e">
        <f t="shared" si="5"/>
        <v>#DIV/0!</v>
      </c>
      <c r="AL21" s="20"/>
      <c r="AM21" s="20"/>
      <c r="AN21" s="20"/>
      <c r="AO21" s="20"/>
      <c r="AP21" s="20" t="e">
        <f t="shared" si="6"/>
        <v>#DIV/0!</v>
      </c>
      <c r="AQ21" s="20"/>
      <c r="AR21" s="20"/>
      <c r="AS21" s="20"/>
      <c r="AT21" s="20"/>
      <c r="AU21" s="20"/>
      <c r="AV21" s="20" t="e">
        <f t="shared" si="7"/>
        <v>#DIV/0!</v>
      </c>
      <c r="AZ21" s="20">
        <f t="shared" si="8"/>
        <v>0</v>
      </c>
      <c r="BA21" s="20"/>
      <c r="BB21" s="20"/>
      <c r="BC21" s="20"/>
      <c r="BD21" s="20">
        <f t="shared" si="9"/>
        <v>0</v>
      </c>
      <c r="BH21" s="20">
        <f t="shared" si="10"/>
        <v>0</v>
      </c>
      <c r="BK21" s="17" t="e">
        <f t="shared" si="11"/>
        <v>#DIV/0!</v>
      </c>
      <c r="BL21" s="17" t="e">
        <f t="shared" si="12"/>
        <v>#DIV/0!</v>
      </c>
      <c r="BM21" s="18" t="e">
        <f t="shared" si="13"/>
        <v>#DIV/0!</v>
      </c>
      <c r="BN21" s="20" t="e">
        <f t="shared" si="14"/>
        <v>#DIV/0!</v>
      </c>
      <c r="BP21" s="22">
        <f t="shared" si="15"/>
        <v>0</v>
      </c>
      <c r="BR21" s="20"/>
      <c r="BS21" s="20" t="e">
        <f t="shared" si="16"/>
        <v>#DIV/0!</v>
      </c>
      <c r="BT21" s="20" t="e">
        <f t="shared" si="17"/>
        <v>#DIV/0!</v>
      </c>
      <c r="BV21" s="20"/>
      <c r="BW21" s="20"/>
      <c r="BX21" s="20" t="e">
        <f t="shared" si="18"/>
        <v>#DIV/0!</v>
      </c>
    </row>
    <row r="22" spans="2:76" x14ac:dyDescent="0.3">
      <c r="B22" s="63">
        <v>2024</v>
      </c>
      <c r="C22" t="s">
        <v>105</v>
      </c>
      <c r="D22">
        <v>118</v>
      </c>
      <c r="E22">
        <v>1</v>
      </c>
      <c r="F22">
        <v>18</v>
      </c>
      <c r="G22" t="s">
        <v>106</v>
      </c>
      <c r="H22">
        <v>9</v>
      </c>
      <c r="I22" t="s">
        <v>33</v>
      </c>
      <c r="L22" s="21" t="e">
        <f t="shared" si="0"/>
        <v>#DIV/0!</v>
      </c>
      <c r="Q22" s="20" t="e">
        <f t="shared" si="1"/>
        <v>#DIV/0!</v>
      </c>
      <c r="V22" s="20" t="e">
        <f t="shared" si="2"/>
        <v>#DIV/0!</v>
      </c>
      <c r="W22" s="20"/>
      <c r="X22" s="20"/>
      <c r="Y22" s="20"/>
      <c r="Z22" s="20"/>
      <c r="AA22" s="20" t="e">
        <f t="shared" si="3"/>
        <v>#DIV/0!</v>
      </c>
      <c r="AB22" s="20"/>
      <c r="AC22" s="20"/>
      <c r="AD22" s="20"/>
      <c r="AE22" s="20"/>
      <c r="AF22" s="20" t="e">
        <f t="shared" si="4"/>
        <v>#DIV/0!</v>
      </c>
      <c r="AG22" s="20"/>
      <c r="AH22" s="20"/>
      <c r="AI22" s="20"/>
      <c r="AJ22" s="20"/>
      <c r="AK22" s="20" t="e">
        <f t="shared" si="5"/>
        <v>#DIV/0!</v>
      </c>
      <c r="AL22" s="20"/>
      <c r="AM22" s="20"/>
      <c r="AN22" s="20"/>
      <c r="AO22" s="20"/>
      <c r="AP22" s="20" t="e">
        <f t="shared" si="6"/>
        <v>#DIV/0!</v>
      </c>
      <c r="AQ22" s="20"/>
      <c r="AR22" s="20"/>
      <c r="AS22" s="20"/>
      <c r="AT22" s="20"/>
      <c r="AU22" s="20"/>
      <c r="AV22" s="20" t="e">
        <f t="shared" si="7"/>
        <v>#DIV/0!</v>
      </c>
      <c r="AZ22" s="20">
        <f t="shared" si="8"/>
        <v>0</v>
      </c>
      <c r="BA22" s="20"/>
      <c r="BB22" s="20"/>
      <c r="BC22" s="20"/>
      <c r="BD22" s="20">
        <f t="shared" si="9"/>
        <v>0</v>
      </c>
      <c r="BH22" s="20">
        <f t="shared" si="10"/>
        <v>0</v>
      </c>
      <c r="BK22" s="17" t="e">
        <f t="shared" si="11"/>
        <v>#DIV/0!</v>
      </c>
      <c r="BL22" s="17" t="e">
        <f t="shared" si="12"/>
        <v>#DIV/0!</v>
      </c>
      <c r="BM22" s="18" t="e">
        <f t="shared" si="13"/>
        <v>#DIV/0!</v>
      </c>
      <c r="BN22" s="20" t="e">
        <f t="shared" si="14"/>
        <v>#DIV/0!</v>
      </c>
      <c r="BP22" s="22">
        <f t="shared" si="15"/>
        <v>0</v>
      </c>
      <c r="BR22" s="20"/>
      <c r="BS22" s="20" t="e">
        <f t="shared" si="16"/>
        <v>#DIV/0!</v>
      </c>
      <c r="BT22" s="20" t="e">
        <f t="shared" si="17"/>
        <v>#DIV/0!</v>
      </c>
      <c r="BV22" s="20"/>
      <c r="BW22" s="20"/>
      <c r="BX22" s="20" t="e">
        <f t="shared" si="18"/>
        <v>#DIV/0!</v>
      </c>
    </row>
    <row r="23" spans="2:76" x14ac:dyDescent="0.3">
      <c r="B23" s="63">
        <v>2024</v>
      </c>
      <c r="C23" t="s">
        <v>105</v>
      </c>
      <c r="D23">
        <v>119</v>
      </c>
      <c r="E23">
        <v>1</v>
      </c>
      <c r="F23">
        <v>19</v>
      </c>
      <c r="G23" t="s">
        <v>41</v>
      </c>
      <c r="H23">
        <v>1</v>
      </c>
      <c r="I23" t="s">
        <v>37</v>
      </c>
      <c r="L23" s="21" t="e">
        <f t="shared" si="0"/>
        <v>#DIV/0!</v>
      </c>
      <c r="Q23" s="20" t="e">
        <f t="shared" si="1"/>
        <v>#DIV/0!</v>
      </c>
      <c r="V23" s="20" t="e">
        <f t="shared" si="2"/>
        <v>#DIV/0!</v>
      </c>
      <c r="W23" s="20"/>
      <c r="X23" s="20"/>
      <c r="Y23" s="20"/>
      <c r="Z23" s="20"/>
      <c r="AA23" s="20" t="e">
        <f t="shared" si="3"/>
        <v>#DIV/0!</v>
      </c>
      <c r="AB23" s="20"/>
      <c r="AC23" s="20"/>
      <c r="AD23" s="20"/>
      <c r="AE23" s="20"/>
      <c r="AF23" s="20" t="e">
        <f t="shared" si="4"/>
        <v>#DIV/0!</v>
      </c>
      <c r="AG23" s="20"/>
      <c r="AH23" s="20"/>
      <c r="AI23" s="20"/>
      <c r="AJ23" s="20"/>
      <c r="AK23" s="20" t="e">
        <f t="shared" si="5"/>
        <v>#DIV/0!</v>
      </c>
      <c r="AL23" s="20"/>
      <c r="AM23" s="20"/>
      <c r="AN23" s="20"/>
      <c r="AO23" s="20"/>
      <c r="AP23" s="20" t="e">
        <f t="shared" si="6"/>
        <v>#DIV/0!</v>
      </c>
      <c r="AQ23" s="20"/>
      <c r="AR23" s="20"/>
      <c r="AS23" s="20"/>
      <c r="AT23" s="20"/>
      <c r="AU23" s="20"/>
      <c r="AV23" s="20" t="e">
        <f t="shared" si="7"/>
        <v>#DIV/0!</v>
      </c>
      <c r="AZ23" s="20">
        <f t="shared" si="8"/>
        <v>0</v>
      </c>
      <c r="BA23" s="20"/>
      <c r="BB23" s="20"/>
      <c r="BC23" s="20"/>
      <c r="BD23" s="20">
        <f t="shared" si="9"/>
        <v>0</v>
      </c>
      <c r="BH23" s="20">
        <f t="shared" si="10"/>
        <v>0</v>
      </c>
      <c r="BK23" s="17" t="e">
        <f t="shared" si="11"/>
        <v>#DIV/0!</v>
      </c>
      <c r="BL23" s="17" t="e">
        <f t="shared" si="12"/>
        <v>#DIV/0!</v>
      </c>
      <c r="BM23" s="18" t="e">
        <f t="shared" si="13"/>
        <v>#DIV/0!</v>
      </c>
      <c r="BN23" s="20" t="e">
        <f t="shared" si="14"/>
        <v>#DIV/0!</v>
      </c>
      <c r="BP23" s="22">
        <f t="shared" si="15"/>
        <v>0</v>
      </c>
      <c r="BR23" s="20"/>
      <c r="BS23" s="20" t="e">
        <f t="shared" si="16"/>
        <v>#DIV/0!</v>
      </c>
      <c r="BT23" s="20" t="e">
        <f t="shared" si="17"/>
        <v>#DIV/0!</v>
      </c>
      <c r="BV23" s="20"/>
      <c r="BW23" s="20"/>
      <c r="BX23" s="20" t="e">
        <f t="shared" si="18"/>
        <v>#DIV/0!</v>
      </c>
    </row>
    <row r="24" spans="2:76" x14ac:dyDescent="0.3">
      <c r="B24" s="63">
        <v>2024</v>
      </c>
      <c r="C24" t="s">
        <v>105</v>
      </c>
      <c r="D24">
        <v>120</v>
      </c>
      <c r="E24">
        <v>1</v>
      </c>
      <c r="F24">
        <v>20</v>
      </c>
      <c r="G24" t="s">
        <v>41</v>
      </c>
      <c r="H24">
        <v>2</v>
      </c>
      <c r="I24" t="s">
        <v>32</v>
      </c>
      <c r="L24" s="21" t="e">
        <f t="shared" si="0"/>
        <v>#DIV/0!</v>
      </c>
      <c r="Q24" s="20" t="e">
        <f t="shared" si="1"/>
        <v>#DIV/0!</v>
      </c>
      <c r="V24" s="20" t="e">
        <f t="shared" si="2"/>
        <v>#DIV/0!</v>
      </c>
      <c r="W24" s="20"/>
      <c r="X24" s="20"/>
      <c r="Y24" s="20"/>
      <c r="Z24" s="20"/>
      <c r="AA24" s="20" t="e">
        <f t="shared" si="3"/>
        <v>#DIV/0!</v>
      </c>
      <c r="AB24" s="20"/>
      <c r="AC24" s="20"/>
      <c r="AD24" s="20"/>
      <c r="AE24" s="20"/>
      <c r="AF24" s="20" t="e">
        <f t="shared" si="4"/>
        <v>#DIV/0!</v>
      </c>
      <c r="AG24" s="20"/>
      <c r="AH24" s="20"/>
      <c r="AI24" s="20"/>
      <c r="AJ24" s="20"/>
      <c r="AK24" s="20" t="e">
        <f t="shared" si="5"/>
        <v>#DIV/0!</v>
      </c>
      <c r="AL24" s="20"/>
      <c r="AM24" s="20"/>
      <c r="AN24" s="20"/>
      <c r="AO24" s="20"/>
      <c r="AP24" s="20" t="e">
        <f t="shared" si="6"/>
        <v>#DIV/0!</v>
      </c>
      <c r="AQ24" s="20"/>
      <c r="AR24" s="20"/>
      <c r="AS24" s="20"/>
      <c r="AT24" s="20"/>
      <c r="AU24" s="20"/>
      <c r="AV24" s="20" t="e">
        <f t="shared" si="7"/>
        <v>#DIV/0!</v>
      </c>
      <c r="AZ24" s="20">
        <f t="shared" si="8"/>
        <v>0</v>
      </c>
      <c r="BA24" s="20"/>
      <c r="BB24" s="20"/>
      <c r="BC24" s="20"/>
      <c r="BD24" s="20">
        <f t="shared" si="9"/>
        <v>0</v>
      </c>
      <c r="BH24" s="20">
        <f t="shared" si="10"/>
        <v>0</v>
      </c>
      <c r="BK24" s="17" t="e">
        <f t="shared" si="11"/>
        <v>#DIV/0!</v>
      </c>
      <c r="BL24" s="17" t="e">
        <f t="shared" si="12"/>
        <v>#DIV/0!</v>
      </c>
      <c r="BM24" s="18" t="e">
        <f t="shared" si="13"/>
        <v>#DIV/0!</v>
      </c>
      <c r="BN24" s="20" t="e">
        <f t="shared" si="14"/>
        <v>#DIV/0!</v>
      </c>
      <c r="BP24" s="22">
        <f t="shared" si="15"/>
        <v>0</v>
      </c>
      <c r="BR24" s="20"/>
      <c r="BS24" s="20" t="e">
        <f t="shared" si="16"/>
        <v>#DIV/0!</v>
      </c>
      <c r="BT24" s="20" t="e">
        <f t="shared" si="17"/>
        <v>#DIV/0!</v>
      </c>
      <c r="BV24" s="20"/>
      <c r="BW24" s="20"/>
      <c r="BX24" s="20" t="e">
        <f t="shared" si="18"/>
        <v>#DIV/0!</v>
      </c>
    </row>
    <row r="25" spans="2:76" x14ac:dyDescent="0.3">
      <c r="B25" s="63">
        <v>2024</v>
      </c>
      <c r="C25" t="s">
        <v>105</v>
      </c>
      <c r="D25">
        <v>121</v>
      </c>
      <c r="E25">
        <v>1</v>
      </c>
      <c r="F25">
        <v>21</v>
      </c>
      <c r="G25" t="s">
        <v>41</v>
      </c>
      <c r="H25">
        <v>3</v>
      </c>
      <c r="I25" t="s">
        <v>39</v>
      </c>
      <c r="L25" s="21" t="e">
        <f t="shared" si="0"/>
        <v>#DIV/0!</v>
      </c>
      <c r="Q25" s="20" t="e">
        <f t="shared" si="1"/>
        <v>#DIV/0!</v>
      </c>
      <c r="V25" s="20" t="e">
        <f t="shared" si="2"/>
        <v>#DIV/0!</v>
      </c>
      <c r="W25" s="20"/>
      <c r="X25" s="20"/>
      <c r="Y25" s="20"/>
      <c r="Z25" s="20"/>
      <c r="AA25" s="20" t="e">
        <f t="shared" si="3"/>
        <v>#DIV/0!</v>
      </c>
      <c r="AB25" s="20"/>
      <c r="AC25" s="20"/>
      <c r="AD25" s="20"/>
      <c r="AE25" s="20"/>
      <c r="AF25" s="20" t="e">
        <f t="shared" si="4"/>
        <v>#DIV/0!</v>
      </c>
      <c r="AG25" s="20"/>
      <c r="AH25" s="20"/>
      <c r="AI25" s="20"/>
      <c r="AJ25" s="20"/>
      <c r="AK25" s="20" t="e">
        <f t="shared" si="5"/>
        <v>#DIV/0!</v>
      </c>
      <c r="AL25" s="20"/>
      <c r="AM25" s="20"/>
      <c r="AN25" s="20"/>
      <c r="AO25" s="20"/>
      <c r="AP25" s="20" t="e">
        <f t="shared" si="6"/>
        <v>#DIV/0!</v>
      </c>
      <c r="AQ25" s="20"/>
      <c r="AR25" s="20"/>
      <c r="AS25" s="20"/>
      <c r="AT25" s="20"/>
      <c r="AU25" s="20"/>
      <c r="AV25" s="20" t="e">
        <f t="shared" si="7"/>
        <v>#DIV/0!</v>
      </c>
      <c r="AZ25" s="20">
        <f t="shared" si="8"/>
        <v>0</v>
      </c>
      <c r="BA25" s="20"/>
      <c r="BB25" s="20"/>
      <c r="BC25" s="20"/>
      <c r="BD25" s="20">
        <f t="shared" si="9"/>
        <v>0</v>
      </c>
      <c r="BH25" s="20">
        <f t="shared" si="10"/>
        <v>0</v>
      </c>
      <c r="BK25" s="17" t="e">
        <f t="shared" si="11"/>
        <v>#DIV/0!</v>
      </c>
      <c r="BL25" s="17" t="e">
        <f t="shared" si="12"/>
        <v>#DIV/0!</v>
      </c>
      <c r="BM25" s="18" t="e">
        <f t="shared" si="13"/>
        <v>#DIV/0!</v>
      </c>
      <c r="BN25" s="20" t="e">
        <f t="shared" si="14"/>
        <v>#DIV/0!</v>
      </c>
      <c r="BP25" s="22">
        <f t="shared" si="15"/>
        <v>0</v>
      </c>
      <c r="BR25" s="20"/>
      <c r="BS25" s="20" t="e">
        <f t="shared" si="16"/>
        <v>#DIV/0!</v>
      </c>
      <c r="BT25" s="20" t="e">
        <f t="shared" si="17"/>
        <v>#DIV/0!</v>
      </c>
      <c r="BV25" s="20"/>
      <c r="BW25" s="20"/>
      <c r="BX25" s="20" t="e">
        <f t="shared" si="18"/>
        <v>#DIV/0!</v>
      </c>
    </row>
    <row r="26" spans="2:76" x14ac:dyDescent="0.3">
      <c r="B26" s="63">
        <v>2024</v>
      </c>
      <c r="C26" t="s">
        <v>105</v>
      </c>
      <c r="D26">
        <v>122</v>
      </c>
      <c r="E26">
        <v>1</v>
      </c>
      <c r="F26">
        <v>22</v>
      </c>
      <c r="G26" t="s">
        <v>41</v>
      </c>
      <c r="H26">
        <v>4</v>
      </c>
      <c r="I26" t="s">
        <v>36</v>
      </c>
      <c r="L26" s="21" t="e">
        <f t="shared" si="0"/>
        <v>#DIV/0!</v>
      </c>
      <c r="Q26" s="20" t="e">
        <f t="shared" si="1"/>
        <v>#DIV/0!</v>
      </c>
      <c r="V26" s="20" t="e">
        <f t="shared" si="2"/>
        <v>#DIV/0!</v>
      </c>
      <c r="W26" s="20"/>
      <c r="X26" s="20"/>
      <c r="Y26" s="20"/>
      <c r="Z26" s="20"/>
      <c r="AA26" s="20" t="e">
        <f t="shared" si="3"/>
        <v>#DIV/0!</v>
      </c>
      <c r="AB26" s="20"/>
      <c r="AC26" s="20"/>
      <c r="AD26" s="20"/>
      <c r="AE26" s="20"/>
      <c r="AF26" s="20" t="e">
        <f t="shared" si="4"/>
        <v>#DIV/0!</v>
      </c>
      <c r="AG26" s="20"/>
      <c r="AH26" s="20"/>
      <c r="AI26" s="20"/>
      <c r="AJ26" s="20"/>
      <c r="AK26" s="20" t="e">
        <f t="shared" si="5"/>
        <v>#DIV/0!</v>
      </c>
      <c r="AL26" s="20"/>
      <c r="AM26" s="20"/>
      <c r="AN26" s="20"/>
      <c r="AO26" s="20"/>
      <c r="AP26" s="20" t="e">
        <f t="shared" si="6"/>
        <v>#DIV/0!</v>
      </c>
      <c r="AQ26" s="20"/>
      <c r="AR26" s="20"/>
      <c r="AS26" s="20"/>
      <c r="AT26" s="20"/>
      <c r="AU26" s="20"/>
      <c r="AV26" s="20" t="e">
        <f t="shared" si="7"/>
        <v>#DIV/0!</v>
      </c>
      <c r="AZ26" s="20">
        <f t="shared" si="8"/>
        <v>0</v>
      </c>
      <c r="BA26" s="20"/>
      <c r="BB26" s="20"/>
      <c r="BC26" s="20"/>
      <c r="BD26" s="20">
        <f t="shared" si="9"/>
        <v>0</v>
      </c>
      <c r="BH26" s="20">
        <f t="shared" si="10"/>
        <v>0</v>
      </c>
      <c r="BK26" s="17" t="e">
        <f t="shared" si="11"/>
        <v>#DIV/0!</v>
      </c>
      <c r="BL26" s="17" t="e">
        <f t="shared" si="12"/>
        <v>#DIV/0!</v>
      </c>
      <c r="BM26" s="18" t="e">
        <f t="shared" si="13"/>
        <v>#DIV/0!</v>
      </c>
      <c r="BN26" s="20" t="e">
        <f t="shared" si="14"/>
        <v>#DIV/0!</v>
      </c>
      <c r="BP26" s="22">
        <f t="shared" si="15"/>
        <v>0</v>
      </c>
      <c r="BR26" s="20"/>
      <c r="BS26" s="20" t="e">
        <f t="shared" si="16"/>
        <v>#DIV/0!</v>
      </c>
      <c r="BT26" s="20" t="e">
        <f t="shared" si="17"/>
        <v>#DIV/0!</v>
      </c>
      <c r="BV26" s="20"/>
      <c r="BW26" s="20"/>
      <c r="BX26" s="20" t="e">
        <f t="shared" si="18"/>
        <v>#DIV/0!</v>
      </c>
    </row>
    <row r="27" spans="2:76" x14ac:dyDescent="0.3">
      <c r="B27" s="63">
        <v>2024</v>
      </c>
      <c r="C27" t="s">
        <v>105</v>
      </c>
      <c r="D27">
        <v>123</v>
      </c>
      <c r="E27">
        <v>1</v>
      </c>
      <c r="F27">
        <v>23</v>
      </c>
      <c r="G27" t="s">
        <v>41</v>
      </c>
      <c r="H27">
        <v>5</v>
      </c>
      <c r="I27" t="s">
        <v>31</v>
      </c>
      <c r="L27" s="21" t="e">
        <f t="shared" si="0"/>
        <v>#DIV/0!</v>
      </c>
      <c r="Q27" s="20" t="e">
        <f t="shared" si="1"/>
        <v>#DIV/0!</v>
      </c>
      <c r="V27" s="20" t="e">
        <f t="shared" si="2"/>
        <v>#DIV/0!</v>
      </c>
      <c r="W27" s="20"/>
      <c r="X27" s="20"/>
      <c r="Y27" s="20"/>
      <c r="Z27" s="20"/>
      <c r="AA27" s="20" t="e">
        <f t="shared" si="3"/>
        <v>#DIV/0!</v>
      </c>
      <c r="AB27" s="20"/>
      <c r="AC27" s="20"/>
      <c r="AD27" s="20"/>
      <c r="AE27" s="20"/>
      <c r="AF27" s="20" t="e">
        <f t="shared" si="4"/>
        <v>#DIV/0!</v>
      </c>
      <c r="AG27" s="20"/>
      <c r="AH27" s="20"/>
      <c r="AI27" s="20"/>
      <c r="AJ27" s="20"/>
      <c r="AK27" s="20" t="e">
        <f t="shared" si="5"/>
        <v>#DIV/0!</v>
      </c>
      <c r="AL27" s="20"/>
      <c r="AM27" s="20"/>
      <c r="AN27" s="20"/>
      <c r="AO27" s="20"/>
      <c r="AP27" s="20" t="e">
        <f t="shared" si="6"/>
        <v>#DIV/0!</v>
      </c>
      <c r="AQ27" s="20"/>
      <c r="AR27" s="20"/>
      <c r="AS27" s="20"/>
      <c r="AT27" s="20"/>
      <c r="AU27" s="20"/>
      <c r="AV27" s="20" t="e">
        <f t="shared" si="7"/>
        <v>#DIV/0!</v>
      </c>
      <c r="AZ27" s="20">
        <f t="shared" si="8"/>
        <v>0</v>
      </c>
      <c r="BA27" s="20"/>
      <c r="BB27" s="20"/>
      <c r="BC27" s="20"/>
      <c r="BD27" s="20">
        <f t="shared" si="9"/>
        <v>0</v>
      </c>
      <c r="BH27" s="20">
        <f t="shared" si="10"/>
        <v>0</v>
      </c>
      <c r="BK27" s="17" t="e">
        <f t="shared" si="11"/>
        <v>#DIV/0!</v>
      </c>
      <c r="BL27" s="17" t="e">
        <f t="shared" si="12"/>
        <v>#DIV/0!</v>
      </c>
      <c r="BM27" s="18" t="e">
        <f t="shared" si="13"/>
        <v>#DIV/0!</v>
      </c>
      <c r="BN27" s="20" t="e">
        <f t="shared" si="14"/>
        <v>#DIV/0!</v>
      </c>
      <c r="BP27" s="22">
        <f t="shared" si="15"/>
        <v>0</v>
      </c>
      <c r="BR27" s="20"/>
      <c r="BS27" s="20" t="e">
        <f t="shared" si="16"/>
        <v>#DIV/0!</v>
      </c>
      <c r="BT27" s="20" t="e">
        <f t="shared" si="17"/>
        <v>#DIV/0!</v>
      </c>
      <c r="BV27" s="20"/>
      <c r="BW27" s="20"/>
      <c r="BX27" s="20" t="e">
        <f t="shared" si="18"/>
        <v>#DIV/0!</v>
      </c>
    </row>
    <row r="28" spans="2:76" x14ac:dyDescent="0.3">
      <c r="B28" s="63">
        <v>2024</v>
      </c>
      <c r="C28" t="s">
        <v>105</v>
      </c>
      <c r="D28">
        <v>124</v>
      </c>
      <c r="E28">
        <v>1</v>
      </c>
      <c r="F28">
        <v>24</v>
      </c>
      <c r="G28" t="s">
        <v>41</v>
      </c>
      <c r="H28">
        <v>6</v>
      </c>
      <c r="I28" t="s">
        <v>35</v>
      </c>
      <c r="L28" s="21" t="e">
        <f t="shared" si="0"/>
        <v>#DIV/0!</v>
      </c>
      <c r="Q28" s="20" t="e">
        <f t="shared" si="1"/>
        <v>#DIV/0!</v>
      </c>
      <c r="V28" s="20" t="e">
        <f t="shared" si="2"/>
        <v>#DIV/0!</v>
      </c>
      <c r="W28" s="20"/>
      <c r="X28" s="20"/>
      <c r="Y28" s="20"/>
      <c r="Z28" s="20"/>
      <c r="AA28" s="20" t="e">
        <f t="shared" si="3"/>
        <v>#DIV/0!</v>
      </c>
      <c r="AB28" s="20"/>
      <c r="AC28" s="20"/>
      <c r="AD28" s="20"/>
      <c r="AE28" s="20"/>
      <c r="AF28" s="20" t="e">
        <f t="shared" si="4"/>
        <v>#DIV/0!</v>
      </c>
      <c r="AG28" s="20"/>
      <c r="AH28" s="20"/>
      <c r="AI28" s="20"/>
      <c r="AJ28" s="20"/>
      <c r="AK28" s="20" t="e">
        <f t="shared" si="5"/>
        <v>#DIV/0!</v>
      </c>
      <c r="AL28" s="20"/>
      <c r="AM28" s="20"/>
      <c r="AN28" s="20"/>
      <c r="AO28" s="20"/>
      <c r="AP28" s="20" t="e">
        <f t="shared" si="6"/>
        <v>#DIV/0!</v>
      </c>
      <c r="AQ28" s="20"/>
      <c r="AR28" s="20"/>
      <c r="AS28" s="20"/>
      <c r="AT28" s="20"/>
      <c r="AU28" s="20"/>
      <c r="AV28" s="20" t="e">
        <f t="shared" si="7"/>
        <v>#DIV/0!</v>
      </c>
      <c r="AZ28" s="20">
        <f t="shared" si="8"/>
        <v>0</v>
      </c>
      <c r="BA28" s="20"/>
      <c r="BB28" s="20"/>
      <c r="BC28" s="20"/>
      <c r="BD28" s="20">
        <f t="shared" si="9"/>
        <v>0</v>
      </c>
      <c r="BH28" s="20">
        <f t="shared" si="10"/>
        <v>0</v>
      </c>
      <c r="BK28" s="17" t="e">
        <f t="shared" si="11"/>
        <v>#DIV/0!</v>
      </c>
      <c r="BL28" s="17" t="e">
        <f t="shared" si="12"/>
        <v>#DIV/0!</v>
      </c>
      <c r="BM28" s="18" t="e">
        <f t="shared" si="13"/>
        <v>#DIV/0!</v>
      </c>
      <c r="BN28" s="20" t="e">
        <f t="shared" si="14"/>
        <v>#DIV/0!</v>
      </c>
      <c r="BP28" s="22">
        <f t="shared" si="15"/>
        <v>0</v>
      </c>
      <c r="BR28" s="20"/>
      <c r="BS28" s="20" t="e">
        <f t="shared" si="16"/>
        <v>#DIV/0!</v>
      </c>
      <c r="BT28" s="20" t="e">
        <f t="shared" si="17"/>
        <v>#DIV/0!</v>
      </c>
      <c r="BV28" s="20"/>
      <c r="BW28" s="20"/>
      <c r="BX28" s="20" t="e">
        <f t="shared" si="18"/>
        <v>#DIV/0!</v>
      </c>
    </row>
    <row r="29" spans="2:76" x14ac:dyDescent="0.3">
      <c r="B29" s="63">
        <v>2024</v>
      </c>
      <c r="C29" t="s">
        <v>105</v>
      </c>
      <c r="D29">
        <v>125</v>
      </c>
      <c r="E29">
        <v>1</v>
      </c>
      <c r="F29">
        <v>25</v>
      </c>
      <c r="G29" t="s">
        <v>41</v>
      </c>
      <c r="H29">
        <v>7</v>
      </c>
      <c r="I29" t="s">
        <v>34</v>
      </c>
      <c r="L29" s="21" t="e">
        <f t="shared" si="0"/>
        <v>#DIV/0!</v>
      </c>
      <c r="Q29" s="20" t="e">
        <f t="shared" si="1"/>
        <v>#DIV/0!</v>
      </c>
      <c r="V29" s="20" t="e">
        <f t="shared" si="2"/>
        <v>#DIV/0!</v>
      </c>
      <c r="W29" s="20"/>
      <c r="X29" s="20"/>
      <c r="Y29" s="20"/>
      <c r="Z29" s="20"/>
      <c r="AA29" s="20" t="e">
        <f t="shared" si="3"/>
        <v>#DIV/0!</v>
      </c>
      <c r="AB29" s="20"/>
      <c r="AC29" s="20"/>
      <c r="AD29" s="20"/>
      <c r="AE29" s="20"/>
      <c r="AF29" s="20" t="e">
        <f t="shared" si="4"/>
        <v>#DIV/0!</v>
      </c>
      <c r="AG29" s="20"/>
      <c r="AH29" s="20"/>
      <c r="AI29" s="20"/>
      <c r="AJ29" s="20"/>
      <c r="AK29" s="20" t="e">
        <f t="shared" si="5"/>
        <v>#DIV/0!</v>
      </c>
      <c r="AL29" s="20"/>
      <c r="AM29" s="20"/>
      <c r="AN29" s="20"/>
      <c r="AO29" s="20"/>
      <c r="AP29" s="20" t="e">
        <f t="shared" si="6"/>
        <v>#DIV/0!</v>
      </c>
      <c r="AQ29" s="20"/>
      <c r="AR29" s="20"/>
      <c r="AS29" s="20"/>
      <c r="AT29" s="20"/>
      <c r="AU29" s="20"/>
      <c r="AV29" s="20" t="e">
        <f t="shared" si="7"/>
        <v>#DIV/0!</v>
      </c>
      <c r="AZ29" s="20">
        <f t="shared" si="8"/>
        <v>0</v>
      </c>
      <c r="BA29" s="20"/>
      <c r="BB29" s="20"/>
      <c r="BC29" s="20"/>
      <c r="BD29" s="20">
        <f t="shared" si="9"/>
        <v>0</v>
      </c>
      <c r="BH29" s="20">
        <f t="shared" si="10"/>
        <v>0</v>
      </c>
      <c r="BK29" s="17" t="e">
        <f t="shared" si="11"/>
        <v>#DIV/0!</v>
      </c>
      <c r="BL29" s="17" t="e">
        <f t="shared" si="12"/>
        <v>#DIV/0!</v>
      </c>
      <c r="BM29" s="18" t="e">
        <f t="shared" si="13"/>
        <v>#DIV/0!</v>
      </c>
      <c r="BN29" s="20" t="e">
        <f t="shared" si="14"/>
        <v>#DIV/0!</v>
      </c>
      <c r="BP29" s="22">
        <f t="shared" si="15"/>
        <v>0</v>
      </c>
      <c r="BR29" s="20"/>
      <c r="BS29" s="20" t="e">
        <f t="shared" si="16"/>
        <v>#DIV/0!</v>
      </c>
      <c r="BT29" s="20" t="e">
        <f t="shared" si="17"/>
        <v>#DIV/0!</v>
      </c>
      <c r="BV29" s="20"/>
      <c r="BW29" s="20"/>
      <c r="BX29" s="20" t="e">
        <f t="shared" si="18"/>
        <v>#DIV/0!</v>
      </c>
    </row>
    <row r="30" spans="2:76" x14ac:dyDescent="0.3">
      <c r="B30" s="63">
        <v>2024</v>
      </c>
      <c r="C30" t="s">
        <v>105</v>
      </c>
      <c r="D30">
        <v>126</v>
      </c>
      <c r="E30">
        <v>1</v>
      </c>
      <c r="F30">
        <v>26</v>
      </c>
      <c r="G30" t="s">
        <v>41</v>
      </c>
      <c r="H30">
        <v>8</v>
      </c>
      <c r="I30" t="s">
        <v>38</v>
      </c>
      <c r="L30" s="21" t="e">
        <f t="shared" si="0"/>
        <v>#DIV/0!</v>
      </c>
      <c r="Q30" s="20" t="e">
        <f t="shared" si="1"/>
        <v>#DIV/0!</v>
      </c>
      <c r="V30" s="20" t="e">
        <f t="shared" si="2"/>
        <v>#DIV/0!</v>
      </c>
      <c r="W30" s="20"/>
      <c r="X30" s="20"/>
      <c r="Y30" s="20"/>
      <c r="Z30" s="20"/>
      <c r="AA30" s="20" t="e">
        <f t="shared" si="3"/>
        <v>#DIV/0!</v>
      </c>
      <c r="AB30" s="20"/>
      <c r="AC30" s="20"/>
      <c r="AD30" s="20"/>
      <c r="AE30" s="20"/>
      <c r="AF30" s="20" t="e">
        <f t="shared" si="4"/>
        <v>#DIV/0!</v>
      </c>
      <c r="AG30" s="20"/>
      <c r="AH30" s="20"/>
      <c r="AI30" s="20"/>
      <c r="AJ30" s="20"/>
      <c r="AK30" s="20" t="e">
        <f t="shared" si="5"/>
        <v>#DIV/0!</v>
      </c>
      <c r="AL30" s="20"/>
      <c r="AM30" s="20"/>
      <c r="AN30" s="20"/>
      <c r="AO30" s="20"/>
      <c r="AP30" s="20" t="e">
        <f t="shared" si="6"/>
        <v>#DIV/0!</v>
      </c>
      <c r="AQ30" s="20"/>
      <c r="AR30" s="20"/>
      <c r="AS30" s="20"/>
      <c r="AT30" s="20"/>
      <c r="AU30" s="20"/>
      <c r="AV30" s="20" t="e">
        <f t="shared" si="7"/>
        <v>#DIV/0!</v>
      </c>
      <c r="AZ30" s="20">
        <f t="shared" si="8"/>
        <v>0</v>
      </c>
      <c r="BA30" s="20"/>
      <c r="BB30" s="20"/>
      <c r="BC30" s="20"/>
      <c r="BD30" s="20">
        <f t="shared" si="9"/>
        <v>0</v>
      </c>
      <c r="BH30" s="20">
        <f t="shared" si="10"/>
        <v>0</v>
      </c>
      <c r="BK30" s="17" t="e">
        <f t="shared" si="11"/>
        <v>#DIV/0!</v>
      </c>
      <c r="BL30" s="17" t="e">
        <f t="shared" si="12"/>
        <v>#DIV/0!</v>
      </c>
      <c r="BM30" s="18" t="e">
        <f t="shared" si="13"/>
        <v>#DIV/0!</v>
      </c>
      <c r="BN30" s="20" t="e">
        <f t="shared" si="14"/>
        <v>#DIV/0!</v>
      </c>
      <c r="BP30" s="22">
        <f t="shared" si="15"/>
        <v>0</v>
      </c>
      <c r="BR30" s="20"/>
      <c r="BS30" s="20" t="e">
        <f t="shared" si="16"/>
        <v>#DIV/0!</v>
      </c>
      <c r="BT30" s="20" t="e">
        <f t="shared" si="17"/>
        <v>#DIV/0!</v>
      </c>
      <c r="BV30" s="20"/>
      <c r="BW30" s="20"/>
      <c r="BX30" s="20" t="e">
        <f t="shared" si="18"/>
        <v>#DIV/0!</v>
      </c>
    </row>
    <row r="31" spans="2:76" x14ac:dyDescent="0.3">
      <c r="B31" s="63">
        <v>2024</v>
      </c>
      <c r="C31" t="s">
        <v>105</v>
      </c>
      <c r="D31">
        <v>127</v>
      </c>
      <c r="E31">
        <v>1</v>
      </c>
      <c r="F31">
        <v>27</v>
      </c>
      <c r="G31" t="s">
        <v>41</v>
      </c>
      <c r="H31">
        <v>9</v>
      </c>
      <c r="I31" t="s">
        <v>33</v>
      </c>
      <c r="L31" s="21" t="e">
        <f t="shared" si="0"/>
        <v>#DIV/0!</v>
      </c>
      <c r="Q31" s="20" t="e">
        <f t="shared" si="1"/>
        <v>#DIV/0!</v>
      </c>
      <c r="V31" s="20" t="e">
        <f t="shared" si="2"/>
        <v>#DIV/0!</v>
      </c>
      <c r="W31" s="20"/>
      <c r="X31" s="20"/>
      <c r="Y31" s="20"/>
      <c r="Z31" s="20"/>
      <c r="AA31" s="20" t="e">
        <f t="shared" si="3"/>
        <v>#DIV/0!</v>
      </c>
      <c r="AB31" s="20"/>
      <c r="AC31" s="20"/>
      <c r="AD31" s="20"/>
      <c r="AE31" s="20"/>
      <c r="AF31" s="20" t="e">
        <f t="shared" si="4"/>
        <v>#DIV/0!</v>
      </c>
      <c r="AG31" s="20"/>
      <c r="AH31" s="20"/>
      <c r="AI31" s="20"/>
      <c r="AJ31" s="20"/>
      <c r="AK31" s="20" t="e">
        <f t="shared" si="5"/>
        <v>#DIV/0!</v>
      </c>
      <c r="AL31" s="20"/>
      <c r="AM31" s="20"/>
      <c r="AN31" s="20"/>
      <c r="AO31" s="20"/>
      <c r="AP31" s="20" t="e">
        <f t="shared" si="6"/>
        <v>#DIV/0!</v>
      </c>
      <c r="AQ31" s="20"/>
      <c r="AR31" s="20"/>
      <c r="AS31" s="20"/>
      <c r="AT31" s="20"/>
      <c r="AU31" s="20"/>
      <c r="AV31" s="20" t="e">
        <f t="shared" si="7"/>
        <v>#DIV/0!</v>
      </c>
      <c r="AZ31" s="20">
        <f t="shared" si="8"/>
        <v>0</v>
      </c>
      <c r="BA31" s="20"/>
      <c r="BB31" s="20"/>
      <c r="BC31" s="20"/>
      <c r="BD31" s="20">
        <f t="shared" si="9"/>
        <v>0</v>
      </c>
      <c r="BH31" s="20">
        <f t="shared" si="10"/>
        <v>0</v>
      </c>
      <c r="BK31" s="17" t="e">
        <f t="shared" si="11"/>
        <v>#DIV/0!</v>
      </c>
      <c r="BL31" s="17" t="e">
        <f t="shared" si="12"/>
        <v>#DIV/0!</v>
      </c>
      <c r="BM31" s="18" t="e">
        <f t="shared" si="13"/>
        <v>#DIV/0!</v>
      </c>
      <c r="BN31" s="20" t="e">
        <f t="shared" si="14"/>
        <v>#DIV/0!</v>
      </c>
      <c r="BP31" s="22">
        <f t="shared" si="15"/>
        <v>0</v>
      </c>
      <c r="BR31" s="20"/>
      <c r="BS31" s="20" t="e">
        <f t="shared" si="16"/>
        <v>#DIV/0!</v>
      </c>
      <c r="BT31" s="20" t="e">
        <f t="shared" si="17"/>
        <v>#DIV/0!</v>
      </c>
      <c r="BV31" s="20"/>
      <c r="BW31" s="20"/>
      <c r="BX31" s="20" t="e">
        <f t="shared" si="18"/>
        <v>#DIV/0!</v>
      </c>
    </row>
    <row r="32" spans="2:76" x14ac:dyDescent="0.3">
      <c r="B32" s="63">
        <v>2024</v>
      </c>
      <c r="C32" t="s">
        <v>105</v>
      </c>
      <c r="D32">
        <v>201</v>
      </c>
      <c r="E32">
        <v>2</v>
      </c>
      <c r="F32">
        <v>27</v>
      </c>
      <c r="G32" t="s">
        <v>41</v>
      </c>
      <c r="H32">
        <v>9</v>
      </c>
      <c r="I32" s="23" t="s">
        <v>33</v>
      </c>
      <c r="L32" s="21" t="e">
        <f t="shared" si="0"/>
        <v>#DIV/0!</v>
      </c>
      <c r="P32" s="20"/>
      <c r="Q32" s="20" t="e">
        <f t="shared" si="1"/>
        <v>#DIV/0!</v>
      </c>
      <c r="T32" s="17"/>
      <c r="U32" s="17"/>
      <c r="V32" s="20" t="e">
        <f t="shared" si="2"/>
        <v>#DIV/0!</v>
      </c>
      <c r="W32" s="18"/>
      <c r="X32" s="18"/>
      <c r="Y32" s="18"/>
      <c r="Z32" s="18"/>
      <c r="AA32" s="20" t="e">
        <f t="shared" si="3"/>
        <v>#DIV/0!</v>
      </c>
      <c r="AB32" s="18"/>
      <c r="AC32" s="18"/>
      <c r="AD32" s="18"/>
      <c r="AE32" s="18"/>
      <c r="AF32" s="20" t="e">
        <f t="shared" si="4"/>
        <v>#DIV/0!</v>
      </c>
      <c r="AG32" s="18"/>
      <c r="AH32" s="18"/>
      <c r="AI32" s="18"/>
      <c r="AJ32" s="18"/>
      <c r="AK32" s="20" t="e">
        <f t="shared" si="5"/>
        <v>#DIV/0!</v>
      </c>
      <c r="AL32" s="18"/>
      <c r="AM32" s="18"/>
      <c r="AN32" s="18"/>
      <c r="AO32" s="18"/>
      <c r="AP32" s="20" t="e">
        <f t="shared" si="6"/>
        <v>#DIV/0!</v>
      </c>
      <c r="AQ32" s="18"/>
      <c r="AR32" s="18"/>
      <c r="AS32" s="18"/>
      <c r="AT32" s="18"/>
      <c r="AU32" s="18"/>
      <c r="AV32" s="20" t="e">
        <f t="shared" si="7"/>
        <v>#DIV/0!</v>
      </c>
      <c r="AW32" s="20"/>
      <c r="AY32" s="22"/>
      <c r="AZ32" s="20">
        <f t="shared" si="8"/>
        <v>0</v>
      </c>
      <c r="BD32" s="20">
        <f t="shared" si="9"/>
        <v>0</v>
      </c>
      <c r="BH32" s="20">
        <f t="shared" si="10"/>
        <v>0</v>
      </c>
      <c r="BJ32" s="22"/>
      <c r="BK32" s="17" t="e">
        <f t="shared" si="11"/>
        <v>#DIV/0!</v>
      </c>
      <c r="BL32" s="17" t="e">
        <f t="shared" si="12"/>
        <v>#DIV/0!</v>
      </c>
      <c r="BM32" s="18" t="e">
        <f t="shared" si="13"/>
        <v>#DIV/0!</v>
      </c>
      <c r="BN32" s="20" t="e">
        <f t="shared" si="14"/>
        <v>#DIV/0!</v>
      </c>
      <c r="BP32" s="22">
        <f t="shared" si="15"/>
        <v>0</v>
      </c>
      <c r="BQ32" s="20"/>
      <c r="BS32" s="20" t="e">
        <f t="shared" si="16"/>
        <v>#DIV/0!</v>
      </c>
      <c r="BT32" s="20" t="e">
        <f t="shared" si="17"/>
        <v>#DIV/0!</v>
      </c>
      <c r="BX32" s="20" t="e">
        <f t="shared" si="18"/>
        <v>#DIV/0!</v>
      </c>
    </row>
    <row r="33" spans="2:76" x14ac:dyDescent="0.3">
      <c r="B33" s="63">
        <v>2024</v>
      </c>
      <c r="C33" t="s">
        <v>105</v>
      </c>
      <c r="D33">
        <v>202</v>
      </c>
      <c r="E33">
        <v>2</v>
      </c>
      <c r="F33">
        <v>26</v>
      </c>
      <c r="G33" t="s">
        <v>41</v>
      </c>
      <c r="H33">
        <v>8</v>
      </c>
      <c r="I33" s="23" t="s">
        <v>38</v>
      </c>
      <c r="L33" s="21" t="e">
        <f t="shared" si="0"/>
        <v>#DIV/0!</v>
      </c>
      <c r="M33" s="20"/>
      <c r="O33" s="22"/>
      <c r="Q33" s="20" t="e">
        <f t="shared" si="1"/>
        <v>#DIV/0!</v>
      </c>
      <c r="S33" s="22"/>
      <c r="U33" s="20"/>
      <c r="V33" s="20" t="e">
        <f t="shared" si="2"/>
        <v>#DIV/0!</v>
      </c>
      <c r="W33" s="20"/>
      <c r="X33" s="20"/>
      <c r="Y33" s="20"/>
      <c r="Z33" s="20"/>
      <c r="AA33" s="20" t="e">
        <f t="shared" si="3"/>
        <v>#DIV/0!</v>
      </c>
      <c r="AB33" s="20"/>
      <c r="AC33" s="20"/>
      <c r="AD33" s="20"/>
      <c r="AE33" s="20"/>
      <c r="AF33" s="20" t="e">
        <f t="shared" si="4"/>
        <v>#DIV/0!</v>
      </c>
      <c r="AG33" s="20"/>
      <c r="AH33" s="20"/>
      <c r="AI33" s="20"/>
      <c r="AJ33" s="20"/>
      <c r="AK33" s="20" t="e">
        <f t="shared" si="5"/>
        <v>#DIV/0!</v>
      </c>
      <c r="AL33" s="20"/>
      <c r="AM33" s="20"/>
      <c r="AN33" s="20"/>
      <c r="AO33" s="20"/>
      <c r="AP33" s="20" t="e">
        <f t="shared" si="6"/>
        <v>#DIV/0!</v>
      </c>
      <c r="AQ33" s="20"/>
      <c r="AR33" s="20"/>
      <c r="AS33" s="20"/>
      <c r="AT33" s="20"/>
      <c r="AU33" s="20"/>
      <c r="AV33" s="20" t="e">
        <f t="shared" si="7"/>
        <v>#DIV/0!</v>
      </c>
      <c r="AW33" s="20"/>
      <c r="AY33" s="20"/>
      <c r="AZ33" s="20">
        <f t="shared" si="8"/>
        <v>0</v>
      </c>
      <c r="BA33" s="20"/>
      <c r="BB33" s="20"/>
      <c r="BC33" s="20"/>
      <c r="BD33" s="20">
        <f t="shared" si="9"/>
        <v>0</v>
      </c>
      <c r="BE33" s="20"/>
      <c r="BF33" s="20"/>
      <c r="BG33" s="20"/>
      <c r="BH33" s="20">
        <f t="shared" si="10"/>
        <v>0</v>
      </c>
      <c r="BK33" s="17" t="e">
        <f t="shared" si="11"/>
        <v>#DIV/0!</v>
      </c>
      <c r="BL33" s="17" t="e">
        <f t="shared" si="12"/>
        <v>#DIV/0!</v>
      </c>
      <c r="BM33" s="18" t="e">
        <f t="shared" si="13"/>
        <v>#DIV/0!</v>
      </c>
      <c r="BN33" s="20" t="e">
        <f t="shared" si="14"/>
        <v>#DIV/0!</v>
      </c>
      <c r="BP33" s="22">
        <f t="shared" si="15"/>
        <v>0</v>
      </c>
      <c r="BS33" s="20" t="e">
        <f t="shared" si="16"/>
        <v>#DIV/0!</v>
      </c>
      <c r="BT33" s="20" t="e">
        <f t="shared" si="17"/>
        <v>#DIV/0!</v>
      </c>
      <c r="BX33" s="20" t="e">
        <f t="shared" si="18"/>
        <v>#DIV/0!</v>
      </c>
    </row>
    <row r="34" spans="2:76" x14ac:dyDescent="0.3">
      <c r="B34" s="63">
        <v>2024</v>
      </c>
      <c r="C34" t="s">
        <v>105</v>
      </c>
      <c r="D34">
        <v>203</v>
      </c>
      <c r="E34">
        <v>2</v>
      </c>
      <c r="F34">
        <v>24</v>
      </c>
      <c r="G34" t="s">
        <v>41</v>
      </c>
      <c r="H34">
        <v>6</v>
      </c>
      <c r="I34" s="23" t="s">
        <v>35</v>
      </c>
      <c r="L34" s="21" t="e">
        <f t="shared" si="0"/>
        <v>#DIV/0!</v>
      </c>
      <c r="M34" s="20"/>
      <c r="O34" s="22"/>
      <c r="Q34" s="20" t="e">
        <f t="shared" si="1"/>
        <v>#DIV/0!</v>
      </c>
      <c r="S34" s="22"/>
      <c r="U34" s="20"/>
      <c r="V34" s="20" t="e">
        <f t="shared" si="2"/>
        <v>#DIV/0!</v>
      </c>
      <c r="W34" s="20"/>
      <c r="X34" s="20"/>
      <c r="Y34" s="20"/>
      <c r="Z34" s="20"/>
      <c r="AA34" s="20" t="e">
        <f t="shared" si="3"/>
        <v>#DIV/0!</v>
      </c>
      <c r="AB34" s="20"/>
      <c r="AC34" s="20"/>
      <c r="AD34" s="20"/>
      <c r="AE34" s="20"/>
      <c r="AF34" s="20" t="e">
        <f t="shared" si="4"/>
        <v>#DIV/0!</v>
      </c>
      <c r="AG34" s="20"/>
      <c r="AH34" s="20"/>
      <c r="AI34" s="20"/>
      <c r="AJ34" s="20"/>
      <c r="AK34" s="20" t="e">
        <f t="shared" si="5"/>
        <v>#DIV/0!</v>
      </c>
      <c r="AL34" s="20"/>
      <c r="AM34" s="20"/>
      <c r="AN34" s="20"/>
      <c r="AO34" s="20"/>
      <c r="AP34" s="20" t="e">
        <f t="shared" si="6"/>
        <v>#DIV/0!</v>
      </c>
      <c r="AQ34" s="20"/>
      <c r="AR34" s="20"/>
      <c r="AS34" s="20"/>
      <c r="AT34" s="20"/>
      <c r="AU34" s="20"/>
      <c r="AV34" s="20" t="e">
        <f t="shared" si="7"/>
        <v>#DIV/0!</v>
      </c>
      <c r="AW34" s="20"/>
      <c r="AY34" s="20"/>
      <c r="AZ34" s="20">
        <f t="shared" si="8"/>
        <v>0</v>
      </c>
      <c r="BA34" s="20"/>
      <c r="BB34" s="20"/>
      <c r="BC34" s="20"/>
      <c r="BD34" s="20">
        <f t="shared" si="9"/>
        <v>0</v>
      </c>
      <c r="BE34" s="20"/>
      <c r="BF34" s="20"/>
      <c r="BG34" s="20"/>
      <c r="BH34" s="20">
        <f t="shared" si="10"/>
        <v>0</v>
      </c>
      <c r="BK34" s="17" t="e">
        <f t="shared" si="11"/>
        <v>#DIV/0!</v>
      </c>
      <c r="BL34" s="17" t="e">
        <f t="shared" si="12"/>
        <v>#DIV/0!</v>
      </c>
      <c r="BM34" s="18" t="e">
        <f t="shared" si="13"/>
        <v>#DIV/0!</v>
      </c>
      <c r="BN34" s="20" t="e">
        <f t="shared" si="14"/>
        <v>#DIV/0!</v>
      </c>
      <c r="BP34" s="22">
        <f t="shared" si="15"/>
        <v>0</v>
      </c>
      <c r="BS34" s="20" t="e">
        <f t="shared" si="16"/>
        <v>#DIV/0!</v>
      </c>
      <c r="BT34" s="20" t="e">
        <f t="shared" si="17"/>
        <v>#DIV/0!</v>
      </c>
      <c r="BX34" s="20" t="e">
        <f t="shared" si="18"/>
        <v>#DIV/0!</v>
      </c>
    </row>
    <row r="35" spans="2:76" x14ac:dyDescent="0.3">
      <c r="B35" s="63">
        <v>2024</v>
      </c>
      <c r="C35" t="s">
        <v>105</v>
      </c>
      <c r="D35">
        <v>204</v>
      </c>
      <c r="E35">
        <v>2</v>
      </c>
      <c r="F35">
        <v>22</v>
      </c>
      <c r="G35" t="s">
        <v>41</v>
      </c>
      <c r="H35">
        <v>4</v>
      </c>
      <c r="I35" s="23" t="s">
        <v>36</v>
      </c>
      <c r="L35" s="21" t="e">
        <f t="shared" si="0"/>
        <v>#DIV/0!</v>
      </c>
      <c r="M35" s="20"/>
      <c r="O35" s="22"/>
      <c r="Q35" s="20" t="e">
        <f t="shared" si="1"/>
        <v>#DIV/0!</v>
      </c>
      <c r="S35" s="22"/>
      <c r="U35" s="20"/>
      <c r="V35" s="20" t="e">
        <f t="shared" si="2"/>
        <v>#DIV/0!</v>
      </c>
      <c r="W35" s="20"/>
      <c r="X35" s="20"/>
      <c r="Y35" s="20"/>
      <c r="Z35" s="20"/>
      <c r="AA35" s="20" t="e">
        <f t="shared" si="3"/>
        <v>#DIV/0!</v>
      </c>
      <c r="AB35" s="20"/>
      <c r="AC35" s="20"/>
      <c r="AD35" s="20"/>
      <c r="AE35" s="20"/>
      <c r="AF35" s="20" t="e">
        <f t="shared" si="4"/>
        <v>#DIV/0!</v>
      </c>
      <c r="AG35" s="20"/>
      <c r="AH35" s="20"/>
      <c r="AI35" s="20"/>
      <c r="AJ35" s="20"/>
      <c r="AK35" s="20" t="e">
        <f t="shared" si="5"/>
        <v>#DIV/0!</v>
      </c>
      <c r="AL35" s="20"/>
      <c r="AM35" s="20"/>
      <c r="AN35" s="20"/>
      <c r="AO35" s="20"/>
      <c r="AP35" s="20" t="e">
        <f t="shared" si="6"/>
        <v>#DIV/0!</v>
      </c>
      <c r="AQ35" s="20"/>
      <c r="AR35" s="20"/>
      <c r="AS35" s="20"/>
      <c r="AT35" s="20"/>
      <c r="AU35" s="20"/>
      <c r="AV35" s="20" t="e">
        <f t="shared" si="7"/>
        <v>#DIV/0!</v>
      </c>
      <c r="AW35" s="20"/>
      <c r="AY35" s="20"/>
      <c r="AZ35" s="20">
        <f t="shared" si="8"/>
        <v>0</v>
      </c>
      <c r="BA35" s="20"/>
      <c r="BB35" s="20"/>
      <c r="BC35" s="20"/>
      <c r="BD35" s="20">
        <f t="shared" si="9"/>
        <v>0</v>
      </c>
      <c r="BE35" s="20"/>
      <c r="BF35" s="20"/>
      <c r="BG35" s="20"/>
      <c r="BH35" s="20">
        <f t="shared" si="10"/>
        <v>0</v>
      </c>
      <c r="BK35" s="17" t="e">
        <f t="shared" si="11"/>
        <v>#DIV/0!</v>
      </c>
      <c r="BL35" s="17" t="e">
        <f t="shared" si="12"/>
        <v>#DIV/0!</v>
      </c>
      <c r="BM35" s="18" t="e">
        <f t="shared" si="13"/>
        <v>#DIV/0!</v>
      </c>
      <c r="BN35" s="20" t="e">
        <f t="shared" si="14"/>
        <v>#DIV/0!</v>
      </c>
      <c r="BP35" s="22">
        <f t="shared" si="15"/>
        <v>0</v>
      </c>
      <c r="BS35" s="20" t="e">
        <f t="shared" si="16"/>
        <v>#DIV/0!</v>
      </c>
      <c r="BT35" s="20" t="e">
        <f t="shared" si="17"/>
        <v>#DIV/0!</v>
      </c>
      <c r="BX35" s="20" t="e">
        <f t="shared" si="18"/>
        <v>#DIV/0!</v>
      </c>
    </row>
    <row r="36" spans="2:76" x14ac:dyDescent="0.3">
      <c r="B36" s="63">
        <v>2024</v>
      </c>
      <c r="C36" t="s">
        <v>105</v>
      </c>
      <c r="D36">
        <v>205</v>
      </c>
      <c r="E36">
        <v>2</v>
      </c>
      <c r="F36">
        <v>19</v>
      </c>
      <c r="G36" t="s">
        <v>41</v>
      </c>
      <c r="H36">
        <v>1</v>
      </c>
      <c r="I36" s="23" t="s">
        <v>37</v>
      </c>
      <c r="L36" s="21" t="e">
        <f t="shared" si="0"/>
        <v>#DIV/0!</v>
      </c>
      <c r="M36" s="20"/>
      <c r="O36" s="22"/>
      <c r="Q36" s="20" t="e">
        <f t="shared" si="1"/>
        <v>#DIV/0!</v>
      </c>
      <c r="S36" s="22"/>
      <c r="U36" s="20"/>
      <c r="V36" s="20" t="e">
        <f t="shared" si="2"/>
        <v>#DIV/0!</v>
      </c>
      <c r="W36" s="20"/>
      <c r="X36" s="20"/>
      <c r="Y36" s="20"/>
      <c r="Z36" s="20"/>
      <c r="AA36" s="20" t="e">
        <f t="shared" si="3"/>
        <v>#DIV/0!</v>
      </c>
      <c r="AB36" s="20"/>
      <c r="AC36" s="20"/>
      <c r="AD36" s="20"/>
      <c r="AE36" s="20"/>
      <c r="AF36" s="20" t="e">
        <f t="shared" si="4"/>
        <v>#DIV/0!</v>
      </c>
      <c r="AG36" s="20"/>
      <c r="AH36" s="20"/>
      <c r="AI36" s="20"/>
      <c r="AJ36" s="20"/>
      <c r="AK36" s="20" t="e">
        <f t="shared" si="5"/>
        <v>#DIV/0!</v>
      </c>
      <c r="AL36" s="20"/>
      <c r="AM36" s="20"/>
      <c r="AN36" s="20"/>
      <c r="AO36" s="20"/>
      <c r="AP36" s="20" t="e">
        <f t="shared" si="6"/>
        <v>#DIV/0!</v>
      </c>
      <c r="AQ36" s="20"/>
      <c r="AR36" s="20"/>
      <c r="AS36" s="20"/>
      <c r="AT36" s="20"/>
      <c r="AU36" s="20"/>
      <c r="AV36" s="20" t="e">
        <f t="shared" si="7"/>
        <v>#DIV/0!</v>
      </c>
      <c r="AW36" s="20"/>
      <c r="AY36" s="20"/>
      <c r="AZ36" s="20">
        <f t="shared" si="8"/>
        <v>0</v>
      </c>
      <c r="BA36" s="20"/>
      <c r="BB36" s="20"/>
      <c r="BC36" s="20"/>
      <c r="BD36" s="20">
        <f t="shared" si="9"/>
        <v>0</v>
      </c>
      <c r="BE36" s="20"/>
      <c r="BF36" s="20"/>
      <c r="BG36" s="20"/>
      <c r="BH36" s="20">
        <f t="shared" si="10"/>
        <v>0</v>
      </c>
      <c r="BK36" s="17" t="e">
        <f t="shared" si="11"/>
        <v>#DIV/0!</v>
      </c>
      <c r="BL36" s="17" t="e">
        <f t="shared" si="12"/>
        <v>#DIV/0!</v>
      </c>
      <c r="BM36" s="18" t="e">
        <f t="shared" si="13"/>
        <v>#DIV/0!</v>
      </c>
      <c r="BN36" s="20" t="e">
        <f t="shared" si="14"/>
        <v>#DIV/0!</v>
      </c>
      <c r="BP36" s="22">
        <f t="shared" si="15"/>
        <v>0</v>
      </c>
      <c r="BS36" s="20" t="e">
        <f t="shared" si="16"/>
        <v>#DIV/0!</v>
      </c>
      <c r="BT36" s="20" t="e">
        <f t="shared" si="17"/>
        <v>#DIV/0!</v>
      </c>
      <c r="BX36" s="20" t="e">
        <f t="shared" si="18"/>
        <v>#DIV/0!</v>
      </c>
    </row>
    <row r="37" spans="2:76" x14ac:dyDescent="0.3">
      <c r="B37" s="63">
        <v>2024</v>
      </c>
      <c r="C37" t="s">
        <v>105</v>
      </c>
      <c r="D37">
        <v>206</v>
      </c>
      <c r="E37">
        <v>2</v>
      </c>
      <c r="F37">
        <v>25</v>
      </c>
      <c r="G37" t="s">
        <v>41</v>
      </c>
      <c r="H37">
        <v>7</v>
      </c>
      <c r="I37" s="23" t="s">
        <v>34</v>
      </c>
      <c r="L37" s="21" t="e">
        <f t="shared" si="0"/>
        <v>#DIV/0!</v>
      </c>
      <c r="M37" s="20"/>
      <c r="O37" s="22"/>
      <c r="Q37" s="20" t="e">
        <f t="shared" si="1"/>
        <v>#DIV/0!</v>
      </c>
      <c r="S37" s="22"/>
      <c r="U37" s="20"/>
      <c r="V37" s="20" t="e">
        <f t="shared" si="2"/>
        <v>#DIV/0!</v>
      </c>
      <c r="W37" s="20"/>
      <c r="X37" s="20"/>
      <c r="Y37" s="20"/>
      <c r="Z37" s="20"/>
      <c r="AA37" s="20" t="e">
        <f t="shared" si="3"/>
        <v>#DIV/0!</v>
      </c>
      <c r="AB37" s="20"/>
      <c r="AC37" s="20"/>
      <c r="AD37" s="20"/>
      <c r="AE37" s="20"/>
      <c r="AF37" s="20" t="e">
        <f t="shared" si="4"/>
        <v>#DIV/0!</v>
      </c>
      <c r="AG37" s="20"/>
      <c r="AH37" s="20"/>
      <c r="AI37" s="20"/>
      <c r="AJ37" s="20"/>
      <c r="AK37" s="20" t="e">
        <f t="shared" si="5"/>
        <v>#DIV/0!</v>
      </c>
      <c r="AL37" s="20"/>
      <c r="AM37" s="20"/>
      <c r="AN37" s="20"/>
      <c r="AO37" s="20"/>
      <c r="AP37" s="20" t="e">
        <f t="shared" si="6"/>
        <v>#DIV/0!</v>
      </c>
      <c r="AQ37" s="20"/>
      <c r="AR37" s="20"/>
      <c r="AS37" s="20"/>
      <c r="AT37" s="20"/>
      <c r="AU37" s="20"/>
      <c r="AV37" s="20" t="e">
        <f t="shared" si="7"/>
        <v>#DIV/0!</v>
      </c>
      <c r="AW37" s="20"/>
      <c r="AY37" s="20"/>
      <c r="AZ37" s="20">
        <f t="shared" si="8"/>
        <v>0</v>
      </c>
      <c r="BA37" s="20"/>
      <c r="BB37" s="20"/>
      <c r="BC37" s="20"/>
      <c r="BD37" s="20">
        <f t="shared" si="9"/>
        <v>0</v>
      </c>
      <c r="BE37" s="20"/>
      <c r="BF37" s="20"/>
      <c r="BG37" s="20"/>
      <c r="BH37" s="20">
        <f t="shared" si="10"/>
        <v>0</v>
      </c>
      <c r="BK37" s="17" t="e">
        <f t="shared" si="11"/>
        <v>#DIV/0!</v>
      </c>
      <c r="BL37" s="17" t="e">
        <f t="shared" si="12"/>
        <v>#DIV/0!</v>
      </c>
      <c r="BM37" s="18" t="e">
        <f t="shared" si="13"/>
        <v>#DIV/0!</v>
      </c>
      <c r="BN37" s="20" t="e">
        <f t="shared" si="14"/>
        <v>#DIV/0!</v>
      </c>
      <c r="BP37" s="22">
        <f t="shared" si="15"/>
        <v>0</v>
      </c>
      <c r="BS37" s="20" t="e">
        <f t="shared" si="16"/>
        <v>#DIV/0!</v>
      </c>
      <c r="BT37" s="20" t="e">
        <f t="shared" si="17"/>
        <v>#DIV/0!</v>
      </c>
      <c r="BX37" s="20" t="e">
        <f t="shared" si="18"/>
        <v>#DIV/0!</v>
      </c>
    </row>
    <row r="38" spans="2:76" x14ac:dyDescent="0.3">
      <c r="B38" s="63">
        <v>2024</v>
      </c>
      <c r="C38" t="s">
        <v>105</v>
      </c>
      <c r="D38">
        <v>207</v>
      </c>
      <c r="E38">
        <v>2</v>
      </c>
      <c r="F38">
        <v>23</v>
      </c>
      <c r="G38" t="s">
        <v>41</v>
      </c>
      <c r="H38">
        <v>5</v>
      </c>
      <c r="I38" s="23" t="s">
        <v>31</v>
      </c>
      <c r="L38" s="21" t="e">
        <f t="shared" si="0"/>
        <v>#DIV/0!</v>
      </c>
      <c r="M38" s="20"/>
      <c r="O38" s="22"/>
      <c r="Q38" s="20" t="e">
        <f t="shared" si="1"/>
        <v>#DIV/0!</v>
      </c>
      <c r="S38" s="22"/>
      <c r="U38" s="20"/>
      <c r="V38" s="20" t="e">
        <f t="shared" si="2"/>
        <v>#DIV/0!</v>
      </c>
      <c r="W38" s="20"/>
      <c r="X38" s="20"/>
      <c r="Y38" s="20"/>
      <c r="Z38" s="20"/>
      <c r="AA38" s="20" t="e">
        <f t="shared" si="3"/>
        <v>#DIV/0!</v>
      </c>
      <c r="AB38" s="20"/>
      <c r="AC38" s="20"/>
      <c r="AD38" s="20"/>
      <c r="AE38" s="20"/>
      <c r="AF38" s="20" t="e">
        <f t="shared" si="4"/>
        <v>#DIV/0!</v>
      </c>
      <c r="AG38" s="20"/>
      <c r="AH38" s="20"/>
      <c r="AI38" s="20"/>
      <c r="AJ38" s="20"/>
      <c r="AK38" s="20" t="e">
        <f t="shared" si="5"/>
        <v>#DIV/0!</v>
      </c>
      <c r="AL38" s="20"/>
      <c r="AM38" s="20"/>
      <c r="AN38" s="20"/>
      <c r="AO38" s="20"/>
      <c r="AP38" s="20" t="e">
        <f t="shared" si="6"/>
        <v>#DIV/0!</v>
      </c>
      <c r="AQ38" s="20"/>
      <c r="AR38" s="20"/>
      <c r="AS38" s="20"/>
      <c r="AT38" s="20"/>
      <c r="AU38" s="20"/>
      <c r="AV38" s="20" t="e">
        <f t="shared" si="7"/>
        <v>#DIV/0!</v>
      </c>
      <c r="AW38" s="20"/>
      <c r="AY38" s="20"/>
      <c r="AZ38" s="20">
        <f t="shared" si="8"/>
        <v>0</v>
      </c>
      <c r="BA38" s="20"/>
      <c r="BB38" s="20"/>
      <c r="BC38" s="20"/>
      <c r="BD38" s="20">
        <f t="shared" si="9"/>
        <v>0</v>
      </c>
      <c r="BE38" s="20"/>
      <c r="BF38" s="20"/>
      <c r="BG38" s="20"/>
      <c r="BH38" s="20">
        <f t="shared" si="10"/>
        <v>0</v>
      </c>
      <c r="BK38" s="17" t="e">
        <f t="shared" si="11"/>
        <v>#DIV/0!</v>
      </c>
      <c r="BL38" s="17" t="e">
        <f t="shared" si="12"/>
        <v>#DIV/0!</v>
      </c>
      <c r="BM38" s="18" t="e">
        <f t="shared" si="13"/>
        <v>#DIV/0!</v>
      </c>
      <c r="BN38" s="20" t="e">
        <f t="shared" si="14"/>
        <v>#DIV/0!</v>
      </c>
      <c r="BP38" s="22">
        <f t="shared" si="15"/>
        <v>0</v>
      </c>
      <c r="BS38" s="20" t="e">
        <f t="shared" si="16"/>
        <v>#DIV/0!</v>
      </c>
      <c r="BT38" s="20" t="e">
        <f t="shared" si="17"/>
        <v>#DIV/0!</v>
      </c>
      <c r="BX38" s="20" t="e">
        <f t="shared" si="18"/>
        <v>#DIV/0!</v>
      </c>
    </row>
    <row r="39" spans="2:76" x14ac:dyDescent="0.3">
      <c r="B39" s="63">
        <v>2024</v>
      </c>
      <c r="C39" t="s">
        <v>105</v>
      </c>
      <c r="D39">
        <v>208</v>
      </c>
      <c r="E39">
        <v>2</v>
      </c>
      <c r="F39">
        <v>21</v>
      </c>
      <c r="G39" t="s">
        <v>41</v>
      </c>
      <c r="H39">
        <v>3</v>
      </c>
      <c r="I39" s="23" t="s">
        <v>39</v>
      </c>
      <c r="L39" s="21" t="e">
        <f t="shared" si="0"/>
        <v>#DIV/0!</v>
      </c>
      <c r="M39" s="20"/>
      <c r="O39" s="22"/>
      <c r="Q39" s="20" t="e">
        <f t="shared" si="1"/>
        <v>#DIV/0!</v>
      </c>
      <c r="S39" s="22"/>
      <c r="U39" s="20"/>
      <c r="V39" s="20" t="e">
        <f t="shared" si="2"/>
        <v>#DIV/0!</v>
      </c>
      <c r="W39" s="20"/>
      <c r="X39" s="20"/>
      <c r="Y39" s="20"/>
      <c r="Z39" s="20"/>
      <c r="AA39" s="20" t="e">
        <f t="shared" si="3"/>
        <v>#DIV/0!</v>
      </c>
      <c r="AB39" s="20"/>
      <c r="AC39" s="20"/>
      <c r="AD39" s="20"/>
      <c r="AE39" s="20"/>
      <c r="AF39" s="20" t="e">
        <f t="shared" si="4"/>
        <v>#DIV/0!</v>
      </c>
      <c r="AG39" s="20"/>
      <c r="AH39" s="20"/>
      <c r="AI39" s="20"/>
      <c r="AJ39" s="20"/>
      <c r="AK39" s="20" t="e">
        <f t="shared" si="5"/>
        <v>#DIV/0!</v>
      </c>
      <c r="AL39" s="20"/>
      <c r="AM39" s="20"/>
      <c r="AN39" s="20"/>
      <c r="AO39" s="20"/>
      <c r="AP39" s="20" t="e">
        <f t="shared" si="6"/>
        <v>#DIV/0!</v>
      </c>
      <c r="AQ39" s="20"/>
      <c r="AR39" s="20"/>
      <c r="AS39" s="20"/>
      <c r="AT39" s="20"/>
      <c r="AU39" s="20"/>
      <c r="AV39" s="20" t="e">
        <f t="shared" si="7"/>
        <v>#DIV/0!</v>
      </c>
      <c r="AW39" s="20"/>
      <c r="AY39" s="20"/>
      <c r="AZ39" s="20">
        <f t="shared" si="8"/>
        <v>0</v>
      </c>
      <c r="BA39" s="20"/>
      <c r="BB39" s="20"/>
      <c r="BC39" s="20"/>
      <c r="BD39" s="20">
        <f t="shared" si="9"/>
        <v>0</v>
      </c>
      <c r="BE39" s="20"/>
      <c r="BF39" s="20"/>
      <c r="BG39" s="20"/>
      <c r="BH39" s="20">
        <f t="shared" si="10"/>
        <v>0</v>
      </c>
      <c r="BK39" s="17" t="e">
        <f t="shared" si="11"/>
        <v>#DIV/0!</v>
      </c>
      <c r="BL39" s="17" t="e">
        <f t="shared" si="12"/>
        <v>#DIV/0!</v>
      </c>
      <c r="BM39" s="18" t="e">
        <f t="shared" si="13"/>
        <v>#DIV/0!</v>
      </c>
      <c r="BN39" s="20" t="e">
        <f t="shared" si="14"/>
        <v>#DIV/0!</v>
      </c>
      <c r="BP39" s="22">
        <f t="shared" si="15"/>
        <v>0</v>
      </c>
      <c r="BS39" s="20" t="e">
        <f t="shared" si="16"/>
        <v>#DIV/0!</v>
      </c>
      <c r="BT39" s="20" t="e">
        <f t="shared" si="17"/>
        <v>#DIV/0!</v>
      </c>
      <c r="BX39" s="20" t="e">
        <f t="shared" si="18"/>
        <v>#DIV/0!</v>
      </c>
    </row>
    <row r="40" spans="2:76" x14ac:dyDescent="0.3">
      <c r="B40" s="63">
        <v>2024</v>
      </c>
      <c r="C40" t="s">
        <v>105</v>
      </c>
      <c r="D40">
        <v>209</v>
      </c>
      <c r="E40">
        <v>2</v>
      </c>
      <c r="F40">
        <v>20</v>
      </c>
      <c r="G40" t="s">
        <v>41</v>
      </c>
      <c r="H40">
        <v>2</v>
      </c>
      <c r="I40" s="23" t="s">
        <v>32</v>
      </c>
      <c r="L40" s="21" t="e">
        <f t="shared" si="0"/>
        <v>#DIV/0!</v>
      </c>
      <c r="M40" s="20"/>
      <c r="O40" s="22"/>
      <c r="Q40" s="20" t="e">
        <f t="shared" si="1"/>
        <v>#DIV/0!</v>
      </c>
      <c r="S40" s="22"/>
      <c r="U40" s="20"/>
      <c r="V40" s="20" t="e">
        <f t="shared" si="2"/>
        <v>#DIV/0!</v>
      </c>
      <c r="W40" s="20"/>
      <c r="X40" s="20"/>
      <c r="Y40" s="20"/>
      <c r="Z40" s="20"/>
      <c r="AA40" s="20" t="e">
        <f t="shared" si="3"/>
        <v>#DIV/0!</v>
      </c>
      <c r="AB40" s="20"/>
      <c r="AC40" s="20"/>
      <c r="AD40" s="20"/>
      <c r="AE40" s="20"/>
      <c r="AF40" s="20" t="e">
        <f t="shared" si="4"/>
        <v>#DIV/0!</v>
      </c>
      <c r="AG40" s="20"/>
      <c r="AH40" s="20"/>
      <c r="AI40" s="20"/>
      <c r="AJ40" s="20"/>
      <c r="AK40" s="20" t="e">
        <f t="shared" si="5"/>
        <v>#DIV/0!</v>
      </c>
      <c r="AL40" s="20"/>
      <c r="AM40" s="20"/>
      <c r="AN40" s="20"/>
      <c r="AO40" s="20"/>
      <c r="AP40" s="20" t="e">
        <f t="shared" si="6"/>
        <v>#DIV/0!</v>
      </c>
      <c r="AQ40" s="20"/>
      <c r="AR40" s="20"/>
      <c r="AS40" s="20"/>
      <c r="AT40" s="20"/>
      <c r="AU40" s="20"/>
      <c r="AV40" s="20" t="e">
        <f t="shared" si="7"/>
        <v>#DIV/0!</v>
      </c>
      <c r="AW40" s="20"/>
      <c r="AY40" s="20"/>
      <c r="AZ40" s="20">
        <f t="shared" si="8"/>
        <v>0</v>
      </c>
      <c r="BA40" s="20"/>
      <c r="BB40" s="20"/>
      <c r="BC40" s="20"/>
      <c r="BD40" s="20">
        <f t="shared" si="9"/>
        <v>0</v>
      </c>
      <c r="BE40" s="20"/>
      <c r="BF40" s="20"/>
      <c r="BG40" s="20"/>
      <c r="BH40" s="20">
        <f t="shared" si="10"/>
        <v>0</v>
      </c>
      <c r="BK40" s="17" t="e">
        <f t="shared" si="11"/>
        <v>#DIV/0!</v>
      </c>
      <c r="BL40" s="17" t="e">
        <f t="shared" si="12"/>
        <v>#DIV/0!</v>
      </c>
      <c r="BM40" s="18" t="e">
        <f t="shared" si="13"/>
        <v>#DIV/0!</v>
      </c>
      <c r="BN40" s="20" t="e">
        <f t="shared" si="14"/>
        <v>#DIV/0!</v>
      </c>
      <c r="BP40" s="22">
        <f t="shared" si="15"/>
        <v>0</v>
      </c>
      <c r="BS40" s="20" t="e">
        <f t="shared" si="16"/>
        <v>#DIV/0!</v>
      </c>
      <c r="BT40" s="20" t="e">
        <f t="shared" si="17"/>
        <v>#DIV/0!</v>
      </c>
      <c r="BX40" s="20" t="e">
        <f t="shared" si="18"/>
        <v>#DIV/0!</v>
      </c>
    </row>
    <row r="41" spans="2:76" x14ac:dyDescent="0.3">
      <c r="B41" s="63">
        <v>2024</v>
      </c>
      <c r="C41" t="s">
        <v>105</v>
      </c>
      <c r="D41">
        <v>210</v>
      </c>
      <c r="E41">
        <v>2</v>
      </c>
      <c r="F41">
        <v>8</v>
      </c>
      <c r="G41" t="s">
        <v>42</v>
      </c>
      <c r="H41">
        <v>8</v>
      </c>
      <c r="I41" s="23" t="s">
        <v>38</v>
      </c>
      <c r="L41" s="21" t="e">
        <f t="shared" si="0"/>
        <v>#DIV/0!</v>
      </c>
      <c r="M41" s="20"/>
      <c r="O41" s="22"/>
      <c r="Q41" s="20" t="e">
        <f t="shared" si="1"/>
        <v>#DIV/0!</v>
      </c>
      <c r="S41" s="22"/>
      <c r="U41" s="20"/>
      <c r="V41" s="20" t="e">
        <f t="shared" si="2"/>
        <v>#DIV/0!</v>
      </c>
      <c r="W41" s="20"/>
      <c r="X41" s="20"/>
      <c r="Y41" s="20"/>
      <c r="Z41" s="20"/>
      <c r="AA41" s="20" t="e">
        <f t="shared" si="3"/>
        <v>#DIV/0!</v>
      </c>
      <c r="AB41" s="20"/>
      <c r="AC41" s="20"/>
      <c r="AD41" s="20"/>
      <c r="AE41" s="20"/>
      <c r="AF41" s="20" t="e">
        <f t="shared" si="4"/>
        <v>#DIV/0!</v>
      </c>
      <c r="AG41" s="20"/>
      <c r="AH41" s="20"/>
      <c r="AI41" s="20"/>
      <c r="AJ41" s="20"/>
      <c r="AK41" s="20" t="e">
        <f t="shared" si="5"/>
        <v>#DIV/0!</v>
      </c>
      <c r="AL41" s="20"/>
      <c r="AM41" s="20"/>
      <c r="AN41" s="20"/>
      <c r="AO41" s="20"/>
      <c r="AP41" s="20" t="e">
        <f t="shared" si="6"/>
        <v>#DIV/0!</v>
      </c>
      <c r="AQ41" s="20"/>
      <c r="AR41" s="20"/>
      <c r="AS41" s="20"/>
      <c r="AT41" s="20"/>
      <c r="AU41" s="20"/>
      <c r="AV41" s="20" t="e">
        <f t="shared" si="7"/>
        <v>#DIV/0!</v>
      </c>
      <c r="AW41" s="20"/>
      <c r="AY41" s="20"/>
      <c r="AZ41" s="20">
        <f t="shared" si="8"/>
        <v>0</v>
      </c>
      <c r="BA41" s="20"/>
      <c r="BB41" s="20"/>
      <c r="BC41" s="20"/>
      <c r="BD41" s="20">
        <f t="shared" si="9"/>
        <v>0</v>
      </c>
      <c r="BE41" s="20"/>
      <c r="BF41" s="20"/>
      <c r="BG41" s="20"/>
      <c r="BH41" s="20">
        <f t="shared" si="10"/>
        <v>0</v>
      </c>
      <c r="BK41" s="17" t="e">
        <f t="shared" si="11"/>
        <v>#DIV/0!</v>
      </c>
      <c r="BL41" s="17" t="e">
        <f t="shared" si="12"/>
        <v>#DIV/0!</v>
      </c>
      <c r="BM41" s="18" t="e">
        <f t="shared" si="13"/>
        <v>#DIV/0!</v>
      </c>
      <c r="BN41" s="20" t="e">
        <f t="shared" si="14"/>
        <v>#DIV/0!</v>
      </c>
      <c r="BP41" s="22">
        <f t="shared" si="15"/>
        <v>0</v>
      </c>
      <c r="BS41" s="20" t="e">
        <f t="shared" si="16"/>
        <v>#DIV/0!</v>
      </c>
      <c r="BT41" s="20" t="e">
        <f t="shared" si="17"/>
        <v>#DIV/0!</v>
      </c>
      <c r="BX41" s="20" t="e">
        <f t="shared" si="18"/>
        <v>#DIV/0!</v>
      </c>
    </row>
    <row r="42" spans="2:76" x14ac:dyDescent="0.3">
      <c r="B42" s="63">
        <v>2024</v>
      </c>
      <c r="C42" t="s">
        <v>105</v>
      </c>
      <c r="D42">
        <v>211</v>
      </c>
      <c r="E42">
        <v>2</v>
      </c>
      <c r="F42">
        <v>1</v>
      </c>
      <c r="G42" t="s">
        <v>42</v>
      </c>
      <c r="H42">
        <v>1</v>
      </c>
      <c r="I42" s="23" t="s">
        <v>37</v>
      </c>
      <c r="L42" s="21" t="e">
        <f t="shared" si="0"/>
        <v>#DIV/0!</v>
      </c>
      <c r="Q42" s="20" t="e">
        <f t="shared" si="1"/>
        <v>#DIV/0!</v>
      </c>
      <c r="V42" s="20" t="e">
        <f t="shared" si="2"/>
        <v>#DIV/0!</v>
      </c>
      <c r="W42" s="20"/>
      <c r="X42" s="20"/>
      <c r="Y42" s="20"/>
      <c r="Z42" s="20"/>
      <c r="AA42" s="20" t="e">
        <f t="shared" si="3"/>
        <v>#DIV/0!</v>
      </c>
      <c r="AB42" s="20"/>
      <c r="AC42" s="20"/>
      <c r="AD42" s="20"/>
      <c r="AE42" s="20"/>
      <c r="AF42" s="20" t="e">
        <f t="shared" si="4"/>
        <v>#DIV/0!</v>
      </c>
      <c r="AG42" s="20"/>
      <c r="AH42" s="20"/>
      <c r="AI42" s="20"/>
      <c r="AJ42" s="20"/>
      <c r="AK42" s="20" t="e">
        <f t="shared" si="5"/>
        <v>#DIV/0!</v>
      </c>
      <c r="AL42" s="20"/>
      <c r="AM42" s="20"/>
      <c r="AN42" s="20"/>
      <c r="AO42" s="20"/>
      <c r="AP42" s="20" t="e">
        <f t="shared" si="6"/>
        <v>#DIV/0!</v>
      </c>
      <c r="AQ42" s="20"/>
      <c r="AR42" s="20"/>
      <c r="AS42" s="20"/>
      <c r="AT42" s="20"/>
      <c r="AU42" s="20"/>
      <c r="AV42" s="20" t="e">
        <f t="shared" si="7"/>
        <v>#DIV/0!</v>
      </c>
      <c r="AZ42" s="20">
        <f t="shared" si="8"/>
        <v>0</v>
      </c>
      <c r="BA42" s="20"/>
      <c r="BB42" s="20"/>
      <c r="BC42" s="20"/>
      <c r="BD42" s="20">
        <f t="shared" si="9"/>
        <v>0</v>
      </c>
      <c r="BH42" s="20">
        <f t="shared" si="10"/>
        <v>0</v>
      </c>
      <c r="BK42" s="17" t="e">
        <f t="shared" si="11"/>
        <v>#DIV/0!</v>
      </c>
      <c r="BL42" s="17" t="e">
        <f t="shared" si="12"/>
        <v>#DIV/0!</v>
      </c>
      <c r="BM42" s="18" t="e">
        <f t="shared" si="13"/>
        <v>#DIV/0!</v>
      </c>
      <c r="BN42" s="20" t="e">
        <f t="shared" si="14"/>
        <v>#DIV/0!</v>
      </c>
      <c r="BP42" s="22">
        <f t="shared" si="15"/>
        <v>0</v>
      </c>
      <c r="BR42" s="20"/>
      <c r="BS42" s="20" t="e">
        <f t="shared" si="16"/>
        <v>#DIV/0!</v>
      </c>
      <c r="BT42" s="20" t="e">
        <f t="shared" si="17"/>
        <v>#DIV/0!</v>
      </c>
      <c r="BV42" s="20"/>
      <c r="BW42" s="20"/>
      <c r="BX42" s="20" t="e">
        <f t="shared" si="18"/>
        <v>#DIV/0!</v>
      </c>
    </row>
    <row r="43" spans="2:76" x14ac:dyDescent="0.3">
      <c r="B43" s="63">
        <v>2024</v>
      </c>
      <c r="C43" t="s">
        <v>105</v>
      </c>
      <c r="D43">
        <v>212</v>
      </c>
      <c r="E43">
        <v>2</v>
      </c>
      <c r="F43">
        <v>2</v>
      </c>
      <c r="G43" t="s">
        <v>42</v>
      </c>
      <c r="H43">
        <v>2</v>
      </c>
      <c r="I43" s="23" t="s">
        <v>32</v>
      </c>
      <c r="L43" s="21" t="e">
        <f t="shared" si="0"/>
        <v>#DIV/0!</v>
      </c>
      <c r="Q43" s="20" t="e">
        <f t="shared" si="1"/>
        <v>#DIV/0!</v>
      </c>
      <c r="V43" s="20" t="e">
        <f t="shared" si="2"/>
        <v>#DIV/0!</v>
      </c>
      <c r="W43" s="20"/>
      <c r="X43" s="20"/>
      <c r="Y43" s="20"/>
      <c r="Z43" s="20"/>
      <c r="AA43" s="20" t="e">
        <f t="shared" si="3"/>
        <v>#DIV/0!</v>
      </c>
      <c r="AB43" s="20"/>
      <c r="AC43" s="20"/>
      <c r="AD43" s="20"/>
      <c r="AE43" s="20"/>
      <c r="AF43" s="20" t="e">
        <f t="shared" si="4"/>
        <v>#DIV/0!</v>
      </c>
      <c r="AG43" s="20"/>
      <c r="AH43" s="20"/>
      <c r="AI43" s="20"/>
      <c r="AJ43" s="20"/>
      <c r="AK43" s="20" t="e">
        <f t="shared" si="5"/>
        <v>#DIV/0!</v>
      </c>
      <c r="AL43" s="20"/>
      <c r="AM43" s="20"/>
      <c r="AN43" s="20"/>
      <c r="AO43" s="20"/>
      <c r="AP43" s="20" t="e">
        <f t="shared" si="6"/>
        <v>#DIV/0!</v>
      </c>
      <c r="AQ43" s="20"/>
      <c r="AR43" s="20"/>
      <c r="AS43" s="20"/>
      <c r="AT43" s="20"/>
      <c r="AU43" s="20"/>
      <c r="AV43" s="20" t="e">
        <f t="shared" si="7"/>
        <v>#DIV/0!</v>
      </c>
      <c r="AZ43" s="20">
        <f t="shared" si="8"/>
        <v>0</v>
      </c>
      <c r="BA43" s="20"/>
      <c r="BB43" s="20"/>
      <c r="BC43" s="20"/>
      <c r="BD43" s="20">
        <f t="shared" si="9"/>
        <v>0</v>
      </c>
      <c r="BH43" s="20">
        <f t="shared" si="10"/>
        <v>0</v>
      </c>
      <c r="BK43" s="17" t="e">
        <f t="shared" si="11"/>
        <v>#DIV/0!</v>
      </c>
      <c r="BL43" s="17" t="e">
        <f t="shared" si="12"/>
        <v>#DIV/0!</v>
      </c>
      <c r="BM43" s="18" t="e">
        <f t="shared" si="13"/>
        <v>#DIV/0!</v>
      </c>
      <c r="BN43" s="20" t="e">
        <f t="shared" si="14"/>
        <v>#DIV/0!</v>
      </c>
      <c r="BP43" s="22">
        <f t="shared" si="15"/>
        <v>0</v>
      </c>
      <c r="BR43" s="20"/>
      <c r="BS43" s="20" t="e">
        <f t="shared" si="16"/>
        <v>#DIV/0!</v>
      </c>
      <c r="BT43" s="20" t="e">
        <f t="shared" si="17"/>
        <v>#DIV/0!</v>
      </c>
      <c r="BV43" s="20"/>
      <c r="BW43" s="20"/>
      <c r="BX43" s="20" t="e">
        <f t="shared" si="18"/>
        <v>#DIV/0!</v>
      </c>
    </row>
    <row r="44" spans="2:76" x14ac:dyDescent="0.3">
      <c r="B44" s="63">
        <v>2024</v>
      </c>
      <c r="C44" t="s">
        <v>105</v>
      </c>
      <c r="D44">
        <v>213</v>
      </c>
      <c r="E44">
        <v>2</v>
      </c>
      <c r="F44">
        <v>6</v>
      </c>
      <c r="G44" t="s">
        <v>42</v>
      </c>
      <c r="H44">
        <v>6</v>
      </c>
      <c r="I44" s="23" t="s">
        <v>35</v>
      </c>
      <c r="L44" s="21" t="e">
        <f t="shared" si="0"/>
        <v>#DIV/0!</v>
      </c>
      <c r="Q44" s="20" t="e">
        <f t="shared" si="1"/>
        <v>#DIV/0!</v>
      </c>
      <c r="V44" s="20" t="e">
        <f t="shared" si="2"/>
        <v>#DIV/0!</v>
      </c>
      <c r="W44" s="20"/>
      <c r="X44" s="20"/>
      <c r="Y44" s="20"/>
      <c r="Z44" s="20"/>
      <c r="AA44" s="20" t="e">
        <f t="shared" si="3"/>
        <v>#DIV/0!</v>
      </c>
      <c r="AB44" s="20"/>
      <c r="AC44" s="20"/>
      <c r="AD44" s="20"/>
      <c r="AE44" s="20"/>
      <c r="AF44" s="20" t="e">
        <f t="shared" si="4"/>
        <v>#DIV/0!</v>
      </c>
      <c r="AG44" s="20"/>
      <c r="AH44" s="20"/>
      <c r="AI44" s="20"/>
      <c r="AJ44" s="20"/>
      <c r="AK44" s="20" t="e">
        <f t="shared" si="5"/>
        <v>#DIV/0!</v>
      </c>
      <c r="AL44" s="20"/>
      <c r="AM44" s="20"/>
      <c r="AN44" s="20"/>
      <c r="AO44" s="20"/>
      <c r="AP44" s="20" t="e">
        <f t="shared" si="6"/>
        <v>#DIV/0!</v>
      </c>
      <c r="AQ44" s="20"/>
      <c r="AR44" s="20"/>
      <c r="AS44" s="20"/>
      <c r="AT44" s="20"/>
      <c r="AU44" s="20"/>
      <c r="AV44" s="20" t="e">
        <f t="shared" si="7"/>
        <v>#DIV/0!</v>
      </c>
      <c r="AZ44" s="20">
        <f t="shared" si="8"/>
        <v>0</v>
      </c>
      <c r="BA44" s="20"/>
      <c r="BB44" s="20"/>
      <c r="BC44" s="20"/>
      <c r="BD44" s="20">
        <f t="shared" si="9"/>
        <v>0</v>
      </c>
      <c r="BH44" s="20">
        <f t="shared" si="10"/>
        <v>0</v>
      </c>
      <c r="BK44" s="17" t="e">
        <f t="shared" si="11"/>
        <v>#DIV/0!</v>
      </c>
      <c r="BL44" s="17" t="e">
        <f t="shared" si="12"/>
        <v>#DIV/0!</v>
      </c>
      <c r="BM44" s="18" t="e">
        <f t="shared" si="13"/>
        <v>#DIV/0!</v>
      </c>
      <c r="BN44" s="20" t="e">
        <f t="shared" si="14"/>
        <v>#DIV/0!</v>
      </c>
      <c r="BP44" s="22">
        <f t="shared" si="15"/>
        <v>0</v>
      </c>
      <c r="BR44" s="20"/>
      <c r="BS44" s="20" t="e">
        <f t="shared" si="16"/>
        <v>#DIV/0!</v>
      </c>
      <c r="BT44" s="20" t="e">
        <f t="shared" si="17"/>
        <v>#DIV/0!</v>
      </c>
      <c r="BV44" s="20"/>
      <c r="BW44" s="20"/>
      <c r="BX44" s="20" t="e">
        <f t="shared" si="18"/>
        <v>#DIV/0!</v>
      </c>
    </row>
    <row r="45" spans="2:76" x14ac:dyDescent="0.3">
      <c r="B45" s="63">
        <v>2024</v>
      </c>
      <c r="C45" t="s">
        <v>105</v>
      </c>
      <c r="D45">
        <v>214</v>
      </c>
      <c r="E45">
        <v>2</v>
      </c>
      <c r="F45">
        <v>9</v>
      </c>
      <c r="G45" t="s">
        <v>42</v>
      </c>
      <c r="H45">
        <v>9</v>
      </c>
      <c r="I45" s="23" t="s">
        <v>33</v>
      </c>
      <c r="L45" s="21" t="e">
        <f t="shared" si="0"/>
        <v>#DIV/0!</v>
      </c>
      <c r="Q45" s="20" t="e">
        <f t="shared" si="1"/>
        <v>#DIV/0!</v>
      </c>
      <c r="V45" s="20" t="e">
        <f t="shared" si="2"/>
        <v>#DIV/0!</v>
      </c>
      <c r="W45" s="20"/>
      <c r="X45" s="20"/>
      <c r="Y45" s="20"/>
      <c r="Z45" s="20"/>
      <c r="AA45" s="20" t="e">
        <f t="shared" si="3"/>
        <v>#DIV/0!</v>
      </c>
      <c r="AB45" s="20"/>
      <c r="AC45" s="20"/>
      <c r="AD45" s="20"/>
      <c r="AE45" s="20"/>
      <c r="AF45" s="20" t="e">
        <f t="shared" si="4"/>
        <v>#DIV/0!</v>
      </c>
      <c r="AG45" s="20"/>
      <c r="AH45" s="20"/>
      <c r="AI45" s="20"/>
      <c r="AJ45" s="20"/>
      <c r="AK45" s="20" t="e">
        <f t="shared" si="5"/>
        <v>#DIV/0!</v>
      </c>
      <c r="AL45" s="20"/>
      <c r="AM45" s="20"/>
      <c r="AN45" s="20"/>
      <c r="AO45" s="20"/>
      <c r="AP45" s="20" t="e">
        <f t="shared" si="6"/>
        <v>#DIV/0!</v>
      </c>
      <c r="AQ45" s="20"/>
      <c r="AR45" s="20"/>
      <c r="AS45" s="20"/>
      <c r="AT45" s="20"/>
      <c r="AU45" s="20"/>
      <c r="AV45" s="20" t="e">
        <f t="shared" si="7"/>
        <v>#DIV/0!</v>
      </c>
      <c r="AZ45" s="20">
        <f t="shared" si="8"/>
        <v>0</v>
      </c>
      <c r="BA45" s="20"/>
      <c r="BB45" s="20"/>
      <c r="BC45" s="20"/>
      <c r="BD45" s="20">
        <f t="shared" si="9"/>
        <v>0</v>
      </c>
      <c r="BH45" s="20">
        <f t="shared" si="10"/>
        <v>0</v>
      </c>
      <c r="BK45" s="17" t="e">
        <f t="shared" si="11"/>
        <v>#DIV/0!</v>
      </c>
      <c r="BL45" s="17" t="e">
        <f t="shared" si="12"/>
        <v>#DIV/0!</v>
      </c>
      <c r="BM45" s="18" t="e">
        <f t="shared" si="13"/>
        <v>#DIV/0!</v>
      </c>
      <c r="BN45" s="20" t="e">
        <f t="shared" si="14"/>
        <v>#DIV/0!</v>
      </c>
      <c r="BP45" s="22">
        <f t="shared" si="15"/>
        <v>0</v>
      </c>
      <c r="BR45" s="20"/>
      <c r="BS45" s="20" t="e">
        <f t="shared" si="16"/>
        <v>#DIV/0!</v>
      </c>
      <c r="BT45" s="20" t="e">
        <f t="shared" si="17"/>
        <v>#DIV/0!</v>
      </c>
      <c r="BV45" s="20"/>
      <c r="BW45" s="20"/>
      <c r="BX45" s="20" t="e">
        <f t="shared" si="18"/>
        <v>#DIV/0!</v>
      </c>
    </row>
    <row r="46" spans="2:76" x14ac:dyDescent="0.3">
      <c r="B46" s="63">
        <v>2024</v>
      </c>
      <c r="C46" t="s">
        <v>105</v>
      </c>
      <c r="D46">
        <v>215</v>
      </c>
      <c r="E46">
        <v>2</v>
      </c>
      <c r="F46">
        <v>4</v>
      </c>
      <c r="G46" t="s">
        <v>42</v>
      </c>
      <c r="H46">
        <v>4</v>
      </c>
      <c r="I46" s="23" t="s">
        <v>36</v>
      </c>
      <c r="L46" s="21" t="e">
        <f t="shared" si="0"/>
        <v>#DIV/0!</v>
      </c>
      <c r="Q46" s="20" t="e">
        <f t="shared" si="1"/>
        <v>#DIV/0!</v>
      </c>
      <c r="V46" s="20" t="e">
        <f t="shared" si="2"/>
        <v>#DIV/0!</v>
      </c>
      <c r="W46" s="20"/>
      <c r="X46" s="20"/>
      <c r="Y46" s="20"/>
      <c r="Z46" s="20"/>
      <c r="AA46" s="20" t="e">
        <f t="shared" si="3"/>
        <v>#DIV/0!</v>
      </c>
      <c r="AB46" s="20"/>
      <c r="AC46" s="20"/>
      <c r="AD46" s="20"/>
      <c r="AE46" s="20"/>
      <c r="AF46" s="20" t="e">
        <f t="shared" si="4"/>
        <v>#DIV/0!</v>
      </c>
      <c r="AG46" s="20"/>
      <c r="AH46" s="20"/>
      <c r="AI46" s="20"/>
      <c r="AJ46" s="20"/>
      <c r="AK46" s="20" t="e">
        <f t="shared" si="5"/>
        <v>#DIV/0!</v>
      </c>
      <c r="AL46" s="20"/>
      <c r="AM46" s="20"/>
      <c r="AN46" s="20"/>
      <c r="AO46" s="20"/>
      <c r="AP46" s="20" t="e">
        <f t="shared" si="6"/>
        <v>#DIV/0!</v>
      </c>
      <c r="AQ46" s="20"/>
      <c r="AR46" s="20"/>
      <c r="AS46" s="20"/>
      <c r="AT46" s="20"/>
      <c r="AU46" s="20"/>
      <c r="AV46" s="20" t="e">
        <f t="shared" si="7"/>
        <v>#DIV/0!</v>
      </c>
      <c r="AZ46" s="20">
        <f t="shared" si="8"/>
        <v>0</v>
      </c>
      <c r="BA46" s="20"/>
      <c r="BB46" s="20"/>
      <c r="BC46" s="20"/>
      <c r="BD46" s="20">
        <f t="shared" si="9"/>
        <v>0</v>
      </c>
      <c r="BH46" s="20">
        <f t="shared" si="10"/>
        <v>0</v>
      </c>
      <c r="BK46" s="17" t="e">
        <f t="shared" si="11"/>
        <v>#DIV/0!</v>
      </c>
      <c r="BL46" s="17" t="e">
        <f t="shared" si="12"/>
        <v>#DIV/0!</v>
      </c>
      <c r="BM46" s="18" t="e">
        <f t="shared" si="13"/>
        <v>#DIV/0!</v>
      </c>
      <c r="BN46" s="20" t="e">
        <f t="shared" si="14"/>
        <v>#DIV/0!</v>
      </c>
      <c r="BP46" s="22">
        <f t="shared" si="15"/>
        <v>0</v>
      </c>
      <c r="BR46" s="20"/>
      <c r="BS46" s="20" t="e">
        <f t="shared" si="16"/>
        <v>#DIV/0!</v>
      </c>
      <c r="BT46" s="20" t="e">
        <f t="shared" si="17"/>
        <v>#DIV/0!</v>
      </c>
      <c r="BV46" s="20"/>
      <c r="BW46" s="20"/>
      <c r="BX46" s="20" t="e">
        <f t="shared" si="18"/>
        <v>#DIV/0!</v>
      </c>
    </row>
    <row r="47" spans="2:76" x14ac:dyDescent="0.3">
      <c r="B47" s="63">
        <v>2024</v>
      </c>
      <c r="C47" t="s">
        <v>105</v>
      </c>
      <c r="D47">
        <v>216</v>
      </c>
      <c r="E47">
        <v>2</v>
      </c>
      <c r="F47">
        <v>5</v>
      </c>
      <c r="G47" t="s">
        <v>42</v>
      </c>
      <c r="H47">
        <v>5</v>
      </c>
      <c r="I47" s="23" t="s">
        <v>31</v>
      </c>
      <c r="L47" s="21" t="e">
        <f t="shared" si="0"/>
        <v>#DIV/0!</v>
      </c>
      <c r="Q47" s="20" t="e">
        <f t="shared" si="1"/>
        <v>#DIV/0!</v>
      </c>
      <c r="V47" s="20" t="e">
        <f t="shared" si="2"/>
        <v>#DIV/0!</v>
      </c>
      <c r="W47" s="20"/>
      <c r="X47" s="20"/>
      <c r="Y47" s="20"/>
      <c r="Z47" s="20"/>
      <c r="AA47" s="20" t="e">
        <f t="shared" si="3"/>
        <v>#DIV/0!</v>
      </c>
      <c r="AB47" s="20"/>
      <c r="AC47" s="20"/>
      <c r="AD47" s="20"/>
      <c r="AE47" s="20"/>
      <c r="AF47" s="20" t="e">
        <f t="shared" si="4"/>
        <v>#DIV/0!</v>
      </c>
      <c r="AG47" s="20"/>
      <c r="AH47" s="20"/>
      <c r="AI47" s="20"/>
      <c r="AJ47" s="20"/>
      <c r="AK47" s="20" t="e">
        <f t="shared" si="5"/>
        <v>#DIV/0!</v>
      </c>
      <c r="AL47" s="20"/>
      <c r="AM47" s="20"/>
      <c r="AN47" s="20"/>
      <c r="AO47" s="20"/>
      <c r="AP47" s="20" t="e">
        <f t="shared" si="6"/>
        <v>#DIV/0!</v>
      </c>
      <c r="AQ47" s="20"/>
      <c r="AR47" s="20"/>
      <c r="AS47" s="20"/>
      <c r="AT47" s="20"/>
      <c r="AU47" s="20"/>
      <c r="AV47" s="20" t="e">
        <f t="shared" si="7"/>
        <v>#DIV/0!</v>
      </c>
      <c r="AZ47" s="20">
        <f t="shared" si="8"/>
        <v>0</v>
      </c>
      <c r="BA47" s="20"/>
      <c r="BB47" s="20"/>
      <c r="BC47" s="20"/>
      <c r="BD47" s="20">
        <f t="shared" si="9"/>
        <v>0</v>
      </c>
      <c r="BH47" s="20">
        <f t="shared" si="10"/>
        <v>0</v>
      </c>
      <c r="BK47" s="17" t="e">
        <f t="shared" si="11"/>
        <v>#DIV/0!</v>
      </c>
      <c r="BL47" s="17" t="e">
        <f t="shared" si="12"/>
        <v>#DIV/0!</v>
      </c>
      <c r="BM47" s="18" t="e">
        <f t="shared" si="13"/>
        <v>#DIV/0!</v>
      </c>
      <c r="BN47" s="20" t="e">
        <f t="shared" si="14"/>
        <v>#DIV/0!</v>
      </c>
      <c r="BP47" s="22">
        <f t="shared" si="15"/>
        <v>0</v>
      </c>
      <c r="BR47" s="20"/>
      <c r="BS47" s="20" t="e">
        <f t="shared" si="16"/>
        <v>#DIV/0!</v>
      </c>
      <c r="BT47" s="20" t="e">
        <f t="shared" si="17"/>
        <v>#DIV/0!</v>
      </c>
      <c r="BV47" s="20"/>
      <c r="BW47" s="20"/>
      <c r="BX47" s="20" t="e">
        <f t="shared" si="18"/>
        <v>#DIV/0!</v>
      </c>
    </row>
    <row r="48" spans="2:76" x14ac:dyDescent="0.3">
      <c r="B48" s="63">
        <v>2024</v>
      </c>
      <c r="C48" t="s">
        <v>105</v>
      </c>
      <c r="D48">
        <v>217</v>
      </c>
      <c r="E48">
        <v>2</v>
      </c>
      <c r="F48">
        <v>3</v>
      </c>
      <c r="G48" t="s">
        <v>42</v>
      </c>
      <c r="H48">
        <v>3</v>
      </c>
      <c r="I48" s="23" t="s">
        <v>39</v>
      </c>
      <c r="L48" s="21" t="e">
        <f t="shared" si="0"/>
        <v>#DIV/0!</v>
      </c>
      <c r="Q48" s="20" t="e">
        <f t="shared" si="1"/>
        <v>#DIV/0!</v>
      </c>
      <c r="V48" s="20" t="e">
        <f t="shared" si="2"/>
        <v>#DIV/0!</v>
      </c>
      <c r="W48" s="20"/>
      <c r="X48" s="20"/>
      <c r="Y48" s="20"/>
      <c r="Z48" s="20"/>
      <c r="AA48" s="20" t="e">
        <f t="shared" si="3"/>
        <v>#DIV/0!</v>
      </c>
      <c r="AB48" s="20"/>
      <c r="AC48" s="20"/>
      <c r="AD48" s="20"/>
      <c r="AE48" s="20"/>
      <c r="AF48" s="20" t="e">
        <f t="shared" si="4"/>
        <v>#DIV/0!</v>
      </c>
      <c r="AG48" s="20"/>
      <c r="AH48" s="20"/>
      <c r="AI48" s="20"/>
      <c r="AJ48" s="20"/>
      <c r="AK48" s="20" t="e">
        <f t="shared" si="5"/>
        <v>#DIV/0!</v>
      </c>
      <c r="AL48" s="20"/>
      <c r="AM48" s="20"/>
      <c r="AN48" s="20"/>
      <c r="AO48" s="20"/>
      <c r="AP48" s="20" t="e">
        <f t="shared" si="6"/>
        <v>#DIV/0!</v>
      </c>
      <c r="AQ48" s="20"/>
      <c r="AR48" s="20"/>
      <c r="AS48" s="20"/>
      <c r="AT48" s="20"/>
      <c r="AU48" s="20"/>
      <c r="AV48" s="20" t="e">
        <f t="shared" si="7"/>
        <v>#DIV/0!</v>
      </c>
      <c r="AZ48" s="20">
        <f t="shared" si="8"/>
        <v>0</v>
      </c>
      <c r="BA48" s="20"/>
      <c r="BB48" s="20"/>
      <c r="BC48" s="20"/>
      <c r="BD48" s="20">
        <f t="shared" si="9"/>
        <v>0</v>
      </c>
      <c r="BH48" s="20">
        <f t="shared" si="10"/>
        <v>0</v>
      </c>
      <c r="BK48" s="17" t="e">
        <f t="shared" si="11"/>
        <v>#DIV/0!</v>
      </c>
      <c r="BL48" s="17" t="e">
        <f t="shared" si="12"/>
        <v>#DIV/0!</v>
      </c>
      <c r="BM48" s="18" t="e">
        <f t="shared" si="13"/>
        <v>#DIV/0!</v>
      </c>
      <c r="BN48" s="20" t="e">
        <f t="shared" si="14"/>
        <v>#DIV/0!</v>
      </c>
      <c r="BP48" s="22">
        <f t="shared" si="15"/>
        <v>0</v>
      </c>
      <c r="BR48" s="20"/>
      <c r="BS48" s="20" t="e">
        <f t="shared" si="16"/>
        <v>#DIV/0!</v>
      </c>
      <c r="BT48" s="20" t="e">
        <f t="shared" si="17"/>
        <v>#DIV/0!</v>
      </c>
      <c r="BV48" s="20"/>
      <c r="BW48" s="20"/>
      <c r="BX48" s="20" t="e">
        <f t="shared" si="18"/>
        <v>#DIV/0!</v>
      </c>
    </row>
    <row r="49" spans="2:76" x14ac:dyDescent="0.3">
      <c r="B49" s="63">
        <v>2024</v>
      </c>
      <c r="C49" t="s">
        <v>105</v>
      </c>
      <c r="D49">
        <v>218</v>
      </c>
      <c r="E49">
        <v>2</v>
      </c>
      <c r="F49">
        <v>7</v>
      </c>
      <c r="G49" t="s">
        <v>42</v>
      </c>
      <c r="H49">
        <v>7</v>
      </c>
      <c r="I49" s="23" t="s">
        <v>34</v>
      </c>
      <c r="L49" s="21" t="e">
        <f t="shared" si="0"/>
        <v>#DIV/0!</v>
      </c>
      <c r="Q49" s="20" t="e">
        <f t="shared" si="1"/>
        <v>#DIV/0!</v>
      </c>
      <c r="V49" s="20" t="e">
        <f t="shared" si="2"/>
        <v>#DIV/0!</v>
      </c>
      <c r="W49" s="20"/>
      <c r="X49" s="20"/>
      <c r="Y49" s="20"/>
      <c r="Z49" s="20"/>
      <c r="AA49" s="20" t="e">
        <f t="shared" si="3"/>
        <v>#DIV/0!</v>
      </c>
      <c r="AB49" s="20"/>
      <c r="AC49" s="20"/>
      <c r="AD49" s="20"/>
      <c r="AE49" s="20"/>
      <c r="AF49" s="20" t="e">
        <f t="shared" si="4"/>
        <v>#DIV/0!</v>
      </c>
      <c r="AG49" s="20"/>
      <c r="AH49" s="20"/>
      <c r="AI49" s="20"/>
      <c r="AJ49" s="20"/>
      <c r="AK49" s="20" t="e">
        <f t="shared" si="5"/>
        <v>#DIV/0!</v>
      </c>
      <c r="AL49" s="20"/>
      <c r="AM49" s="20"/>
      <c r="AN49" s="20"/>
      <c r="AO49" s="20"/>
      <c r="AP49" s="20" t="e">
        <f t="shared" si="6"/>
        <v>#DIV/0!</v>
      </c>
      <c r="AQ49" s="20"/>
      <c r="AR49" s="20"/>
      <c r="AS49" s="20"/>
      <c r="AT49" s="20"/>
      <c r="AU49" s="20"/>
      <c r="AV49" s="20" t="e">
        <f t="shared" si="7"/>
        <v>#DIV/0!</v>
      </c>
      <c r="AZ49" s="20">
        <f t="shared" si="8"/>
        <v>0</v>
      </c>
      <c r="BA49" s="20"/>
      <c r="BB49" s="20"/>
      <c r="BC49" s="20"/>
      <c r="BD49" s="20">
        <f t="shared" si="9"/>
        <v>0</v>
      </c>
      <c r="BH49" s="20">
        <f t="shared" si="10"/>
        <v>0</v>
      </c>
      <c r="BK49" s="17" t="e">
        <f t="shared" si="11"/>
        <v>#DIV/0!</v>
      </c>
      <c r="BL49" s="17" t="e">
        <f t="shared" si="12"/>
        <v>#DIV/0!</v>
      </c>
      <c r="BM49" s="18" t="e">
        <f t="shared" si="13"/>
        <v>#DIV/0!</v>
      </c>
      <c r="BN49" s="20" t="e">
        <f t="shared" si="14"/>
        <v>#DIV/0!</v>
      </c>
      <c r="BP49" s="22">
        <f t="shared" si="15"/>
        <v>0</v>
      </c>
      <c r="BR49" s="20"/>
      <c r="BS49" s="20" t="e">
        <f t="shared" si="16"/>
        <v>#DIV/0!</v>
      </c>
      <c r="BT49" s="20" t="e">
        <f t="shared" si="17"/>
        <v>#DIV/0!</v>
      </c>
      <c r="BV49" s="20"/>
      <c r="BW49" s="20"/>
      <c r="BX49" s="20" t="e">
        <f t="shared" si="18"/>
        <v>#DIV/0!</v>
      </c>
    </row>
    <row r="50" spans="2:76" x14ac:dyDescent="0.3">
      <c r="B50" s="63">
        <v>2024</v>
      </c>
      <c r="C50" t="s">
        <v>105</v>
      </c>
      <c r="D50">
        <v>219</v>
      </c>
      <c r="E50">
        <v>2</v>
      </c>
      <c r="F50">
        <v>12</v>
      </c>
      <c r="G50" t="s">
        <v>106</v>
      </c>
      <c r="H50">
        <v>3</v>
      </c>
      <c r="I50" s="23" t="s">
        <v>39</v>
      </c>
      <c r="L50" s="21" t="e">
        <f t="shared" si="0"/>
        <v>#DIV/0!</v>
      </c>
      <c r="Q50" s="20" t="e">
        <f t="shared" si="1"/>
        <v>#DIV/0!</v>
      </c>
      <c r="V50" s="20" t="e">
        <f t="shared" si="2"/>
        <v>#DIV/0!</v>
      </c>
      <c r="W50" s="20"/>
      <c r="X50" s="20"/>
      <c r="Y50" s="20"/>
      <c r="Z50" s="20"/>
      <c r="AA50" s="20" t="e">
        <f t="shared" si="3"/>
        <v>#DIV/0!</v>
      </c>
      <c r="AB50" s="20"/>
      <c r="AC50" s="20"/>
      <c r="AD50" s="20"/>
      <c r="AE50" s="20"/>
      <c r="AF50" s="20" t="e">
        <f t="shared" si="4"/>
        <v>#DIV/0!</v>
      </c>
      <c r="AG50" s="20"/>
      <c r="AH50" s="20"/>
      <c r="AI50" s="20"/>
      <c r="AJ50" s="20"/>
      <c r="AK50" s="20" t="e">
        <f t="shared" si="5"/>
        <v>#DIV/0!</v>
      </c>
      <c r="AL50" s="20"/>
      <c r="AM50" s="20"/>
      <c r="AN50" s="20"/>
      <c r="AO50" s="20"/>
      <c r="AP50" s="20" t="e">
        <f t="shared" si="6"/>
        <v>#DIV/0!</v>
      </c>
      <c r="AQ50" s="20"/>
      <c r="AR50" s="20"/>
      <c r="AS50" s="20"/>
      <c r="AT50" s="20"/>
      <c r="AU50" s="20"/>
      <c r="AV50" s="20" t="e">
        <f t="shared" si="7"/>
        <v>#DIV/0!</v>
      </c>
      <c r="AZ50" s="20">
        <f t="shared" si="8"/>
        <v>0</v>
      </c>
      <c r="BA50" s="20"/>
      <c r="BB50" s="20"/>
      <c r="BC50" s="20"/>
      <c r="BD50" s="20">
        <f t="shared" si="9"/>
        <v>0</v>
      </c>
      <c r="BH50" s="20">
        <f t="shared" si="10"/>
        <v>0</v>
      </c>
      <c r="BK50" s="17" t="e">
        <f t="shared" si="11"/>
        <v>#DIV/0!</v>
      </c>
      <c r="BL50" s="17" t="e">
        <f t="shared" si="12"/>
        <v>#DIV/0!</v>
      </c>
      <c r="BM50" s="18" t="e">
        <f t="shared" si="13"/>
        <v>#DIV/0!</v>
      </c>
      <c r="BN50" s="20" t="e">
        <f t="shared" si="14"/>
        <v>#DIV/0!</v>
      </c>
      <c r="BP50" s="22">
        <f t="shared" si="15"/>
        <v>0</v>
      </c>
      <c r="BR50" s="20"/>
      <c r="BS50" s="20" t="e">
        <f t="shared" si="16"/>
        <v>#DIV/0!</v>
      </c>
      <c r="BT50" s="20" t="e">
        <f t="shared" si="17"/>
        <v>#DIV/0!</v>
      </c>
      <c r="BV50" s="20"/>
      <c r="BW50" s="20"/>
      <c r="BX50" s="20" t="e">
        <f t="shared" si="18"/>
        <v>#DIV/0!</v>
      </c>
    </row>
    <row r="51" spans="2:76" x14ac:dyDescent="0.3">
      <c r="B51" s="63">
        <v>2024</v>
      </c>
      <c r="C51" t="s">
        <v>105</v>
      </c>
      <c r="D51">
        <v>220</v>
      </c>
      <c r="E51">
        <v>2</v>
      </c>
      <c r="F51">
        <v>11</v>
      </c>
      <c r="G51" t="s">
        <v>106</v>
      </c>
      <c r="H51">
        <v>2</v>
      </c>
      <c r="I51" s="23" t="s">
        <v>32</v>
      </c>
      <c r="L51" s="21" t="e">
        <f t="shared" si="0"/>
        <v>#DIV/0!</v>
      </c>
      <c r="Q51" s="20" t="e">
        <f t="shared" si="1"/>
        <v>#DIV/0!</v>
      </c>
      <c r="V51" s="20" t="e">
        <f t="shared" si="2"/>
        <v>#DIV/0!</v>
      </c>
      <c r="W51" s="20"/>
      <c r="X51" s="20"/>
      <c r="Y51" s="20"/>
      <c r="Z51" s="20"/>
      <c r="AA51" s="20" t="e">
        <f t="shared" si="3"/>
        <v>#DIV/0!</v>
      </c>
      <c r="AB51" s="20"/>
      <c r="AC51" s="20"/>
      <c r="AD51" s="20"/>
      <c r="AE51" s="20"/>
      <c r="AF51" s="20" t="e">
        <f t="shared" si="4"/>
        <v>#DIV/0!</v>
      </c>
      <c r="AG51" s="20"/>
      <c r="AH51" s="20"/>
      <c r="AI51" s="20"/>
      <c r="AJ51" s="20"/>
      <c r="AK51" s="20" t="e">
        <f t="shared" si="5"/>
        <v>#DIV/0!</v>
      </c>
      <c r="AL51" s="20"/>
      <c r="AM51" s="20"/>
      <c r="AN51" s="20"/>
      <c r="AO51" s="20"/>
      <c r="AP51" s="20" t="e">
        <f t="shared" si="6"/>
        <v>#DIV/0!</v>
      </c>
      <c r="AQ51" s="20"/>
      <c r="AR51" s="20"/>
      <c r="AS51" s="20"/>
      <c r="AT51" s="20"/>
      <c r="AU51" s="20"/>
      <c r="AV51" s="20" t="e">
        <f t="shared" si="7"/>
        <v>#DIV/0!</v>
      </c>
      <c r="AZ51" s="20">
        <f t="shared" si="8"/>
        <v>0</v>
      </c>
      <c r="BA51" s="20"/>
      <c r="BB51" s="20"/>
      <c r="BC51" s="20"/>
      <c r="BD51" s="20">
        <f t="shared" si="9"/>
        <v>0</v>
      </c>
      <c r="BH51" s="20">
        <f t="shared" si="10"/>
        <v>0</v>
      </c>
      <c r="BK51" s="17" t="e">
        <f t="shared" si="11"/>
        <v>#DIV/0!</v>
      </c>
      <c r="BL51" s="17" t="e">
        <f t="shared" si="12"/>
        <v>#DIV/0!</v>
      </c>
      <c r="BM51" s="18" t="e">
        <f t="shared" si="13"/>
        <v>#DIV/0!</v>
      </c>
      <c r="BN51" s="20" t="e">
        <f t="shared" si="14"/>
        <v>#DIV/0!</v>
      </c>
      <c r="BP51" s="22">
        <f t="shared" si="15"/>
        <v>0</v>
      </c>
      <c r="BR51" s="20"/>
      <c r="BS51" s="20" t="e">
        <f t="shared" si="16"/>
        <v>#DIV/0!</v>
      </c>
      <c r="BT51" s="20" t="e">
        <f t="shared" si="17"/>
        <v>#DIV/0!</v>
      </c>
      <c r="BV51" s="20"/>
      <c r="BW51" s="20"/>
      <c r="BX51" s="20" t="e">
        <f t="shared" si="18"/>
        <v>#DIV/0!</v>
      </c>
    </row>
    <row r="52" spans="2:76" x14ac:dyDescent="0.3">
      <c r="B52" s="63">
        <v>2024</v>
      </c>
      <c r="C52" t="s">
        <v>105</v>
      </c>
      <c r="D52">
        <v>221</v>
      </c>
      <c r="E52">
        <v>2</v>
      </c>
      <c r="F52">
        <v>18</v>
      </c>
      <c r="G52" t="s">
        <v>106</v>
      </c>
      <c r="H52">
        <v>9</v>
      </c>
      <c r="I52" s="23" t="s">
        <v>33</v>
      </c>
      <c r="L52" s="21" t="e">
        <f t="shared" si="0"/>
        <v>#DIV/0!</v>
      </c>
      <c r="Q52" s="20" t="e">
        <f t="shared" si="1"/>
        <v>#DIV/0!</v>
      </c>
      <c r="V52" s="20" t="e">
        <f t="shared" si="2"/>
        <v>#DIV/0!</v>
      </c>
      <c r="W52" s="20"/>
      <c r="X52" s="20"/>
      <c r="Y52" s="20"/>
      <c r="Z52" s="20"/>
      <c r="AA52" s="20" t="e">
        <f t="shared" si="3"/>
        <v>#DIV/0!</v>
      </c>
      <c r="AB52" s="20"/>
      <c r="AC52" s="20"/>
      <c r="AD52" s="20"/>
      <c r="AE52" s="20"/>
      <c r="AF52" s="20" t="e">
        <f t="shared" si="4"/>
        <v>#DIV/0!</v>
      </c>
      <c r="AG52" s="20"/>
      <c r="AH52" s="20"/>
      <c r="AI52" s="20"/>
      <c r="AJ52" s="20"/>
      <c r="AK52" s="20" t="e">
        <f t="shared" si="5"/>
        <v>#DIV/0!</v>
      </c>
      <c r="AL52" s="20"/>
      <c r="AM52" s="20"/>
      <c r="AN52" s="20"/>
      <c r="AO52" s="20"/>
      <c r="AP52" s="20" t="e">
        <f t="shared" si="6"/>
        <v>#DIV/0!</v>
      </c>
      <c r="AQ52" s="20"/>
      <c r="AR52" s="20"/>
      <c r="AS52" s="20"/>
      <c r="AT52" s="20"/>
      <c r="AU52" s="20"/>
      <c r="AV52" s="20" t="e">
        <f t="shared" si="7"/>
        <v>#DIV/0!</v>
      </c>
      <c r="AZ52" s="20">
        <f t="shared" si="8"/>
        <v>0</v>
      </c>
      <c r="BA52" s="20"/>
      <c r="BB52" s="20"/>
      <c r="BC52" s="20"/>
      <c r="BD52" s="20">
        <f t="shared" si="9"/>
        <v>0</v>
      </c>
      <c r="BH52" s="20">
        <f t="shared" si="10"/>
        <v>0</v>
      </c>
      <c r="BK52" s="17" t="e">
        <f t="shared" si="11"/>
        <v>#DIV/0!</v>
      </c>
      <c r="BL52" s="17" t="e">
        <f t="shared" si="12"/>
        <v>#DIV/0!</v>
      </c>
      <c r="BM52" s="18" t="e">
        <f t="shared" si="13"/>
        <v>#DIV/0!</v>
      </c>
      <c r="BN52" s="20" t="e">
        <f t="shared" si="14"/>
        <v>#DIV/0!</v>
      </c>
      <c r="BP52" s="22">
        <f t="shared" si="15"/>
        <v>0</v>
      </c>
      <c r="BR52" s="20"/>
      <c r="BS52" s="20" t="e">
        <f t="shared" si="16"/>
        <v>#DIV/0!</v>
      </c>
      <c r="BT52" s="20" t="e">
        <f t="shared" si="17"/>
        <v>#DIV/0!</v>
      </c>
      <c r="BV52" s="20"/>
      <c r="BW52" s="20"/>
      <c r="BX52" s="20" t="e">
        <f t="shared" si="18"/>
        <v>#DIV/0!</v>
      </c>
    </row>
    <row r="53" spans="2:76" x14ac:dyDescent="0.3">
      <c r="B53" s="63">
        <v>2024</v>
      </c>
      <c r="C53" t="s">
        <v>105</v>
      </c>
      <c r="D53">
        <v>222</v>
      </c>
      <c r="E53">
        <v>2</v>
      </c>
      <c r="F53">
        <v>13</v>
      </c>
      <c r="G53" t="s">
        <v>106</v>
      </c>
      <c r="H53">
        <v>4</v>
      </c>
      <c r="I53" s="23" t="s">
        <v>36</v>
      </c>
      <c r="L53" s="21" t="e">
        <f t="shared" si="0"/>
        <v>#DIV/0!</v>
      </c>
      <c r="Q53" s="20" t="e">
        <f t="shared" si="1"/>
        <v>#DIV/0!</v>
      </c>
      <c r="V53" s="20" t="e">
        <f t="shared" si="2"/>
        <v>#DIV/0!</v>
      </c>
      <c r="W53" s="20"/>
      <c r="X53" s="20"/>
      <c r="Y53" s="20"/>
      <c r="Z53" s="20"/>
      <c r="AA53" s="20" t="e">
        <f t="shared" si="3"/>
        <v>#DIV/0!</v>
      </c>
      <c r="AB53" s="20"/>
      <c r="AC53" s="20"/>
      <c r="AD53" s="20"/>
      <c r="AE53" s="20"/>
      <c r="AF53" s="20" t="e">
        <f t="shared" si="4"/>
        <v>#DIV/0!</v>
      </c>
      <c r="AG53" s="20"/>
      <c r="AH53" s="20"/>
      <c r="AI53" s="20"/>
      <c r="AJ53" s="20"/>
      <c r="AK53" s="20" t="e">
        <f t="shared" si="5"/>
        <v>#DIV/0!</v>
      </c>
      <c r="AL53" s="20"/>
      <c r="AM53" s="20"/>
      <c r="AN53" s="20"/>
      <c r="AO53" s="20"/>
      <c r="AP53" s="20" t="e">
        <f t="shared" si="6"/>
        <v>#DIV/0!</v>
      </c>
      <c r="AQ53" s="20"/>
      <c r="AR53" s="20"/>
      <c r="AS53" s="20"/>
      <c r="AT53" s="20"/>
      <c r="AU53" s="20"/>
      <c r="AV53" s="20" t="e">
        <f t="shared" si="7"/>
        <v>#DIV/0!</v>
      </c>
      <c r="AZ53" s="20">
        <f t="shared" si="8"/>
        <v>0</v>
      </c>
      <c r="BA53" s="20"/>
      <c r="BB53" s="20"/>
      <c r="BC53" s="20"/>
      <c r="BD53" s="20">
        <f t="shared" si="9"/>
        <v>0</v>
      </c>
      <c r="BH53" s="20">
        <f t="shared" si="10"/>
        <v>0</v>
      </c>
      <c r="BK53" s="17" t="e">
        <f t="shared" si="11"/>
        <v>#DIV/0!</v>
      </c>
      <c r="BL53" s="17" t="e">
        <f t="shared" si="12"/>
        <v>#DIV/0!</v>
      </c>
      <c r="BM53" s="18" t="e">
        <f t="shared" si="13"/>
        <v>#DIV/0!</v>
      </c>
      <c r="BN53" s="20" t="e">
        <f t="shared" si="14"/>
        <v>#DIV/0!</v>
      </c>
      <c r="BP53" s="22">
        <f t="shared" si="15"/>
        <v>0</v>
      </c>
      <c r="BR53" s="20"/>
      <c r="BS53" s="20" t="e">
        <f t="shared" si="16"/>
        <v>#DIV/0!</v>
      </c>
      <c r="BT53" s="20" t="e">
        <f t="shared" si="17"/>
        <v>#DIV/0!</v>
      </c>
      <c r="BV53" s="20"/>
      <c r="BW53" s="20"/>
      <c r="BX53" s="20" t="e">
        <f t="shared" si="18"/>
        <v>#DIV/0!</v>
      </c>
    </row>
    <row r="54" spans="2:76" x14ac:dyDescent="0.3">
      <c r="B54" s="63">
        <v>2024</v>
      </c>
      <c r="C54" t="s">
        <v>105</v>
      </c>
      <c r="D54">
        <v>223</v>
      </c>
      <c r="E54">
        <v>2</v>
      </c>
      <c r="F54">
        <v>14</v>
      </c>
      <c r="G54" t="s">
        <v>106</v>
      </c>
      <c r="H54">
        <v>5</v>
      </c>
      <c r="I54" s="23" t="s">
        <v>31</v>
      </c>
      <c r="L54" s="21" t="e">
        <f t="shared" si="0"/>
        <v>#DIV/0!</v>
      </c>
      <c r="Q54" s="20" t="e">
        <f t="shared" si="1"/>
        <v>#DIV/0!</v>
      </c>
      <c r="V54" s="20" t="e">
        <f t="shared" si="2"/>
        <v>#DIV/0!</v>
      </c>
      <c r="W54" s="20"/>
      <c r="X54" s="20"/>
      <c r="Y54" s="20"/>
      <c r="Z54" s="20"/>
      <c r="AA54" s="20" t="e">
        <f t="shared" si="3"/>
        <v>#DIV/0!</v>
      </c>
      <c r="AB54" s="20"/>
      <c r="AC54" s="20"/>
      <c r="AD54" s="20"/>
      <c r="AE54" s="20"/>
      <c r="AF54" s="20" t="e">
        <f t="shared" si="4"/>
        <v>#DIV/0!</v>
      </c>
      <c r="AG54" s="20"/>
      <c r="AH54" s="20"/>
      <c r="AI54" s="20"/>
      <c r="AJ54" s="20"/>
      <c r="AK54" s="20" t="e">
        <f t="shared" si="5"/>
        <v>#DIV/0!</v>
      </c>
      <c r="AL54" s="20"/>
      <c r="AM54" s="20"/>
      <c r="AN54" s="20"/>
      <c r="AO54" s="20"/>
      <c r="AP54" s="20" t="e">
        <f t="shared" si="6"/>
        <v>#DIV/0!</v>
      </c>
      <c r="AQ54" s="20"/>
      <c r="AR54" s="20"/>
      <c r="AS54" s="20"/>
      <c r="AT54" s="20"/>
      <c r="AU54" s="20"/>
      <c r="AV54" s="20" t="e">
        <f t="shared" si="7"/>
        <v>#DIV/0!</v>
      </c>
      <c r="AZ54" s="20">
        <f t="shared" si="8"/>
        <v>0</v>
      </c>
      <c r="BA54" s="20"/>
      <c r="BB54" s="20"/>
      <c r="BC54" s="20"/>
      <c r="BD54" s="20">
        <f t="shared" si="9"/>
        <v>0</v>
      </c>
      <c r="BH54" s="20">
        <f t="shared" si="10"/>
        <v>0</v>
      </c>
      <c r="BK54" s="17" t="e">
        <f t="shared" si="11"/>
        <v>#DIV/0!</v>
      </c>
      <c r="BL54" s="17" t="e">
        <f t="shared" si="12"/>
        <v>#DIV/0!</v>
      </c>
      <c r="BM54" s="18" t="e">
        <f t="shared" si="13"/>
        <v>#DIV/0!</v>
      </c>
      <c r="BN54" s="20" t="e">
        <f t="shared" si="14"/>
        <v>#DIV/0!</v>
      </c>
      <c r="BP54" s="22">
        <f t="shared" si="15"/>
        <v>0</v>
      </c>
      <c r="BR54" s="20"/>
      <c r="BS54" s="20" t="e">
        <f t="shared" si="16"/>
        <v>#DIV/0!</v>
      </c>
      <c r="BT54" s="20" t="e">
        <f t="shared" si="17"/>
        <v>#DIV/0!</v>
      </c>
      <c r="BV54" s="20"/>
      <c r="BW54" s="20"/>
      <c r="BX54" s="20" t="e">
        <f t="shared" si="18"/>
        <v>#DIV/0!</v>
      </c>
    </row>
    <row r="55" spans="2:76" x14ac:dyDescent="0.3">
      <c r="B55" s="63">
        <v>2024</v>
      </c>
      <c r="C55" t="s">
        <v>105</v>
      </c>
      <c r="D55">
        <v>224</v>
      </c>
      <c r="E55">
        <v>2</v>
      </c>
      <c r="F55">
        <v>16</v>
      </c>
      <c r="G55" t="s">
        <v>106</v>
      </c>
      <c r="H55">
        <v>7</v>
      </c>
      <c r="I55" s="23" t="s">
        <v>34</v>
      </c>
      <c r="L55" s="21" t="e">
        <f t="shared" si="0"/>
        <v>#DIV/0!</v>
      </c>
      <c r="Q55" s="20" t="e">
        <f t="shared" si="1"/>
        <v>#DIV/0!</v>
      </c>
      <c r="V55" s="20" t="e">
        <f t="shared" si="2"/>
        <v>#DIV/0!</v>
      </c>
      <c r="W55" s="20"/>
      <c r="X55" s="20"/>
      <c r="Y55" s="20"/>
      <c r="Z55" s="20"/>
      <c r="AA55" s="20" t="e">
        <f t="shared" si="3"/>
        <v>#DIV/0!</v>
      </c>
      <c r="AB55" s="20"/>
      <c r="AC55" s="20"/>
      <c r="AD55" s="20"/>
      <c r="AE55" s="20"/>
      <c r="AF55" s="20" t="e">
        <f t="shared" si="4"/>
        <v>#DIV/0!</v>
      </c>
      <c r="AG55" s="20"/>
      <c r="AH55" s="20"/>
      <c r="AI55" s="20"/>
      <c r="AJ55" s="20"/>
      <c r="AK55" s="20" t="e">
        <f t="shared" si="5"/>
        <v>#DIV/0!</v>
      </c>
      <c r="AL55" s="20"/>
      <c r="AM55" s="20"/>
      <c r="AN55" s="20"/>
      <c r="AO55" s="20"/>
      <c r="AP55" s="20" t="e">
        <f t="shared" si="6"/>
        <v>#DIV/0!</v>
      </c>
      <c r="AQ55" s="20"/>
      <c r="AR55" s="20"/>
      <c r="AS55" s="20"/>
      <c r="AT55" s="20"/>
      <c r="AU55" s="20"/>
      <c r="AV55" s="20" t="e">
        <f t="shared" si="7"/>
        <v>#DIV/0!</v>
      </c>
      <c r="AZ55" s="20">
        <f t="shared" si="8"/>
        <v>0</v>
      </c>
      <c r="BA55" s="20"/>
      <c r="BB55" s="20"/>
      <c r="BC55" s="20"/>
      <c r="BD55" s="20">
        <f t="shared" si="9"/>
        <v>0</v>
      </c>
      <c r="BH55" s="20">
        <f t="shared" si="10"/>
        <v>0</v>
      </c>
      <c r="BK55" s="17" t="e">
        <f t="shared" si="11"/>
        <v>#DIV/0!</v>
      </c>
      <c r="BL55" s="17" t="e">
        <f t="shared" si="12"/>
        <v>#DIV/0!</v>
      </c>
      <c r="BM55" s="18" t="e">
        <f t="shared" si="13"/>
        <v>#DIV/0!</v>
      </c>
      <c r="BN55" s="20" t="e">
        <f t="shared" si="14"/>
        <v>#DIV/0!</v>
      </c>
      <c r="BP55" s="22">
        <f t="shared" si="15"/>
        <v>0</v>
      </c>
      <c r="BR55" s="20"/>
      <c r="BS55" s="20" t="e">
        <f t="shared" si="16"/>
        <v>#DIV/0!</v>
      </c>
      <c r="BT55" s="20" t="e">
        <f t="shared" si="17"/>
        <v>#DIV/0!</v>
      </c>
      <c r="BV55" s="20"/>
      <c r="BW55" s="20"/>
      <c r="BX55" s="20" t="e">
        <f t="shared" si="18"/>
        <v>#DIV/0!</v>
      </c>
    </row>
    <row r="56" spans="2:76" x14ac:dyDescent="0.3">
      <c r="B56" s="63">
        <v>2024</v>
      </c>
      <c r="C56" t="s">
        <v>105</v>
      </c>
      <c r="D56">
        <v>225</v>
      </c>
      <c r="E56">
        <v>2</v>
      </c>
      <c r="F56">
        <v>15</v>
      </c>
      <c r="G56" t="s">
        <v>106</v>
      </c>
      <c r="H56">
        <v>6</v>
      </c>
      <c r="I56" s="23" t="s">
        <v>35</v>
      </c>
      <c r="L56" s="21" t="e">
        <f t="shared" si="0"/>
        <v>#DIV/0!</v>
      </c>
      <c r="Q56" s="20" t="e">
        <f t="shared" si="1"/>
        <v>#DIV/0!</v>
      </c>
      <c r="V56" s="20" t="e">
        <f t="shared" si="2"/>
        <v>#DIV/0!</v>
      </c>
      <c r="W56" s="20"/>
      <c r="X56" s="20"/>
      <c r="Y56" s="20"/>
      <c r="Z56" s="20"/>
      <c r="AA56" s="20" t="e">
        <f t="shared" si="3"/>
        <v>#DIV/0!</v>
      </c>
      <c r="AB56" s="20"/>
      <c r="AC56" s="20"/>
      <c r="AD56" s="20"/>
      <c r="AE56" s="20"/>
      <c r="AF56" s="20" t="e">
        <f t="shared" si="4"/>
        <v>#DIV/0!</v>
      </c>
      <c r="AG56" s="20"/>
      <c r="AH56" s="20"/>
      <c r="AI56" s="20"/>
      <c r="AJ56" s="20"/>
      <c r="AK56" s="20" t="e">
        <f t="shared" si="5"/>
        <v>#DIV/0!</v>
      </c>
      <c r="AL56" s="20"/>
      <c r="AM56" s="20"/>
      <c r="AN56" s="20"/>
      <c r="AO56" s="20"/>
      <c r="AP56" s="20" t="e">
        <f t="shared" si="6"/>
        <v>#DIV/0!</v>
      </c>
      <c r="AQ56" s="20"/>
      <c r="AR56" s="20"/>
      <c r="AS56" s="20"/>
      <c r="AT56" s="20"/>
      <c r="AU56" s="20"/>
      <c r="AV56" s="20" t="e">
        <f t="shared" si="7"/>
        <v>#DIV/0!</v>
      </c>
      <c r="AZ56" s="20">
        <f t="shared" si="8"/>
        <v>0</v>
      </c>
      <c r="BA56" s="20"/>
      <c r="BB56" s="20"/>
      <c r="BC56" s="20"/>
      <c r="BD56" s="20">
        <f t="shared" si="9"/>
        <v>0</v>
      </c>
      <c r="BH56" s="20">
        <f t="shared" si="10"/>
        <v>0</v>
      </c>
      <c r="BK56" s="17" t="e">
        <f t="shared" si="11"/>
        <v>#DIV/0!</v>
      </c>
      <c r="BL56" s="17" t="e">
        <f t="shared" si="12"/>
        <v>#DIV/0!</v>
      </c>
      <c r="BM56" s="18" t="e">
        <f t="shared" si="13"/>
        <v>#DIV/0!</v>
      </c>
      <c r="BN56" s="20" t="e">
        <f t="shared" si="14"/>
        <v>#DIV/0!</v>
      </c>
      <c r="BP56" s="22">
        <f t="shared" si="15"/>
        <v>0</v>
      </c>
      <c r="BR56" s="20"/>
      <c r="BS56" s="20" t="e">
        <f t="shared" si="16"/>
        <v>#DIV/0!</v>
      </c>
      <c r="BT56" s="20" t="e">
        <f t="shared" si="17"/>
        <v>#DIV/0!</v>
      </c>
      <c r="BV56" s="20"/>
      <c r="BW56" s="20"/>
      <c r="BX56" s="20" t="e">
        <f t="shared" si="18"/>
        <v>#DIV/0!</v>
      </c>
    </row>
    <row r="57" spans="2:76" x14ac:dyDescent="0.3">
      <c r="B57" s="63">
        <v>2024</v>
      </c>
      <c r="C57" t="s">
        <v>105</v>
      </c>
      <c r="D57">
        <v>226</v>
      </c>
      <c r="E57">
        <v>2</v>
      </c>
      <c r="F57">
        <v>10</v>
      </c>
      <c r="G57" t="s">
        <v>106</v>
      </c>
      <c r="H57">
        <v>1</v>
      </c>
      <c r="I57" s="23" t="s">
        <v>37</v>
      </c>
      <c r="L57" s="21" t="e">
        <f t="shared" si="0"/>
        <v>#DIV/0!</v>
      </c>
      <c r="Q57" s="20" t="e">
        <f t="shared" si="1"/>
        <v>#DIV/0!</v>
      </c>
      <c r="V57" s="20" t="e">
        <f t="shared" si="2"/>
        <v>#DIV/0!</v>
      </c>
      <c r="W57" s="20"/>
      <c r="X57" s="20"/>
      <c r="Y57" s="20"/>
      <c r="Z57" s="20"/>
      <c r="AA57" s="20" t="e">
        <f t="shared" si="3"/>
        <v>#DIV/0!</v>
      </c>
      <c r="AB57" s="20"/>
      <c r="AC57" s="20"/>
      <c r="AD57" s="20"/>
      <c r="AE57" s="20"/>
      <c r="AF57" s="20" t="e">
        <f t="shared" si="4"/>
        <v>#DIV/0!</v>
      </c>
      <c r="AG57" s="20"/>
      <c r="AH57" s="20"/>
      <c r="AI57" s="20"/>
      <c r="AJ57" s="20"/>
      <c r="AK57" s="20" t="e">
        <f t="shared" si="5"/>
        <v>#DIV/0!</v>
      </c>
      <c r="AL57" s="20"/>
      <c r="AM57" s="20"/>
      <c r="AN57" s="20"/>
      <c r="AO57" s="20"/>
      <c r="AP57" s="20" t="e">
        <f t="shared" si="6"/>
        <v>#DIV/0!</v>
      </c>
      <c r="AQ57" s="20"/>
      <c r="AR57" s="20"/>
      <c r="AS57" s="20"/>
      <c r="AT57" s="20"/>
      <c r="AU57" s="20"/>
      <c r="AV57" s="20" t="e">
        <f t="shared" si="7"/>
        <v>#DIV/0!</v>
      </c>
      <c r="AZ57" s="20">
        <f t="shared" si="8"/>
        <v>0</v>
      </c>
      <c r="BA57" s="20"/>
      <c r="BB57" s="20"/>
      <c r="BC57" s="20"/>
      <c r="BD57" s="20">
        <f t="shared" si="9"/>
        <v>0</v>
      </c>
      <c r="BH57" s="20">
        <f t="shared" si="10"/>
        <v>0</v>
      </c>
      <c r="BK57" s="17" t="e">
        <f t="shared" si="11"/>
        <v>#DIV/0!</v>
      </c>
      <c r="BL57" s="17" t="e">
        <f t="shared" si="12"/>
        <v>#DIV/0!</v>
      </c>
      <c r="BM57" s="18" t="e">
        <f t="shared" si="13"/>
        <v>#DIV/0!</v>
      </c>
      <c r="BN57" s="20" t="e">
        <f t="shared" si="14"/>
        <v>#DIV/0!</v>
      </c>
      <c r="BP57" s="22">
        <f t="shared" si="15"/>
        <v>0</v>
      </c>
      <c r="BR57" s="20"/>
      <c r="BS57" s="20" t="e">
        <f t="shared" si="16"/>
        <v>#DIV/0!</v>
      </c>
      <c r="BT57" s="20" t="e">
        <f t="shared" si="17"/>
        <v>#DIV/0!</v>
      </c>
      <c r="BV57" s="20"/>
      <c r="BW57" s="20"/>
      <c r="BX57" s="20" t="e">
        <f t="shared" si="18"/>
        <v>#DIV/0!</v>
      </c>
    </row>
    <row r="58" spans="2:76" x14ac:dyDescent="0.3">
      <c r="B58" s="63">
        <v>2024</v>
      </c>
      <c r="C58" t="s">
        <v>105</v>
      </c>
      <c r="D58">
        <v>227</v>
      </c>
      <c r="E58">
        <v>2</v>
      </c>
      <c r="F58">
        <v>17</v>
      </c>
      <c r="G58" t="s">
        <v>106</v>
      </c>
      <c r="H58">
        <v>8</v>
      </c>
      <c r="I58" s="23" t="s">
        <v>38</v>
      </c>
      <c r="L58" s="21" t="e">
        <f t="shared" si="0"/>
        <v>#DIV/0!</v>
      </c>
      <c r="Q58" s="20" t="e">
        <f t="shared" si="1"/>
        <v>#DIV/0!</v>
      </c>
      <c r="V58" s="20" t="e">
        <f t="shared" si="2"/>
        <v>#DIV/0!</v>
      </c>
      <c r="W58" s="20"/>
      <c r="X58" s="20"/>
      <c r="Y58" s="20"/>
      <c r="Z58" s="20"/>
      <c r="AA58" s="20" t="e">
        <f t="shared" si="3"/>
        <v>#DIV/0!</v>
      </c>
      <c r="AB58" s="20"/>
      <c r="AC58" s="20"/>
      <c r="AD58" s="20"/>
      <c r="AE58" s="20"/>
      <c r="AF58" s="20" t="e">
        <f t="shared" si="4"/>
        <v>#DIV/0!</v>
      </c>
      <c r="AG58" s="20"/>
      <c r="AH58" s="20"/>
      <c r="AI58" s="20"/>
      <c r="AJ58" s="20"/>
      <c r="AK58" s="20" t="e">
        <f t="shared" si="5"/>
        <v>#DIV/0!</v>
      </c>
      <c r="AL58" s="20"/>
      <c r="AM58" s="20"/>
      <c r="AN58" s="20"/>
      <c r="AO58" s="20"/>
      <c r="AP58" s="20" t="e">
        <f t="shared" si="6"/>
        <v>#DIV/0!</v>
      </c>
      <c r="AQ58" s="20"/>
      <c r="AR58" s="20"/>
      <c r="AS58" s="20"/>
      <c r="AT58" s="20"/>
      <c r="AU58" s="20"/>
      <c r="AV58" s="20" t="e">
        <f t="shared" si="7"/>
        <v>#DIV/0!</v>
      </c>
      <c r="AZ58" s="20">
        <f t="shared" si="8"/>
        <v>0</v>
      </c>
      <c r="BA58" s="20"/>
      <c r="BB58" s="20"/>
      <c r="BC58" s="20"/>
      <c r="BD58" s="20">
        <f t="shared" si="9"/>
        <v>0</v>
      </c>
      <c r="BH58" s="20">
        <f t="shared" si="10"/>
        <v>0</v>
      </c>
      <c r="BK58" s="17" t="e">
        <f t="shared" si="11"/>
        <v>#DIV/0!</v>
      </c>
      <c r="BL58" s="17" t="e">
        <f t="shared" si="12"/>
        <v>#DIV/0!</v>
      </c>
      <c r="BM58" s="18" t="e">
        <f t="shared" si="13"/>
        <v>#DIV/0!</v>
      </c>
      <c r="BN58" s="20" t="e">
        <f t="shared" si="14"/>
        <v>#DIV/0!</v>
      </c>
      <c r="BP58" s="22">
        <f t="shared" si="15"/>
        <v>0</v>
      </c>
      <c r="BR58" s="20"/>
      <c r="BS58" s="20" t="e">
        <f t="shared" si="16"/>
        <v>#DIV/0!</v>
      </c>
      <c r="BT58" s="20" t="e">
        <f t="shared" si="17"/>
        <v>#DIV/0!</v>
      </c>
      <c r="BV58" s="20"/>
      <c r="BW58" s="20"/>
      <c r="BX58" s="20" t="e">
        <f t="shared" si="18"/>
        <v>#DIV/0!</v>
      </c>
    </row>
    <row r="59" spans="2:76" x14ac:dyDescent="0.3">
      <c r="B59" s="63">
        <v>2024</v>
      </c>
      <c r="C59" t="s">
        <v>105</v>
      </c>
      <c r="D59">
        <v>301</v>
      </c>
      <c r="E59">
        <v>3</v>
      </c>
      <c r="F59">
        <v>11</v>
      </c>
      <c r="G59" t="s">
        <v>106</v>
      </c>
      <c r="H59">
        <v>2</v>
      </c>
      <c r="I59" s="23" t="s">
        <v>32</v>
      </c>
      <c r="L59" s="21" t="e">
        <f t="shared" si="0"/>
        <v>#DIV/0!</v>
      </c>
      <c r="Q59" s="20" t="e">
        <f t="shared" si="1"/>
        <v>#DIV/0!</v>
      </c>
      <c r="V59" s="20" t="e">
        <f t="shared" si="2"/>
        <v>#DIV/0!</v>
      </c>
      <c r="W59" s="20"/>
      <c r="X59" s="20"/>
      <c r="Y59" s="20"/>
      <c r="Z59" s="20"/>
      <c r="AA59" s="20" t="e">
        <f t="shared" si="3"/>
        <v>#DIV/0!</v>
      </c>
      <c r="AB59" s="20"/>
      <c r="AC59" s="20"/>
      <c r="AD59" s="20"/>
      <c r="AE59" s="20"/>
      <c r="AF59" s="20" t="e">
        <f t="shared" si="4"/>
        <v>#DIV/0!</v>
      </c>
      <c r="AG59" s="20"/>
      <c r="AH59" s="20"/>
      <c r="AI59" s="20"/>
      <c r="AJ59" s="20"/>
      <c r="AK59" s="20" t="e">
        <f t="shared" si="5"/>
        <v>#DIV/0!</v>
      </c>
      <c r="AL59" s="20"/>
      <c r="AM59" s="20"/>
      <c r="AN59" s="20"/>
      <c r="AO59" s="20"/>
      <c r="AP59" s="20" t="e">
        <f t="shared" si="6"/>
        <v>#DIV/0!</v>
      </c>
      <c r="AQ59" s="20"/>
      <c r="AR59" s="20"/>
      <c r="AS59" s="20"/>
      <c r="AT59" s="20"/>
      <c r="AU59" s="20"/>
      <c r="AV59" s="20" t="e">
        <f t="shared" si="7"/>
        <v>#DIV/0!</v>
      </c>
      <c r="AZ59" s="20">
        <f t="shared" si="8"/>
        <v>0</v>
      </c>
      <c r="BA59" s="20"/>
      <c r="BB59" s="20"/>
      <c r="BC59" s="20"/>
      <c r="BD59" s="20">
        <f t="shared" si="9"/>
        <v>0</v>
      </c>
      <c r="BH59" s="20">
        <f t="shared" si="10"/>
        <v>0</v>
      </c>
      <c r="BK59" s="17" t="e">
        <f t="shared" si="11"/>
        <v>#DIV/0!</v>
      </c>
      <c r="BL59" s="17" t="e">
        <f t="shared" si="12"/>
        <v>#DIV/0!</v>
      </c>
      <c r="BM59" s="18" t="e">
        <f t="shared" si="13"/>
        <v>#DIV/0!</v>
      </c>
      <c r="BN59" s="20" t="e">
        <f t="shared" si="14"/>
        <v>#DIV/0!</v>
      </c>
      <c r="BP59" s="22">
        <f t="shared" si="15"/>
        <v>0</v>
      </c>
      <c r="BR59" s="20"/>
      <c r="BS59" s="20" t="e">
        <f t="shared" si="16"/>
        <v>#DIV/0!</v>
      </c>
      <c r="BT59" s="20" t="e">
        <f t="shared" si="17"/>
        <v>#DIV/0!</v>
      </c>
      <c r="BV59" s="20"/>
      <c r="BW59" s="20"/>
      <c r="BX59" s="20" t="e">
        <f t="shared" si="18"/>
        <v>#DIV/0!</v>
      </c>
    </row>
    <row r="60" spans="2:76" x14ac:dyDescent="0.3">
      <c r="B60" s="63">
        <v>2024</v>
      </c>
      <c r="C60" t="s">
        <v>105</v>
      </c>
      <c r="D60">
        <v>302</v>
      </c>
      <c r="E60">
        <v>3</v>
      </c>
      <c r="F60">
        <v>15</v>
      </c>
      <c r="G60" t="s">
        <v>106</v>
      </c>
      <c r="H60">
        <v>6</v>
      </c>
      <c r="I60" s="23" t="s">
        <v>35</v>
      </c>
      <c r="L60" s="21" t="e">
        <f t="shared" si="0"/>
        <v>#DIV/0!</v>
      </c>
      <c r="Q60" s="20" t="e">
        <f t="shared" si="1"/>
        <v>#DIV/0!</v>
      </c>
      <c r="V60" s="20" t="e">
        <f t="shared" si="2"/>
        <v>#DIV/0!</v>
      </c>
      <c r="W60" s="20"/>
      <c r="X60" s="20"/>
      <c r="Y60" s="20"/>
      <c r="Z60" s="20"/>
      <c r="AA60" s="20" t="e">
        <f t="shared" si="3"/>
        <v>#DIV/0!</v>
      </c>
      <c r="AB60" s="20"/>
      <c r="AC60" s="20"/>
      <c r="AD60" s="20"/>
      <c r="AE60" s="20"/>
      <c r="AF60" s="20" t="e">
        <f t="shared" si="4"/>
        <v>#DIV/0!</v>
      </c>
      <c r="AG60" s="20"/>
      <c r="AH60" s="20"/>
      <c r="AI60" s="20"/>
      <c r="AJ60" s="20"/>
      <c r="AK60" s="20" t="e">
        <f t="shared" si="5"/>
        <v>#DIV/0!</v>
      </c>
      <c r="AL60" s="20"/>
      <c r="AM60" s="20"/>
      <c r="AN60" s="20"/>
      <c r="AO60" s="20"/>
      <c r="AP60" s="20" t="e">
        <f t="shared" si="6"/>
        <v>#DIV/0!</v>
      </c>
      <c r="AQ60" s="20"/>
      <c r="AR60" s="20"/>
      <c r="AS60" s="20"/>
      <c r="AT60" s="20"/>
      <c r="AU60" s="20"/>
      <c r="AV60" s="20" t="e">
        <f t="shared" si="7"/>
        <v>#DIV/0!</v>
      </c>
      <c r="AZ60" s="20">
        <f t="shared" si="8"/>
        <v>0</v>
      </c>
      <c r="BA60" s="20"/>
      <c r="BB60" s="20"/>
      <c r="BC60" s="20"/>
      <c r="BD60" s="20">
        <f t="shared" si="9"/>
        <v>0</v>
      </c>
      <c r="BH60" s="20">
        <f t="shared" si="10"/>
        <v>0</v>
      </c>
      <c r="BK60" s="17" t="e">
        <f t="shared" si="11"/>
        <v>#DIV/0!</v>
      </c>
      <c r="BL60" s="17" t="e">
        <f t="shared" si="12"/>
        <v>#DIV/0!</v>
      </c>
      <c r="BM60" s="18" t="e">
        <f t="shared" si="13"/>
        <v>#DIV/0!</v>
      </c>
      <c r="BN60" s="20" t="e">
        <f t="shared" si="14"/>
        <v>#DIV/0!</v>
      </c>
      <c r="BP60" s="22">
        <f t="shared" si="15"/>
        <v>0</v>
      </c>
      <c r="BR60" s="20"/>
      <c r="BS60" s="20" t="e">
        <f t="shared" si="16"/>
        <v>#DIV/0!</v>
      </c>
      <c r="BT60" s="20" t="e">
        <f t="shared" si="17"/>
        <v>#DIV/0!</v>
      </c>
      <c r="BV60" s="20"/>
      <c r="BW60" s="20"/>
      <c r="BX60" s="20" t="e">
        <f t="shared" si="18"/>
        <v>#DIV/0!</v>
      </c>
    </row>
    <row r="61" spans="2:76" x14ac:dyDescent="0.3">
      <c r="B61" s="63">
        <v>2024</v>
      </c>
      <c r="C61" t="s">
        <v>105</v>
      </c>
      <c r="D61">
        <v>303</v>
      </c>
      <c r="E61">
        <v>3</v>
      </c>
      <c r="F61">
        <v>18</v>
      </c>
      <c r="G61" t="s">
        <v>106</v>
      </c>
      <c r="H61">
        <v>9</v>
      </c>
      <c r="I61" s="23" t="s">
        <v>33</v>
      </c>
      <c r="L61" s="21" t="e">
        <f t="shared" si="0"/>
        <v>#DIV/0!</v>
      </c>
      <c r="Q61" s="20" t="e">
        <f t="shared" si="1"/>
        <v>#DIV/0!</v>
      </c>
      <c r="V61" s="20" t="e">
        <f t="shared" si="2"/>
        <v>#DIV/0!</v>
      </c>
      <c r="W61" s="20"/>
      <c r="X61" s="20"/>
      <c r="Y61" s="20"/>
      <c r="Z61" s="20"/>
      <c r="AA61" s="20" t="e">
        <f t="shared" si="3"/>
        <v>#DIV/0!</v>
      </c>
      <c r="AB61" s="20"/>
      <c r="AC61" s="20"/>
      <c r="AD61" s="20"/>
      <c r="AE61" s="20"/>
      <c r="AF61" s="20" t="e">
        <f t="shared" si="4"/>
        <v>#DIV/0!</v>
      </c>
      <c r="AG61" s="20"/>
      <c r="AH61" s="20"/>
      <c r="AI61" s="20"/>
      <c r="AJ61" s="20"/>
      <c r="AK61" s="20" t="e">
        <f t="shared" si="5"/>
        <v>#DIV/0!</v>
      </c>
      <c r="AL61" s="20"/>
      <c r="AM61" s="20"/>
      <c r="AN61" s="20"/>
      <c r="AO61" s="20"/>
      <c r="AP61" s="20" t="e">
        <f t="shared" si="6"/>
        <v>#DIV/0!</v>
      </c>
      <c r="AQ61" s="20"/>
      <c r="AR61" s="20"/>
      <c r="AS61" s="20"/>
      <c r="AT61" s="20"/>
      <c r="AU61" s="20"/>
      <c r="AV61" s="20" t="e">
        <f t="shared" si="7"/>
        <v>#DIV/0!</v>
      </c>
      <c r="AZ61" s="20">
        <f t="shared" si="8"/>
        <v>0</v>
      </c>
      <c r="BA61" s="20"/>
      <c r="BB61" s="20"/>
      <c r="BC61" s="20"/>
      <c r="BD61" s="20">
        <f t="shared" si="9"/>
        <v>0</v>
      </c>
      <c r="BH61" s="20">
        <f t="shared" si="10"/>
        <v>0</v>
      </c>
      <c r="BK61" s="17" t="e">
        <f t="shared" si="11"/>
        <v>#DIV/0!</v>
      </c>
      <c r="BL61" s="17" t="e">
        <f t="shared" si="12"/>
        <v>#DIV/0!</v>
      </c>
      <c r="BM61" s="18" t="e">
        <f t="shared" si="13"/>
        <v>#DIV/0!</v>
      </c>
      <c r="BN61" s="20" t="e">
        <f t="shared" si="14"/>
        <v>#DIV/0!</v>
      </c>
      <c r="BP61" s="22">
        <f t="shared" si="15"/>
        <v>0</v>
      </c>
      <c r="BR61" s="20"/>
      <c r="BS61" s="20" t="e">
        <f t="shared" si="16"/>
        <v>#DIV/0!</v>
      </c>
      <c r="BT61" s="20" t="e">
        <f t="shared" si="17"/>
        <v>#DIV/0!</v>
      </c>
      <c r="BV61" s="20"/>
      <c r="BW61" s="20"/>
      <c r="BX61" s="20" t="e">
        <f t="shared" si="18"/>
        <v>#DIV/0!</v>
      </c>
    </row>
    <row r="62" spans="2:76" x14ac:dyDescent="0.3">
      <c r="B62" s="63">
        <v>2024</v>
      </c>
      <c r="C62" t="s">
        <v>105</v>
      </c>
      <c r="D62">
        <v>304</v>
      </c>
      <c r="E62">
        <v>3</v>
      </c>
      <c r="F62">
        <v>14</v>
      </c>
      <c r="G62" t="s">
        <v>106</v>
      </c>
      <c r="H62">
        <v>5</v>
      </c>
      <c r="I62" s="23" t="s">
        <v>31</v>
      </c>
      <c r="L62" s="21" t="e">
        <f t="shared" si="0"/>
        <v>#DIV/0!</v>
      </c>
      <c r="Q62" s="20" t="e">
        <f t="shared" si="1"/>
        <v>#DIV/0!</v>
      </c>
      <c r="V62" s="20" t="e">
        <f t="shared" si="2"/>
        <v>#DIV/0!</v>
      </c>
      <c r="W62" s="20"/>
      <c r="X62" s="20"/>
      <c r="Y62" s="20"/>
      <c r="Z62" s="20"/>
      <c r="AA62" s="20" t="e">
        <f t="shared" si="3"/>
        <v>#DIV/0!</v>
      </c>
      <c r="AB62" s="20"/>
      <c r="AC62" s="20"/>
      <c r="AD62" s="20"/>
      <c r="AE62" s="20"/>
      <c r="AF62" s="20" t="e">
        <f t="shared" si="4"/>
        <v>#DIV/0!</v>
      </c>
      <c r="AG62" s="20"/>
      <c r="AH62" s="20"/>
      <c r="AI62" s="20"/>
      <c r="AJ62" s="20"/>
      <c r="AK62" s="20" t="e">
        <f t="shared" si="5"/>
        <v>#DIV/0!</v>
      </c>
      <c r="AL62" s="20"/>
      <c r="AM62" s="20"/>
      <c r="AN62" s="20"/>
      <c r="AO62" s="20"/>
      <c r="AP62" s="20" t="e">
        <f t="shared" si="6"/>
        <v>#DIV/0!</v>
      </c>
      <c r="AQ62" s="20"/>
      <c r="AR62" s="20"/>
      <c r="AS62" s="20"/>
      <c r="AT62" s="20"/>
      <c r="AU62" s="20"/>
      <c r="AV62" s="20" t="e">
        <f t="shared" si="7"/>
        <v>#DIV/0!</v>
      </c>
      <c r="AZ62" s="20">
        <f t="shared" si="8"/>
        <v>0</v>
      </c>
      <c r="BA62" s="20"/>
      <c r="BB62" s="20"/>
      <c r="BC62" s="20"/>
      <c r="BD62" s="20">
        <f t="shared" si="9"/>
        <v>0</v>
      </c>
      <c r="BH62" s="20">
        <f t="shared" si="10"/>
        <v>0</v>
      </c>
      <c r="BK62" s="17" t="e">
        <f t="shared" si="11"/>
        <v>#DIV/0!</v>
      </c>
      <c r="BL62" s="17" t="e">
        <f t="shared" si="12"/>
        <v>#DIV/0!</v>
      </c>
      <c r="BM62" s="18" t="e">
        <f t="shared" si="13"/>
        <v>#DIV/0!</v>
      </c>
      <c r="BN62" s="20" t="e">
        <f t="shared" si="14"/>
        <v>#DIV/0!</v>
      </c>
      <c r="BP62" s="22">
        <f t="shared" si="15"/>
        <v>0</v>
      </c>
      <c r="BR62" s="20"/>
      <c r="BS62" s="20" t="e">
        <f t="shared" si="16"/>
        <v>#DIV/0!</v>
      </c>
      <c r="BT62" s="20" t="e">
        <f t="shared" si="17"/>
        <v>#DIV/0!</v>
      </c>
      <c r="BV62" s="20"/>
      <c r="BW62" s="20"/>
      <c r="BX62" s="20" t="e">
        <f t="shared" si="18"/>
        <v>#DIV/0!</v>
      </c>
    </row>
    <row r="63" spans="2:76" x14ac:dyDescent="0.3">
      <c r="B63" s="63">
        <v>2024</v>
      </c>
      <c r="C63" t="s">
        <v>105</v>
      </c>
      <c r="D63">
        <v>305</v>
      </c>
      <c r="E63">
        <v>3</v>
      </c>
      <c r="F63">
        <v>10</v>
      </c>
      <c r="G63" t="s">
        <v>106</v>
      </c>
      <c r="H63">
        <v>1</v>
      </c>
      <c r="I63" s="23" t="s">
        <v>37</v>
      </c>
      <c r="L63" s="21" t="e">
        <f t="shared" si="0"/>
        <v>#DIV/0!</v>
      </c>
      <c r="Q63" s="20" t="e">
        <f t="shared" si="1"/>
        <v>#DIV/0!</v>
      </c>
      <c r="V63" s="20" t="e">
        <f t="shared" si="2"/>
        <v>#DIV/0!</v>
      </c>
      <c r="W63" s="20"/>
      <c r="X63" s="20"/>
      <c r="Y63" s="20"/>
      <c r="Z63" s="20"/>
      <c r="AA63" s="20" t="e">
        <f t="shared" si="3"/>
        <v>#DIV/0!</v>
      </c>
      <c r="AB63" s="20"/>
      <c r="AC63" s="20"/>
      <c r="AD63" s="20"/>
      <c r="AE63" s="20"/>
      <c r="AF63" s="20" t="e">
        <f t="shared" si="4"/>
        <v>#DIV/0!</v>
      </c>
      <c r="AG63" s="20"/>
      <c r="AH63" s="20"/>
      <c r="AI63" s="20"/>
      <c r="AJ63" s="20"/>
      <c r="AK63" s="20" t="e">
        <f t="shared" si="5"/>
        <v>#DIV/0!</v>
      </c>
      <c r="AL63" s="20"/>
      <c r="AM63" s="20"/>
      <c r="AN63" s="20"/>
      <c r="AO63" s="20"/>
      <c r="AP63" s="20" t="e">
        <f t="shared" si="6"/>
        <v>#DIV/0!</v>
      </c>
      <c r="AQ63" s="20"/>
      <c r="AR63" s="20"/>
      <c r="AS63" s="20"/>
      <c r="AT63" s="20"/>
      <c r="AU63" s="20"/>
      <c r="AV63" s="20" t="e">
        <f t="shared" si="7"/>
        <v>#DIV/0!</v>
      </c>
      <c r="AZ63" s="20">
        <f t="shared" si="8"/>
        <v>0</v>
      </c>
      <c r="BA63" s="20"/>
      <c r="BB63" s="20"/>
      <c r="BC63" s="20"/>
      <c r="BD63" s="20">
        <f t="shared" si="9"/>
        <v>0</v>
      </c>
      <c r="BH63" s="20">
        <f t="shared" si="10"/>
        <v>0</v>
      </c>
      <c r="BK63" s="17" t="e">
        <f t="shared" si="11"/>
        <v>#DIV/0!</v>
      </c>
      <c r="BL63" s="17" t="e">
        <f t="shared" si="12"/>
        <v>#DIV/0!</v>
      </c>
      <c r="BM63" s="18" t="e">
        <f t="shared" si="13"/>
        <v>#DIV/0!</v>
      </c>
      <c r="BN63" s="20" t="e">
        <f t="shared" si="14"/>
        <v>#DIV/0!</v>
      </c>
      <c r="BP63" s="22">
        <f t="shared" si="15"/>
        <v>0</v>
      </c>
      <c r="BR63" s="20"/>
      <c r="BS63" s="20" t="e">
        <f t="shared" si="16"/>
        <v>#DIV/0!</v>
      </c>
      <c r="BT63" s="20" t="e">
        <f t="shared" si="17"/>
        <v>#DIV/0!</v>
      </c>
      <c r="BV63" s="20"/>
      <c r="BW63" s="20"/>
      <c r="BX63" s="20" t="e">
        <f t="shared" si="18"/>
        <v>#DIV/0!</v>
      </c>
    </row>
    <row r="64" spans="2:76" x14ac:dyDescent="0.3">
      <c r="B64" s="63">
        <v>2024</v>
      </c>
      <c r="C64" t="s">
        <v>105</v>
      </c>
      <c r="D64">
        <v>306</v>
      </c>
      <c r="E64">
        <v>3</v>
      </c>
      <c r="F64">
        <v>13</v>
      </c>
      <c r="G64" t="s">
        <v>106</v>
      </c>
      <c r="H64">
        <v>4</v>
      </c>
      <c r="I64" s="23" t="s">
        <v>36</v>
      </c>
      <c r="L64" s="21" t="e">
        <f t="shared" si="0"/>
        <v>#DIV/0!</v>
      </c>
      <c r="Q64" s="20" t="e">
        <f t="shared" si="1"/>
        <v>#DIV/0!</v>
      </c>
      <c r="V64" s="20" t="e">
        <f t="shared" si="2"/>
        <v>#DIV/0!</v>
      </c>
      <c r="W64" s="20"/>
      <c r="X64" s="20"/>
      <c r="Y64" s="20"/>
      <c r="Z64" s="20"/>
      <c r="AA64" s="20" t="e">
        <f t="shared" si="3"/>
        <v>#DIV/0!</v>
      </c>
      <c r="AB64" s="20"/>
      <c r="AC64" s="20"/>
      <c r="AD64" s="20"/>
      <c r="AE64" s="20"/>
      <c r="AF64" s="20" t="e">
        <f t="shared" si="4"/>
        <v>#DIV/0!</v>
      </c>
      <c r="AG64" s="20"/>
      <c r="AH64" s="20"/>
      <c r="AI64" s="20"/>
      <c r="AJ64" s="20"/>
      <c r="AK64" s="20" t="e">
        <f t="shared" si="5"/>
        <v>#DIV/0!</v>
      </c>
      <c r="AL64" s="20"/>
      <c r="AM64" s="20"/>
      <c r="AN64" s="20"/>
      <c r="AO64" s="20"/>
      <c r="AP64" s="20" t="e">
        <f t="shared" si="6"/>
        <v>#DIV/0!</v>
      </c>
      <c r="AQ64" s="20"/>
      <c r="AR64" s="20"/>
      <c r="AS64" s="20"/>
      <c r="AT64" s="20"/>
      <c r="AU64" s="20"/>
      <c r="AV64" s="20" t="e">
        <f t="shared" si="7"/>
        <v>#DIV/0!</v>
      </c>
      <c r="AZ64" s="20">
        <f t="shared" si="8"/>
        <v>0</v>
      </c>
      <c r="BA64" s="20"/>
      <c r="BB64" s="20"/>
      <c r="BC64" s="20"/>
      <c r="BD64" s="20">
        <f t="shared" si="9"/>
        <v>0</v>
      </c>
      <c r="BH64" s="20">
        <f t="shared" si="10"/>
        <v>0</v>
      </c>
      <c r="BK64" s="17" t="e">
        <f t="shared" si="11"/>
        <v>#DIV/0!</v>
      </c>
      <c r="BL64" s="17" t="e">
        <f t="shared" si="12"/>
        <v>#DIV/0!</v>
      </c>
      <c r="BM64" s="18" t="e">
        <f t="shared" si="13"/>
        <v>#DIV/0!</v>
      </c>
      <c r="BN64" s="20" t="e">
        <f t="shared" si="14"/>
        <v>#DIV/0!</v>
      </c>
      <c r="BP64" s="22">
        <f t="shared" si="15"/>
        <v>0</v>
      </c>
      <c r="BR64" s="20"/>
      <c r="BS64" s="20" t="e">
        <f t="shared" si="16"/>
        <v>#DIV/0!</v>
      </c>
      <c r="BT64" s="20" t="e">
        <f t="shared" si="17"/>
        <v>#DIV/0!</v>
      </c>
      <c r="BV64" s="20"/>
      <c r="BW64" s="20"/>
      <c r="BX64" s="20" t="e">
        <f t="shared" si="18"/>
        <v>#DIV/0!</v>
      </c>
    </row>
    <row r="65" spans="2:76" x14ac:dyDescent="0.3">
      <c r="B65" s="63">
        <v>2024</v>
      </c>
      <c r="C65" t="s">
        <v>105</v>
      </c>
      <c r="D65">
        <v>307</v>
      </c>
      <c r="E65">
        <v>3</v>
      </c>
      <c r="F65">
        <v>16</v>
      </c>
      <c r="G65" t="s">
        <v>106</v>
      </c>
      <c r="H65">
        <v>7</v>
      </c>
      <c r="I65" s="23" t="s">
        <v>34</v>
      </c>
      <c r="L65" s="21" t="e">
        <f t="shared" si="0"/>
        <v>#DIV/0!</v>
      </c>
      <c r="Q65" s="20" t="e">
        <f t="shared" si="1"/>
        <v>#DIV/0!</v>
      </c>
      <c r="V65" s="20" t="e">
        <f t="shared" si="2"/>
        <v>#DIV/0!</v>
      </c>
      <c r="W65" s="20"/>
      <c r="X65" s="20"/>
      <c r="Y65" s="20"/>
      <c r="Z65" s="20"/>
      <c r="AA65" s="20" t="e">
        <f t="shared" si="3"/>
        <v>#DIV/0!</v>
      </c>
      <c r="AB65" s="20"/>
      <c r="AC65" s="20"/>
      <c r="AD65" s="20"/>
      <c r="AE65" s="20"/>
      <c r="AF65" s="20" t="e">
        <f t="shared" si="4"/>
        <v>#DIV/0!</v>
      </c>
      <c r="AG65" s="20"/>
      <c r="AH65" s="20"/>
      <c r="AI65" s="20"/>
      <c r="AJ65" s="20"/>
      <c r="AK65" s="20" t="e">
        <f t="shared" si="5"/>
        <v>#DIV/0!</v>
      </c>
      <c r="AL65" s="20"/>
      <c r="AM65" s="20"/>
      <c r="AN65" s="20"/>
      <c r="AO65" s="20"/>
      <c r="AP65" s="20" t="e">
        <f t="shared" si="6"/>
        <v>#DIV/0!</v>
      </c>
      <c r="AQ65" s="20"/>
      <c r="AR65" s="20"/>
      <c r="AS65" s="20"/>
      <c r="AT65" s="20"/>
      <c r="AU65" s="20"/>
      <c r="AV65" s="20" t="e">
        <f t="shared" si="7"/>
        <v>#DIV/0!</v>
      </c>
      <c r="AZ65" s="20">
        <f t="shared" si="8"/>
        <v>0</v>
      </c>
      <c r="BA65" s="20"/>
      <c r="BB65" s="20"/>
      <c r="BC65" s="20"/>
      <c r="BD65" s="20">
        <f t="shared" si="9"/>
        <v>0</v>
      </c>
      <c r="BH65" s="20">
        <f t="shared" si="10"/>
        <v>0</v>
      </c>
      <c r="BK65" s="17" t="e">
        <f t="shared" si="11"/>
        <v>#DIV/0!</v>
      </c>
      <c r="BL65" s="17" t="e">
        <f t="shared" si="12"/>
        <v>#DIV/0!</v>
      </c>
      <c r="BM65" s="18" t="e">
        <f t="shared" si="13"/>
        <v>#DIV/0!</v>
      </c>
      <c r="BN65" s="20" t="e">
        <f t="shared" si="14"/>
        <v>#DIV/0!</v>
      </c>
      <c r="BP65" s="22">
        <f t="shared" si="15"/>
        <v>0</v>
      </c>
      <c r="BR65" s="20"/>
      <c r="BS65" s="20" t="e">
        <f t="shared" si="16"/>
        <v>#DIV/0!</v>
      </c>
      <c r="BT65" s="20" t="e">
        <f t="shared" si="17"/>
        <v>#DIV/0!</v>
      </c>
      <c r="BV65" s="20"/>
      <c r="BW65" s="20"/>
      <c r="BX65" s="20" t="e">
        <f t="shared" si="18"/>
        <v>#DIV/0!</v>
      </c>
    </row>
    <row r="66" spans="2:76" x14ac:dyDescent="0.3">
      <c r="B66" s="63">
        <v>2024</v>
      </c>
      <c r="C66" t="s">
        <v>105</v>
      </c>
      <c r="D66">
        <v>308</v>
      </c>
      <c r="E66">
        <v>3</v>
      </c>
      <c r="F66">
        <v>17</v>
      </c>
      <c r="G66" t="s">
        <v>106</v>
      </c>
      <c r="H66">
        <v>8</v>
      </c>
      <c r="I66" s="23" t="s">
        <v>38</v>
      </c>
      <c r="L66" s="21" t="e">
        <f t="shared" si="0"/>
        <v>#DIV/0!</v>
      </c>
      <c r="Q66" s="20" t="e">
        <f t="shared" si="1"/>
        <v>#DIV/0!</v>
      </c>
      <c r="V66" s="20" t="e">
        <f t="shared" si="2"/>
        <v>#DIV/0!</v>
      </c>
      <c r="W66" s="20"/>
      <c r="X66" s="20"/>
      <c r="Y66" s="20"/>
      <c r="Z66" s="20"/>
      <c r="AA66" s="20" t="e">
        <f t="shared" si="3"/>
        <v>#DIV/0!</v>
      </c>
      <c r="AB66" s="20"/>
      <c r="AC66" s="20"/>
      <c r="AD66" s="20"/>
      <c r="AE66" s="20"/>
      <c r="AF66" s="20" t="e">
        <f t="shared" si="4"/>
        <v>#DIV/0!</v>
      </c>
      <c r="AG66" s="20"/>
      <c r="AH66" s="20"/>
      <c r="AI66" s="20"/>
      <c r="AJ66" s="20"/>
      <c r="AK66" s="20" t="e">
        <f t="shared" si="5"/>
        <v>#DIV/0!</v>
      </c>
      <c r="AL66" s="20"/>
      <c r="AM66" s="20"/>
      <c r="AN66" s="20"/>
      <c r="AO66" s="20"/>
      <c r="AP66" s="20" t="e">
        <f t="shared" si="6"/>
        <v>#DIV/0!</v>
      </c>
      <c r="AQ66" s="20"/>
      <c r="AR66" s="20"/>
      <c r="AS66" s="20"/>
      <c r="AT66" s="20"/>
      <c r="AU66" s="20"/>
      <c r="AV66" s="20" t="e">
        <f t="shared" si="7"/>
        <v>#DIV/0!</v>
      </c>
      <c r="AZ66" s="20">
        <f t="shared" si="8"/>
        <v>0</v>
      </c>
      <c r="BA66" s="20"/>
      <c r="BB66" s="20"/>
      <c r="BC66" s="20"/>
      <c r="BD66" s="20">
        <f t="shared" si="9"/>
        <v>0</v>
      </c>
      <c r="BH66" s="20">
        <f t="shared" si="10"/>
        <v>0</v>
      </c>
      <c r="BK66" s="17" t="e">
        <f t="shared" si="11"/>
        <v>#DIV/0!</v>
      </c>
      <c r="BL66" s="17" t="e">
        <f t="shared" si="12"/>
        <v>#DIV/0!</v>
      </c>
      <c r="BM66" s="18" t="e">
        <f t="shared" si="13"/>
        <v>#DIV/0!</v>
      </c>
      <c r="BN66" s="20" t="e">
        <f t="shared" si="14"/>
        <v>#DIV/0!</v>
      </c>
      <c r="BP66" s="22">
        <f t="shared" si="15"/>
        <v>0</v>
      </c>
      <c r="BR66" s="20"/>
      <c r="BS66" s="20" t="e">
        <f t="shared" si="16"/>
        <v>#DIV/0!</v>
      </c>
      <c r="BT66" s="20" t="e">
        <f t="shared" si="17"/>
        <v>#DIV/0!</v>
      </c>
      <c r="BV66" s="20"/>
      <c r="BW66" s="20"/>
      <c r="BX66" s="20" t="e">
        <f t="shared" si="18"/>
        <v>#DIV/0!</v>
      </c>
    </row>
    <row r="67" spans="2:76" x14ac:dyDescent="0.3">
      <c r="B67" s="63">
        <v>2024</v>
      </c>
      <c r="C67" t="s">
        <v>105</v>
      </c>
      <c r="D67">
        <v>309</v>
      </c>
      <c r="E67">
        <v>3</v>
      </c>
      <c r="F67">
        <v>12</v>
      </c>
      <c r="G67" t="s">
        <v>106</v>
      </c>
      <c r="H67">
        <v>3</v>
      </c>
      <c r="I67" s="23" t="s">
        <v>39</v>
      </c>
      <c r="L67" s="21" t="e">
        <f t="shared" si="0"/>
        <v>#DIV/0!</v>
      </c>
      <c r="Q67" s="20" t="e">
        <f t="shared" si="1"/>
        <v>#DIV/0!</v>
      </c>
      <c r="V67" s="20" t="e">
        <f t="shared" si="2"/>
        <v>#DIV/0!</v>
      </c>
      <c r="W67" s="20"/>
      <c r="X67" s="20"/>
      <c r="Y67" s="20"/>
      <c r="Z67" s="20"/>
      <c r="AA67" s="20" t="e">
        <f t="shared" si="3"/>
        <v>#DIV/0!</v>
      </c>
      <c r="AB67" s="20"/>
      <c r="AC67" s="20"/>
      <c r="AD67" s="20"/>
      <c r="AE67" s="20"/>
      <c r="AF67" s="20" t="e">
        <f t="shared" si="4"/>
        <v>#DIV/0!</v>
      </c>
      <c r="AG67" s="20"/>
      <c r="AH67" s="20"/>
      <c r="AI67" s="20"/>
      <c r="AJ67" s="20"/>
      <c r="AK67" s="20" t="e">
        <f t="shared" si="5"/>
        <v>#DIV/0!</v>
      </c>
      <c r="AL67" s="20"/>
      <c r="AM67" s="20"/>
      <c r="AN67" s="20"/>
      <c r="AO67" s="20"/>
      <c r="AP67" s="20" t="e">
        <f t="shared" si="6"/>
        <v>#DIV/0!</v>
      </c>
      <c r="AQ67" s="20"/>
      <c r="AR67" s="20"/>
      <c r="AS67" s="20"/>
      <c r="AT67" s="20"/>
      <c r="AU67" s="20"/>
      <c r="AV67" s="20" t="e">
        <f t="shared" si="7"/>
        <v>#DIV/0!</v>
      </c>
      <c r="AZ67" s="20">
        <f t="shared" si="8"/>
        <v>0</v>
      </c>
      <c r="BA67" s="20"/>
      <c r="BB67" s="20"/>
      <c r="BC67" s="20"/>
      <c r="BD67" s="20">
        <f t="shared" si="9"/>
        <v>0</v>
      </c>
      <c r="BH67" s="20">
        <f t="shared" si="10"/>
        <v>0</v>
      </c>
      <c r="BK67" s="17" t="e">
        <f t="shared" si="11"/>
        <v>#DIV/0!</v>
      </c>
      <c r="BL67" s="17" t="e">
        <f t="shared" si="12"/>
        <v>#DIV/0!</v>
      </c>
      <c r="BM67" s="18" t="e">
        <f t="shared" si="13"/>
        <v>#DIV/0!</v>
      </c>
      <c r="BN67" s="20" t="e">
        <f t="shared" si="14"/>
        <v>#DIV/0!</v>
      </c>
      <c r="BP67" s="22">
        <f t="shared" si="15"/>
        <v>0</v>
      </c>
      <c r="BR67" s="20"/>
      <c r="BS67" s="20" t="e">
        <f t="shared" si="16"/>
        <v>#DIV/0!</v>
      </c>
      <c r="BT67" s="20" t="e">
        <f t="shared" si="17"/>
        <v>#DIV/0!</v>
      </c>
      <c r="BV67" s="20"/>
      <c r="BW67" s="20"/>
      <c r="BX67" s="20" t="e">
        <f t="shared" si="18"/>
        <v>#DIV/0!</v>
      </c>
    </row>
    <row r="68" spans="2:76" x14ac:dyDescent="0.3">
      <c r="B68" s="63">
        <v>2024</v>
      </c>
      <c r="C68" t="s">
        <v>105</v>
      </c>
      <c r="D68">
        <v>310</v>
      </c>
      <c r="E68">
        <v>3</v>
      </c>
      <c r="F68">
        <v>26</v>
      </c>
      <c r="G68" t="s">
        <v>41</v>
      </c>
      <c r="H68">
        <v>8</v>
      </c>
      <c r="I68" s="23" t="s">
        <v>38</v>
      </c>
      <c r="L68" s="21" t="e">
        <f t="shared" si="0"/>
        <v>#DIV/0!</v>
      </c>
      <c r="Q68" s="20" t="e">
        <f t="shared" si="1"/>
        <v>#DIV/0!</v>
      </c>
      <c r="V68" s="20" t="e">
        <f t="shared" si="2"/>
        <v>#DIV/0!</v>
      </c>
      <c r="W68" s="20"/>
      <c r="X68" s="20"/>
      <c r="Y68" s="20"/>
      <c r="Z68" s="20"/>
      <c r="AA68" s="20" t="e">
        <f t="shared" si="3"/>
        <v>#DIV/0!</v>
      </c>
      <c r="AB68" s="20"/>
      <c r="AC68" s="20"/>
      <c r="AD68" s="20"/>
      <c r="AE68" s="20"/>
      <c r="AF68" s="20" t="e">
        <f t="shared" si="4"/>
        <v>#DIV/0!</v>
      </c>
      <c r="AG68" s="20"/>
      <c r="AH68" s="20"/>
      <c r="AI68" s="20"/>
      <c r="AJ68" s="20"/>
      <c r="AK68" s="20" t="e">
        <f t="shared" si="5"/>
        <v>#DIV/0!</v>
      </c>
      <c r="AL68" s="20"/>
      <c r="AM68" s="20"/>
      <c r="AN68" s="20"/>
      <c r="AO68" s="20"/>
      <c r="AP68" s="20" t="e">
        <f t="shared" si="6"/>
        <v>#DIV/0!</v>
      </c>
      <c r="AQ68" s="20"/>
      <c r="AR68" s="20"/>
      <c r="AS68" s="20"/>
      <c r="AT68" s="20"/>
      <c r="AU68" s="20"/>
      <c r="AV68" s="20" t="e">
        <f t="shared" si="7"/>
        <v>#DIV/0!</v>
      </c>
      <c r="AZ68" s="20">
        <f t="shared" si="8"/>
        <v>0</v>
      </c>
      <c r="BA68" s="20"/>
      <c r="BB68" s="20"/>
      <c r="BC68" s="20"/>
      <c r="BD68" s="20">
        <f t="shared" si="9"/>
        <v>0</v>
      </c>
      <c r="BH68" s="20">
        <f t="shared" si="10"/>
        <v>0</v>
      </c>
      <c r="BK68" s="17" t="e">
        <f t="shared" si="11"/>
        <v>#DIV/0!</v>
      </c>
      <c r="BL68" s="17" t="e">
        <f t="shared" si="12"/>
        <v>#DIV/0!</v>
      </c>
      <c r="BM68" s="18" t="e">
        <f t="shared" si="13"/>
        <v>#DIV/0!</v>
      </c>
      <c r="BN68" s="20" t="e">
        <f t="shared" si="14"/>
        <v>#DIV/0!</v>
      </c>
      <c r="BP68" s="22">
        <f t="shared" si="15"/>
        <v>0</v>
      </c>
      <c r="BR68" s="20"/>
      <c r="BS68" s="20" t="e">
        <f t="shared" si="16"/>
        <v>#DIV/0!</v>
      </c>
      <c r="BT68" s="20" t="e">
        <f t="shared" si="17"/>
        <v>#DIV/0!</v>
      </c>
      <c r="BV68" s="20"/>
      <c r="BW68" s="20"/>
      <c r="BX68" s="20" t="e">
        <f t="shared" si="18"/>
        <v>#DIV/0!</v>
      </c>
    </row>
    <row r="69" spans="2:76" x14ac:dyDescent="0.3">
      <c r="B69" s="63">
        <v>2024</v>
      </c>
      <c r="C69" t="s">
        <v>105</v>
      </c>
      <c r="D69">
        <v>311</v>
      </c>
      <c r="E69">
        <v>3</v>
      </c>
      <c r="F69">
        <v>19</v>
      </c>
      <c r="G69" t="s">
        <v>41</v>
      </c>
      <c r="H69">
        <v>1</v>
      </c>
      <c r="I69" s="23" t="s">
        <v>37</v>
      </c>
      <c r="L69" s="21" t="e">
        <f t="shared" si="0"/>
        <v>#DIV/0!</v>
      </c>
      <c r="Q69" s="20" t="e">
        <f t="shared" si="1"/>
        <v>#DIV/0!</v>
      </c>
      <c r="V69" s="20" t="e">
        <f t="shared" si="2"/>
        <v>#DIV/0!</v>
      </c>
      <c r="AA69" s="20" t="e">
        <f t="shared" si="3"/>
        <v>#DIV/0!</v>
      </c>
      <c r="AF69" s="20" t="e">
        <f t="shared" si="4"/>
        <v>#DIV/0!</v>
      </c>
      <c r="AK69" s="20" t="e">
        <f t="shared" si="5"/>
        <v>#DIV/0!</v>
      </c>
      <c r="AP69" s="20" t="e">
        <f t="shared" si="6"/>
        <v>#DIV/0!</v>
      </c>
      <c r="AV69" s="20" t="e">
        <f t="shared" si="7"/>
        <v>#DIV/0!</v>
      </c>
      <c r="AZ69" s="20">
        <f t="shared" si="8"/>
        <v>0</v>
      </c>
      <c r="BD69" s="20">
        <f t="shared" si="9"/>
        <v>0</v>
      </c>
      <c r="BH69" s="20">
        <f t="shared" si="10"/>
        <v>0</v>
      </c>
      <c r="BK69" s="17" t="e">
        <f t="shared" si="11"/>
        <v>#DIV/0!</v>
      </c>
      <c r="BL69" s="17" t="e">
        <f t="shared" si="12"/>
        <v>#DIV/0!</v>
      </c>
      <c r="BM69" s="18" t="e">
        <f t="shared" si="13"/>
        <v>#DIV/0!</v>
      </c>
      <c r="BN69" s="20" t="e">
        <f t="shared" si="14"/>
        <v>#DIV/0!</v>
      </c>
      <c r="BP69" s="22">
        <f t="shared" si="15"/>
        <v>0</v>
      </c>
      <c r="BS69" s="20" t="e">
        <f t="shared" si="16"/>
        <v>#DIV/0!</v>
      </c>
      <c r="BT69" s="20" t="e">
        <f t="shared" si="17"/>
        <v>#DIV/0!</v>
      </c>
      <c r="BX69" s="20" t="e">
        <f t="shared" si="18"/>
        <v>#DIV/0!</v>
      </c>
    </row>
    <row r="70" spans="2:76" x14ac:dyDescent="0.3">
      <c r="B70" s="63">
        <v>2024</v>
      </c>
      <c r="C70" t="s">
        <v>105</v>
      </c>
      <c r="D70">
        <v>312</v>
      </c>
      <c r="E70">
        <v>3</v>
      </c>
      <c r="F70">
        <v>25</v>
      </c>
      <c r="G70" t="s">
        <v>41</v>
      </c>
      <c r="H70">
        <v>7</v>
      </c>
      <c r="I70" s="23" t="s">
        <v>34</v>
      </c>
      <c r="L70" s="21" t="e">
        <f t="shared" ref="L70:L112" si="19">(AVERAGE(J70:K70))/L$2</f>
        <v>#DIV/0!</v>
      </c>
      <c r="Q70" s="20" t="e">
        <f t="shared" ref="Q70:Q112" si="20">AVERAGE(M70:P70)</f>
        <v>#DIV/0!</v>
      </c>
      <c r="V70" s="20" t="e">
        <f t="shared" ref="V70:V112" si="21">AVERAGE(R70:U70)</f>
        <v>#DIV/0!</v>
      </c>
      <c r="AA70" s="20" t="e">
        <f t="shared" ref="AA70:AA112" si="22">AVERAGE(W70:Z70)</f>
        <v>#DIV/0!</v>
      </c>
      <c r="AF70" s="20" t="e">
        <f t="shared" ref="AF70:AF112" si="23">AVERAGE(AB70:AE70)</f>
        <v>#DIV/0!</v>
      </c>
      <c r="AK70" s="20" t="e">
        <f t="shared" ref="AK70:AK112" si="24">AVERAGE(AG70:AJ70)</f>
        <v>#DIV/0!</v>
      </c>
      <c r="AP70" s="20" t="e">
        <f t="shared" ref="AP70:AP112" si="25">AVERAGE(AL70:AO70)</f>
        <v>#DIV/0!</v>
      </c>
      <c r="AV70" s="20" t="e">
        <f t="shared" ref="AV70:AV112" si="26">AVERAGE(AR70:AU70)</f>
        <v>#DIV/0!</v>
      </c>
      <c r="AZ70" s="20">
        <f t="shared" ref="AZ70:AZ112" si="27">((2*AW70)/3)+(AX70/3)+AY70</f>
        <v>0</v>
      </c>
      <c r="BD70" s="20">
        <f t="shared" ref="BD70:BD112" si="28">((2*BA70)/3)+(BB70/3)+BC70</f>
        <v>0</v>
      </c>
      <c r="BH70" s="20">
        <f t="shared" ref="BH70:BH112" si="29">((2*BE70)/3)+(BF70/3)+BG70</f>
        <v>0</v>
      </c>
      <c r="BK70" s="17" t="e">
        <f t="shared" ref="BK70:BK112" si="30">(BI70-BJ70)/BI70*100</f>
        <v>#DIV/0!</v>
      </c>
      <c r="BL70" s="17" t="e">
        <f t="shared" ref="BL70:BL112" si="31">(BK70-35)/2.5</f>
        <v>#DIV/0!</v>
      </c>
      <c r="BM70" s="18" t="e">
        <f t="shared" ref="BM70:BM112" si="32">BL$2+BL70</f>
        <v>#DIV/0!</v>
      </c>
      <c r="BN70" s="20" t="e">
        <f t="shared" ref="BN70:BN112" si="33">BM70-BL$1</f>
        <v>#DIV/0!</v>
      </c>
      <c r="BP70" s="22">
        <f t="shared" ref="BP70:BP112" si="34">BO70*BP$2</f>
        <v>0</v>
      </c>
      <c r="BS70" s="20" t="e">
        <f t="shared" ref="BS70:BS112" si="35">(BQ70*(100-BR70)/(100-13.5))/BP70*10000/1000</f>
        <v>#DIV/0!</v>
      </c>
      <c r="BT70" s="20" t="e">
        <f t="shared" ref="BT70:BT112" si="36">BS70*(2.204/48)*(1/2.47)</f>
        <v>#DIV/0!</v>
      </c>
      <c r="BX70" s="20" t="e">
        <f t="shared" ref="BX70:BX112" si="37">(AVERAGE(BV70:BW70)*10)*((100-BR70)/(100-13.5))</f>
        <v>#DIV/0!</v>
      </c>
    </row>
    <row r="71" spans="2:76" x14ac:dyDescent="0.3">
      <c r="B71" s="63">
        <v>2024</v>
      </c>
      <c r="C71" t="s">
        <v>105</v>
      </c>
      <c r="D71">
        <v>313</v>
      </c>
      <c r="E71">
        <v>3</v>
      </c>
      <c r="F71">
        <v>27</v>
      </c>
      <c r="G71" t="s">
        <v>41</v>
      </c>
      <c r="H71">
        <v>9</v>
      </c>
      <c r="I71" s="23" t="s">
        <v>33</v>
      </c>
      <c r="L71" s="21" t="e">
        <f t="shared" si="19"/>
        <v>#DIV/0!</v>
      </c>
      <c r="Q71" s="20" t="e">
        <f t="shared" si="20"/>
        <v>#DIV/0!</v>
      </c>
      <c r="V71" s="20" t="e">
        <f t="shared" si="21"/>
        <v>#DIV/0!</v>
      </c>
      <c r="AA71" s="20" t="e">
        <f t="shared" si="22"/>
        <v>#DIV/0!</v>
      </c>
      <c r="AF71" s="20" t="e">
        <f t="shared" si="23"/>
        <v>#DIV/0!</v>
      </c>
      <c r="AK71" s="20" t="e">
        <f t="shared" si="24"/>
        <v>#DIV/0!</v>
      </c>
      <c r="AP71" s="20" t="e">
        <f t="shared" si="25"/>
        <v>#DIV/0!</v>
      </c>
      <c r="AV71" s="20" t="e">
        <f t="shared" si="26"/>
        <v>#DIV/0!</v>
      </c>
      <c r="AZ71" s="20">
        <f t="shared" si="27"/>
        <v>0</v>
      </c>
      <c r="BD71" s="20">
        <f t="shared" si="28"/>
        <v>0</v>
      </c>
      <c r="BH71" s="20">
        <f t="shared" si="29"/>
        <v>0</v>
      </c>
      <c r="BK71" s="17" t="e">
        <f t="shared" si="30"/>
        <v>#DIV/0!</v>
      </c>
      <c r="BL71" s="17" t="e">
        <f t="shared" si="31"/>
        <v>#DIV/0!</v>
      </c>
      <c r="BM71" s="18" t="e">
        <f t="shared" si="32"/>
        <v>#DIV/0!</v>
      </c>
      <c r="BN71" s="20" t="e">
        <f t="shared" si="33"/>
        <v>#DIV/0!</v>
      </c>
      <c r="BP71" s="22">
        <f t="shared" si="34"/>
        <v>0</v>
      </c>
      <c r="BS71" s="20" t="e">
        <f t="shared" si="35"/>
        <v>#DIV/0!</v>
      </c>
      <c r="BT71" s="20" t="e">
        <f t="shared" si="36"/>
        <v>#DIV/0!</v>
      </c>
      <c r="BX71" s="20" t="e">
        <f t="shared" si="37"/>
        <v>#DIV/0!</v>
      </c>
    </row>
    <row r="72" spans="2:76" x14ac:dyDescent="0.3">
      <c r="B72" s="63">
        <v>2024</v>
      </c>
      <c r="C72" t="s">
        <v>105</v>
      </c>
      <c r="D72">
        <v>314</v>
      </c>
      <c r="E72">
        <v>3</v>
      </c>
      <c r="F72">
        <v>20</v>
      </c>
      <c r="G72" t="s">
        <v>41</v>
      </c>
      <c r="H72">
        <v>2</v>
      </c>
      <c r="I72" s="23" t="s">
        <v>32</v>
      </c>
      <c r="L72" s="21" t="e">
        <f t="shared" si="19"/>
        <v>#DIV/0!</v>
      </c>
      <c r="Q72" s="20" t="e">
        <f t="shared" si="20"/>
        <v>#DIV/0!</v>
      </c>
      <c r="V72" s="20" t="e">
        <f t="shared" si="21"/>
        <v>#DIV/0!</v>
      </c>
      <c r="AA72" s="20" t="e">
        <f t="shared" si="22"/>
        <v>#DIV/0!</v>
      </c>
      <c r="AF72" s="20" t="e">
        <f t="shared" si="23"/>
        <v>#DIV/0!</v>
      </c>
      <c r="AK72" s="20" t="e">
        <f t="shared" si="24"/>
        <v>#DIV/0!</v>
      </c>
      <c r="AP72" s="20" t="e">
        <f t="shared" si="25"/>
        <v>#DIV/0!</v>
      </c>
      <c r="AV72" s="20" t="e">
        <f t="shared" si="26"/>
        <v>#DIV/0!</v>
      </c>
      <c r="AZ72" s="20">
        <f t="shared" si="27"/>
        <v>0</v>
      </c>
      <c r="BD72" s="20">
        <f t="shared" si="28"/>
        <v>0</v>
      </c>
      <c r="BH72" s="20">
        <f t="shared" si="29"/>
        <v>0</v>
      </c>
      <c r="BK72" s="17" t="e">
        <f t="shared" si="30"/>
        <v>#DIV/0!</v>
      </c>
      <c r="BL72" s="17" t="e">
        <f t="shared" si="31"/>
        <v>#DIV/0!</v>
      </c>
      <c r="BM72" s="18" t="e">
        <f t="shared" si="32"/>
        <v>#DIV/0!</v>
      </c>
      <c r="BN72" s="20" t="e">
        <f t="shared" si="33"/>
        <v>#DIV/0!</v>
      </c>
      <c r="BP72" s="22">
        <f t="shared" si="34"/>
        <v>0</v>
      </c>
      <c r="BS72" s="20" t="e">
        <f t="shared" si="35"/>
        <v>#DIV/0!</v>
      </c>
      <c r="BT72" s="20" t="e">
        <f t="shared" si="36"/>
        <v>#DIV/0!</v>
      </c>
      <c r="BX72" s="20" t="e">
        <f t="shared" si="37"/>
        <v>#DIV/0!</v>
      </c>
    </row>
    <row r="73" spans="2:76" x14ac:dyDescent="0.3">
      <c r="B73" s="63">
        <v>2024</v>
      </c>
      <c r="C73" t="s">
        <v>105</v>
      </c>
      <c r="D73">
        <v>315</v>
      </c>
      <c r="E73">
        <v>3</v>
      </c>
      <c r="F73">
        <v>24</v>
      </c>
      <c r="G73" t="s">
        <v>41</v>
      </c>
      <c r="H73">
        <v>6</v>
      </c>
      <c r="I73" s="23" t="s">
        <v>35</v>
      </c>
      <c r="L73" s="21" t="e">
        <f t="shared" si="19"/>
        <v>#DIV/0!</v>
      </c>
      <c r="Q73" s="20" t="e">
        <f t="shared" si="20"/>
        <v>#DIV/0!</v>
      </c>
      <c r="V73" s="20" t="e">
        <f t="shared" si="21"/>
        <v>#DIV/0!</v>
      </c>
      <c r="AA73" s="20" t="e">
        <f t="shared" si="22"/>
        <v>#DIV/0!</v>
      </c>
      <c r="AF73" s="20" t="e">
        <f t="shared" si="23"/>
        <v>#DIV/0!</v>
      </c>
      <c r="AK73" s="20" t="e">
        <f t="shared" si="24"/>
        <v>#DIV/0!</v>
      </c>
      <c r="AP73" s="20" t="e">
        <f t="shared" si="25"/>
        <v>#DIV/0!</v>
      </c>
      <c r="AV73" s="20" t="e">
        <f t="shared" si="26"/>
        <v>#DIV/0!</v>
      </c>
      <c r="AZ73" s="20">
        <f t="shared" si="27"/>
        <v>0</v>
      </c>
      <c r="BD73" s="20">
        <f t="shared" si="28"/>
        <v>0</v>
      </c>
      <c r="BH73" s="20">
        <f t="shared" si="29"/>
        <v>0</v>
      </c>
      <c r="BK73" s="17" t="e">
        <f t="shared" si="30"/>
        <v>#DIV/0!</v>
      </c>
      <c r="BL73" s="17" t="e">
        <f t="shared" si="31"/>
        <v>#DIV/0!</v>
      </c>
      <c r="BM73" s="18" t="e">
        <f t="shared" si="32"/>
        <v>#DIV/0!</v>
      </c>
      <c r="BN73" s="20" t="e">
        <f t="shared" si="33"/>
        <v>#DIV/0!</v>
      </c>
      <c r="BP73" s="22">
        <f t="shared" si="34"/>
        <v>0</v>
      </c>
      <c r="BS73" s="20" t="e">
        <f t="shared" si="35"/>
        <v>#DIV/0!</v>
      </c>
      <c r="BT73" s="20" t="e">
        <f t="shared" si="36"/>
        <v>#DIV/0!</v>
      </c>
      <c r="BX73" s="20" t="e">
        <f t="shared" si="37"/>
        <v>#DIV/0!</v>
      </c>
    </row>
    <row r="74" spans="2:76" x14ac:dyDescent="0.3">
      <c r="B74" s="63">
        <v>2024</v>
      </c>
      <c r="C74" t="s">
        <v>105</v>
      </c>
      <c r="D74">
        <v>316</v>
      </c>
      <c r="E74">
        <v>3</v>
      </c>
      <c r="F74">
        <v>21</v>
      </c>
      <c r="G74" t="s">
        <v>41</v>
      </c>
      <c r="H74">
        <v>3</v>
      </c>
      <c r="I74" s="23" t="s">
        <v>39</v>
      </c>
      <c r="L74" s="21" t="e">
        <f t="shared" si="19"/>
        <v>#DIV/0!</v>
      </c>
      <c r="Q74" s="20" t="e">
        <f t="shared" si="20"/>
        <v>#DIV/0!</v>
      </c>
      <c r="V74" s="20" t="e">
        <f t="shared" si="21"/>
        <v>#DIV/0!</v>
      </c>
      <c r="AA74" s="20" t="e">
        <f t="shared" si="22"/>
        <v>#DIV/0!</v>
      </c>
      <c r="AF74" s="20" t="e">
        <f t="shared" si="23"/>
        <v>#DIV/0!</v>
      </c>
      <c r="AK74" s="20" t="e">
        <f t="shared" si="24"/>
        <v>#DIV/0!</v>
      </c>
      <c r="AP74" s="20" t="e">
        <f t="shared" si="25"/>
        <v>#DIV/0!</v>
      </c>
      <c r="AV74" s="20" t="e">
        <f t="shared" si="26"/>
        <v>#DIV/0!</v>
      </c>
      <c r="AZ74" s="20">
        <f t="shared" si="27"/>
        <v>0</v>
      </c>
      <c r="BD74" s="20">
        <f t="shared" si="28"/>
        <v>0</v>
      </c>
      <c r="BH74" s="20">
        <f t="shared" si="29"/>
        <v>0</v>
      </c>
      <c r="BK74" s="17" t="e">
        <f t="shared" si="30"/>
        <v>#DIV/0!</v>
      </c>
      <c r="BL74" s="17" t="e">
        <f t="shared" si="31"/>
        <v>#DIV/0!</v>
      </c>
      <c r="BM74" s="18" t="e">
        <f t="shared" si="32"/>
        <v>#DIV/0!</v>
      </c>
      <c r="BN74" s="20" t="e">
        <f t="shared" si="33"/>
        <v>#DIV/0!</v>
      </c>
      <c r="BP74" s="22">
        <f t="shared" si="34"/>
        <v>0</v>
      </c>
      <c r="BS74" s="20" t="e">
        <f t="shared" si="35"/>
        <v>#DIV/0!</v>
      </c>
      <c r="BT74" s="20" t="e">
        <f t="shared" si="36"/>
        <v>#DIV/0!</v>
      </c>
      <c r="BX74" s="20" t="e">
        <f t="shared" si="37"/>
        <v>#DIV/0!</v>
      </c>
    </row>
    <row r="75" spans="2:76" x14ac:dyDescent="0.3">
      <c r="B75" s="63">
        <v>2024</v>
      </c>
      <c r="C75" t="s">
        <v>105</v>
      </c>
      <c r="D75">
        <v>317</v>
      </c>
      <c r="E75">
        <v>3</v>
      </c>
      <c r="F75">
        <v>22</v>
      </c>
      <c r="G75" t="s">
        <v>41</v>
      </c>
      <c r="H75">
        <v>4</v>
      </c>
      <c r="I75" s="23" t="s">
        <v>36</v>
      </c>
      <c r="L75" s="21" t="e">
        <f t="shared" si="19"/>
        <v>#DIV/0!</v>
      </c>
      <c r="Q75" s="20" t="e">
        <f t="shared" si="20"/>
        <v>#DIV/0!</v>
      </c>
      <c r="V75" s="20" t="e">
        <f t="shared" si="21"/>
        <v>#DIV/0!</v>
      </c>
      <c r="AA75" s="20" t="e">
        <f t="shared" si="22"/>
        <v>#DIV/0!</v>
      </c>
      <c r="AF75" s="20" t="e">
        <f t="shared" si="23"/>
        <v>#DIV/0!</v>
      </c>
      <c r="AK75" s="20" t="e">
        <f t="shared" si="24"/>
        <v>#DIV/0!</v>
      </c>
      <c r="AP75" s="20" t="e">
        <f t="shared" si="25"/>
        <v>#DIV/0!</v>
      </c>
      <c r="AV75" s="20" t="e">
        <f t="shared" si="26"/>
        <v>#DIV/0!</v>
      </c>
      <c r="AZ75" s="20">
        <f t="shared" si="27"/>
        <v>0</v>
      </c>
      <c r="BD75" s="20">
        <f t="shared" si="28"/>
        <v>0</v>
      </c>
      <c r="BH75" s="20">
        <f t="shared" si="29"/>
        <v>0</v>
      </c>
      <c r="BK75" s="17" t="e">
        <f t="shared" si="30"/>
        <v>#DIV/0!</v>
      </c>
      <c r="BL75" s="17" t="e">
        <f t="shared" si="31"/>
        <v>#DIV/0!</v>
      </c>
      <c r="BM75" s="18" t="e">
        <f t="shared" si="32"/>
        <v>#DIV/0!</v>
      </c>
      <c r="BN75" s="20" t="e">
        <f t="shared" si="33"/>
        <v>#DIV/0!</v>
      </c>
      <c r="BP75" s="22">
        <f t="shared" si="34"/>
        <v>0</v>
      </c>
      <c r="BS75" s="20" t="e">
        <f t="shared" si="35"/>
        <v>#DIV/0!</v>
      </c>
      <c r="BT75" s="20" t="e">
        <f t="shared" si="36"/>
        <v>#DIV/0!</v>
      </c>
      <c r="BX75" s="20" t="e">
        <f t="shared" si="37"/>
        <v>#DIV/0!</v>
      </c>
    </row>
    <row r="76" spans="2:76" x14ac:dyDescent="0.3">
      <c r="B76" s="63">
        <v>2024</v>
      </c>
      <c r="C76" t="s">
        <v>105</v>
      </c>
      <c r="D76">
        <v>318</v>
      </c>
      <c r="E76">
        <v>3</v>
      </c>
      <c r="F76">
        <v>23</v>
      </c>
      <c r="G76" t="s">
        <v>41</v>
      </c>
      <c r="H76">
        <v>5</v>
      </c>
      <c r="I76" s="23" t="s">
        <v>31</v>
      </c>
      <c r="L76" s="21" t="e">
        <f t="shared" si="19"/>
        <v>#DIV/0!</v>
      </c>
      <c r="Q76" s="20" t="e">
        <f t="shared" si="20"/>
        <v>#DIV/0!</v>
      </c>
      <c r="V76" s="20" t="e">
        <f t="shared" si="21"/>
        <v>#DIV/0!</v>
      </c>
      <c r="AA76" s="20" t="e">
        <f t="shared" si="22"/>
        <v>#DIV/0!</v>
      </c>
      <c r="AF76" s="20" t="e">
        <f t="shared" si="23"/>
        <v>#DIV/0!</v>
      </c>
      <c r="AK76" s="20" t="e">
        <f t="shared" si="24"/>
        <v>#DIV/0!</v>
      </c>
      <c r="AP76" s="20" t="e">
        <f t="shared" si="25"/>
        <v>#DIV/0!</v>
      </c>
      <c r="AV76" s="20" t="e">
        <f t="shared" si="26"/>
        <v>#DIV/0!</v>
      </c>
      <c r="AZ76" s="20">
        <f t="shared" si="27"/>
        <v>0</v>
      </c>
      <c r="BD76" s="20">
        <f t="shared" si="28"/>
        <v>0</v>
      </c>
      <c r="BH76" s="20">
        <f t="shared" si="29"/>
        <v>0</v>
      </c>
      <c r="BK76" s="17" t="e">
        <f t="shared" si="30"/>
        <v>#DIV/0!</v>
      </c>
      <c r="BL76" s="17" t="e">
        <f t="shared" si="31"/>
        <v>#DIV/0!</v>
      </c>
      <c r="BM76" s="18" t="e">
        <f t="shared" si="32"/>
        <v>#DIV/0!</v>
      </c>
      <c r="BN76" s="20" t="e">
        <f t="shared" si="33"/>
        <v>#DIV/0!</v>
      </c>
      <c r="BP76" s="22">
        <f t="shared" si="34"/>
        <v>0</v>
      </c>
      <c r="BS76" s="20" t="e">
        <f t="shared" si="35"/>
        <v>#DIV/0!</v>
      </c>
      <c r="BT76" s="20" t="e">
        <f t="shared" si="36"/>
        <v>#DIV/0!</v>
      </c>
      <c r="BX76" s="20" t="e">
        <f t="shared" si="37"/>
        <v>#DIV/0!</v>
      </c>
    </row>
    <row r="77" spans="2:76" x14ac:dyDescent="0.3">
      <c r="B77" s="63">
        <v>2024</v>
      </c>
      <c r="C77" t="s">
        <v>105</v>
      </c>
      <c r="D77">
        <v>319</v>
      </c>
      <c r="E77">
        <v>3</v>
      </c>
      <c r="F77">
        <v>6</v>
      </c>
      <c r="G77" t="s">
        <v>42</v>
      </c>
      <c r="H77">
        <v>6</v>
      </c>
      <c r="I77" s="23" t="s">
        <v>35</v>
      </c>
      <c r="L77" s="21" t="e">
        <f t="shared" si="19"/>
        <v>#DIV/0!</v>
      </c>
      <c r="Q77" s="20" t="e">
        <f t="shared" si="20"/>
        <v>#DIV/0!</v>
      </c>
      <c r="V77" s="20" t="e">
        <f t="shared" si="21"/>
        <v>#DIV/0!</v>
      </c>
      <c r="AA77" s="20" t="e">
        <f t="shared" si="22"/>
        <v>#DIV/0!</v>
      </c>
      <c r="AF77" s="20" t="e">
        <f t="shared" si="23"/>
        <v>#DIV/0!</v>
      </c>
      <c r="AK77" s="20" t="e">
        <f t="shared" si="24"/>
        <v>#DIV/0!</v>
      </c>
      <c r="AP77" s="20" t="e">
        <f t="shared" si="25"/>
        <v>#DIV/0!</v>
      </c>
      <c r="AV77" s="20" t="e">
        <f t="shared" si="26"/>
        <v>#DIV/0!</v>
      </c>
      <c r="AZ77" s="20">
        <f t="shared" si="27"/>
        <v>0</v>
      </c>
      <c r="BD77" s="20">
        <f t="shared" si="28"/>
        <v>0</v>
      </c>
      <c r="BH77" s="20">
        <f t="shared" si="29"/>
        <v>0</v>
      </c>
      <c r="BK77" s="17" t="e">
        <f t="shared" si="30"/>
        <v>#DIV/0!</v>
      </c>
      <c r="BL77" s="17" t="e">
        <f t="shared" si="31"/>
        <v>#DIV/0!</v>
      </c>
      <c r="BM77" s="18" t="e">
        <f t="shared" si="32"/>
        <v>#DIV/0!</v>
      </c>
      <c r="BN77" s="20" t="e">
        <f t="shared" si="33"/>
        <v>#DIV/0!</v>
      </c>
      <c r="BP77" s="22">
        <f t="shared" si="34"/>
        <v>0</v>
      </c>
      <c r="BS77" s="20" t="e">
        <f t="shared" si="35"/>
        <v>#DIV/0!</v>
      </c>
      <c r="BT77" s="20" t="e">
        <f t="shared" si="36"/>
        <v>#DIV/0!</v>
      </c>
      <c r="BX77" s="20" t="e">
        <f t="shared" si="37"/>
        <v>#DIV/0!</v>
      </c>
    </row>
    <row r="78" spans="2:76" x14ac:dyDescent="0.3">
      <c r="B78" s="63">
        <v>2024</v>
      </c>
      <c r="C78" t="s">
        <v>105</v>
      </c>
      <c r="D78">
        <v>320</v>
      </c>
      <c r="E78">
        <v>3</v>
      </c>
      <c r="F78">
        <v>4</v>
      </c>
      <c r="G78" t="s">
        <v>42</v>
      </c>
      <c r="H78">
        <v>4</v>
      </c>
      <c r="I78" s="23" t="s">
        <v>36</v>
      </c>
      <c r="L78" s="21" t="e">
        <f t="shared" si="19"/>
        <v>#DIV/0!</v>
      </c>
      <c r="Q78" s="20" t="e">
        <f t="shared" si="20"/>
        <v>#DIV/0!</v>
      </c>
      <c r="V78" s="20" t="e">
        <f t="shared" si="21"/>
        <v>#DIV/0!</v>
      </c>
      <c r="AA78" s="20" t="e">
        <f t="shared" si="22"/>
        <v>#DIV/0!</v>
      </c>
      <c r="AF78" s="20" t="e">
        <f t="shared" si="23"/>
        <v>#DIV/0!</v>
      </c>
      <c r="AK78" s="20" t="e">
        <f t="shared" si="24"/>
        <v>#DIV/0!</v>
      </c>
      <c r="AP78" s="20" t="e">
        <f t="shared" si="25"/>
        <v>#DIV/0!</v>
      </c>
      <c r="AV78" s="20" t="e">
        <f t="shared" si="26"/>
        <v>#DIV/0!</v>
      </c>
      <c r="AZ78" s="20">
        <f t="shared" si="27"/>
        <v>0</v>
      </c>
      <c r="BD78" s="20">
        <f t="shared" si="28"/>
        <v>0</v>
      </c>
      <c r="BH78" s="20">
        <f t="shared" si="29"/>
        <v>0</v>
      </c>
      <c r="BK78" s="17" t="e">
        <f t="shared" si="30"/>
        <v>#DIV/0!</v>
      </c>
      <c r="BL78" s="17" t="e">
        <f t="shared" si="31"/>
        <v>#DIV/0!</v>
      </c>
      <c r="BM78" s="18" t="e">
        <f t="shared" si="32"/>
        <v>#DIV/0!</v>
      </c>
      <c r="BN78" s="20" t="e">
        <f t="shared" si="33"/>
        <v>#DIV/0!</v>
      </c>
      <c r="BP78" s="22">
        <f t="shared" si="34"/>
        <v>0</v>
      </c>
      <c r="BS78" s="20" t="e">
        <f t="shared" si="35"/>
        <v>#DIV/0!</v>
      </c>
      <c r="BT78" s="20" t="e">
        <f t="shared" si="36"/>
        <v>#DIV/0!</v>
      </c>
      <c r="BX78" s="20" t="e">
        <f t="shared" si="37"/>
        <v>#DIV/0!</v>
      </c>
    </row>
    <row r="79" spans="2:76" x14ac:dyDescent="0.3">
      <c r="B79" s="63">
        <v>2024</v>
      </c>
      <c r="C79" t="s">
        <v>105</v>
      </c>
      <c r="D79">
        <v>321</v>
      </c>
      <c r="E79">
        <v>3</v>
      </c>
      <c r="F79">
        <v>9</v>
      </c>
      <c r="G79" t="s">
        <v>42</v>
      </c>
      <c r="H79">
        <v>9</v>
      </c>
      <c r="I79" s="23" t="s">
        <v>33</v>
      </c>
      <c r="L79" s="21" t="e">
        <f t="shared" si="19"/>
        <v>#DIV/0!</v>
      </c>
      <c r="Q79" s="20" t="e">
        <f t="shared" si="20"/>
        <v>#DIV/0!</v>
      </c>
      <c r="V79" s="20" t="e">
        <f t="shared" si="21"/>
        <v>#DIV/0!</v>
      </c>
      <c r="AA79" s="20" t="e">
        <f t="shared" si="22"/>
        <v>#DIV/0!</v>
      </c>
      <c r="AF79" s="20" t="e">
        <f t="shared" si="23"/>
        <v>#DIV/0!</v>
      </c>
      <c r="AK79" s="20" t="e">
        <f t="shared" si="24"/>
        <v>#DIV/0!</v>
      </c>
      <c r="AP79" s="20" t="e">
        <f t="shared" si="25"/>
        <v>#DIV/0!</v>
      </c>
      <c r="AV79" s="20" t="e">
        <f t="shared" si="26"/>
        <v>#DIV/0!</v>
      </c>
      <c r="AZ79" s="20">
        <f t="shared" si="27"/>
        <v>0</v>
      </c>
      <c r="BD79" s="20">
        <f t="shared" si="28"/>
        <v>0</v>
      </c>
      <c r="BH79" s="20">
        <f t="shared" si="29"/>
        <v>0</v>
      </c>
      <c r="BK79" s="17" t="e">
        <f t="shared" si="30"/>
        <v>#DIV/0!</v>
      </c>
      <c r="BL79" s="17" t="e">
        <f t="shared" si="31"/>
        <v>#DIV/0!</v>
      </c>
      <c r="BM79" s="18" t="e">
        <f t="shared" si="32"/>
        <v>#DIV/0!</v>
      </c>
      <c r="BN79" s="20" t="e">
        <f t="shared" si="33"/>
        <v>#DIV/0!</v>
      </c>
      <c r="BP79" s="22">
        <f t="shared" si="34"/>
        <v>0</v>
      </c>
      <c r="BS79" s="20" t="e">
        <f t="shared" si="35"/>
        <v>#DIV/0!</v>
      </c>
      <c r="BT79" s="20" t="e">
        <f t="shared" si="36"/>
        <v>#DIV/0!</v>
      </c>
      <c r="BX79" s="20" t="e">
        <f t="shared" si="37"/>
        <v>#DIV/0!</v>
      </c>
    </row>
    <row r="80" spans="2:76" x14ac:dyDescent="0.3">
      <c r="B80" s="63">
        <v>2024</v>
      </c>
      <c r="C80" t="s">
        <v>105</v>
      </c>
      <c r="D80">
        <v>322</v>
      </c>
      <c r="E80">
        <v>3</v>
      </c>
      <c r="F80">
        <v>3</v>
      </c>
      <c r="G80" t="s">
        <v>42</v>
      </c>
      <c r="H80">
        <v>3</v>
      </c>
      <c r="I80" s="23" t="s">
        <v>39</v>
      </c>
      <c r="L80" s="21" t="e">
        <f t="shared" si="19"/>
        <v>#DIV/0!</v>
      </c>
      <c r="Q80" s="20" t="e">
        <f t="shared" si="20"/>
        <v>#DIV/0!</v>
      </c>
      <c r="V80" s="20" t="e">
        <f t="shared" si="21"/>
        <v>#DIV/0!</v>
      </c>
      <c r="AA80" s="20" t="e">
        <f t="shared" si="22"/>
        <v>#DIV/0!</v>
      </c>
      <c r="AF80" s="20" t="e">
        <f t="shared" si="23"/>
        <v>#DIV/0!</v>
      </c>
      <c r="AK80" s="20" t="e">
        <f t="shared" si="24"/>
        <v>#DIV/0!</v>
      </c>
      <c r="AP80" s="20" t="e">
        <f t="shared" si="25"/>
        <v>#DIV/0!</v>
      </c>
      <c r="AV80" s="20" t="e">
        <f t="shared" si="26"/>
        <v>#DIV/0!</v>
      </c>
      <c r="AZ80" s="20">
        <f t="shared" si="27"/>
        <v>0</v>
      </c>
      <c r="BD80" s="20">
        <f t="shared" si="28"/>
        <v>0</v>
      </c>
      <c r="BH80" s="20">
        <f t="shared" si="29"/>
        <v>0</v>
      </c>
      <c r="BK80" s="17" t="e">
        <f t="shared" si="30"/>
        <v>#DIV/0!</v>
      </c>
      <c r="BL80" s="17" t="e">
        <f t="shared" si="31"/>
        <v>#DIV/0!</v>
      </c>
      <c r="BM80" s="18" t="e">
        <f t="shared" si="32"/>
        <v>#DIV/0!</v>
      </c>
      <c r="BN80" s="20" t="e">
        <f t="shared" si="33"/>
        <v>#DIV/0!</v>
      </c>
      <c r="BP80" s="22">
        <f t="shared" si="34"/>
        <v>0</v>
      </c>
      <c r="BS80" s="20" t="e">
        <f t="shared" si="35"/>
        <v>#DIV/0!</v>
      </c>
      <c r="BT80" s="20" t="e">
        <f t="shared" si="36"/>
        <v>#DIV/0!</v>
      </c>
      <c r="BX80" s="20" t="e">
        <f t="shared" si="37"/>
        <v>#DIV/0!</v>
      </c>
    </row>
    <row r="81" spans="2:76" x14ac:dyDescent="0.3">
      <c r="B81" s="63">
        <v>2024</v>
      </c>
      <c r="C81" t="s">
        <v>105</v>
      </c>
      <c r="D81">
        <v>323</v>
      </c>
      <c r="E81">
        <v>3</v>
      </c>
      <c r="F81">
        <v>5</v>
      </c>
      <c r="G81" t="s">
        <v>42</v>
      </c>
      <c r="H81">
        <v>5</v>
      </c>
      <c r="I81" s="23" t="s">
        <v>31</v>
      </c>
      <c r="L81" s="21" t="e">
        <f t="shared" si="19"/>
        <v>#DIV/0!</v>
      </c>
      <c r="Q81" s="20" t="e">
        <f t="shared" si="20"/>
        <v>#DIV/0!</v>
      </c>
      <c r="V81" s="20" t="e">
        <f t="shared" si="21"/>
        <v>#DIV/0!</v>
      </c>
      <c r="AA81" s="20" t="e">
        <f t="shared" si="22"/>
        <v>#DIV/0!</v>
      </c>
      <c r="AF81" s="20" t="e">
        <f t="shared" si="23"/>
        <v>#DIV/0!</v>
      </c>
      <c r="AK81" s="20" t="e">
        <f t="shared" si="24"/>
        <v>#DIV/0!</v>
      </c>
      <c r="AP81" s="20" t="e">
        <f t="shared" si="25"/>
        <v>#DIV/0!</v>
      </c>
      <c r="AV81" s="20" t="e">
        <f t="shared" si="26"/>
        <v>#DIV/0!</v>
      </c>
      <c r="AZ81" s="20">
        <f t="shared" si="27"/>
        <v>0</v>
      </c>
      <c r="BD81" s="20">
        <f t="shared" si="28"/>
        <v>0</v>
      </c>
      <c r="BH81" s="20">
        <f t="shared" si="29"/>
        <v>0</v>
      </c>
      <c r="BK81" s="17" t="e">
        <f t="shared" si="30"/>
        <v>#DIV/0!</v>
      </c>
      <c r="BL81" s="17" t="e">
        <f t="shared" si="31"/>
        <v>#DIV/0!</v>
      </c>
      <c r="BM81" s="18" t="e">
        <f t="shared" si="32"/>
        <v>#DIV/0!</v>
      </c>
      <c r="BN81" s="20" t="e">
        <f t="shared" si="33"/>
        <v>#DIV/0!</v>
      </c>
      <c r="BP81" s="22">
        <f t="shared" si="34"/>
        <v>0</v>
      </c>
      <c r="BS81" s="20" t="e">
        <f t="shared" si="35"/>
        <v>#DIV/0!</v>
      </c>
      <c r="BT81" s="20" t="e">
        <f t="shared" si="36"/>
        <v>#DIV/0!</v>
      </c>
      <c r="BX81" s="20" t="e">
        <f t="shared" si="37"/>
        <v>#DIV/0!</v>
      </c>
    </row>
    <row r="82" spans="2:76" x14ac:dyDescent="0.3">
      <c r="B82" s="63">
        <v>2024</v>
      </c>
      <c r="C82" t="s">
        <v>105</v>
      </c>
      <c r="D82">
        <v>324</v>
      </c>
      <c r="E82">
        <v>3</v>
      </c>
      <c r="F82">
        <v>1</v>
      </c>
      <c r="G82" t="s">
        <v>42</v>
      </c>
      <c r="H82">
        <v>1</v>
      </c>
      <c r="I82" s="23" t="s">
        <v>37</v>
      </c>
      <c r="L82" s="21" t="e">
        <f t="shared" si="19"/>
        <v>#DIV/0!</v>
      </c>
      <c r="Q82" s="20" t="e">
        <f t="shared" si="20"/>
        <v>#DIV/0!</v>
      </c>
      <c r="V82" s="20" t="e">
        <f t="shared" si="21"/>
        <v>#DIV/0!</v>
      </c>
      <c r="AA82" s="20" t="e">
        <f t="shared" si="22"/>
        <v>#DIV/0!</v>
      </c>
      <c r="AF82" s="20" t="e">
        <f t="shared" si="23"/>
        <v>#DIV/0!</v>
      </c>
      <c r="AK82" s="20" t="e">
        <f t="shared" si="24"/>
        <v>#DIV/0!</v>
      </c>
      <c r="AP82" s="20" t="e">
        <f t="shared" si="25"/>
        <v>#DIV/0!</v>
      </c>
      <c r="AV82" s="20" t="e">
        <f t="shared" si="26"/>
        <v>#DIV/0!</v>
      </c>
      <c r="AZ82" s="20">
        <f t="shared" si="27"/>
        <v>0</v>
      </c>
      <c r="BD82" s="20">
        <f t="shared" si="28"/>
        <v>0</v>
      </c>
      <c r="BH82" s="20">
        <f t="shared" si="29"/>
        <v>0</v>
      </c>
      <c r="BK82" s="17" t="e">
        <f t="shared" si="30"/>
        <v>#DIV/0!</v>
      </c>
      <c r="BL82" s="17" t="e">
        <f t="shared" si="31"/>
        <v>#DIV/0!</v>
      </c>
      <c r="BM82" s="18" t="e">
        <f t="shared" si="32"/>
        <v>#DIV/0!</v>
      </c>
      <c r="BN82" s="20" t="e">
        <f t="shared" si="33"/>
        <v>#DIV/0!</v>
      </c>
      <c r="BP82" s="22">
        <f t="shared" si="34"/>
        <v>0</v>
      </c>
      <c r="BS82" s="20" t="e">
        <f t="shared" si="35"/>
        <v>#DIV/0!</v>
      </c>
      <c r="BT82" s="20" t="e">
        <f t="shared" si="36"/>
        <v>#DIV/0!</v>
      </c>
      <c r="BX82" s="20" t="e">
        <f t="shared" si="37"/>
        <v>#DIV/0!</v>
      </c>
    </row>
    <row r="83" spans="2:76" x14ac:dyDescent="0.3">
      <c r="B83" s="63">
        <v>2024</v>
      </c>
      <c r="C83" t="s">
        <v>105</v>
      </c>
      <c r="D83">
        <v>325</v>
      </c>
      <c r="E83">
        <v>3</v>
      </c>
      <c r="F83">
        <v>7</v>
      </c>
      <c r="G83" t="s">
        <v>42</v>
      </c>
      <c r="H83">
        <v>7</v>
      </c>
      <c r="I83" s="23" t="s">
        <v>34</v>
      </c>
      <c r="L83" s="21" t="e">
        <f t="shared" si="19"/>
        <v>#DIV/0!</v>
      </c>
      <c r="Q83" s="20" t="e">
        <f t="shared" si="20"/>
        <v>#DIV/0!</v>
      </c>
      <c r="V83" s="20" t="e">
        <f t="shared" si="21"/>
        <v>#DIV/0!</v>
      </c>
      <c r="AA83" s="20" t="e">
        <f t="shared" si="22"/>
        <v>#DIV/0!</v>
      </c>
      <c r="AF83" s="20" t="e">
        <f t="shared" si="23"/>
        <v>#DIV/0!</v>
      </c>
      <c r="AK83" s="20" t="e">
        <f t="shared" si="24"/>
        <v>#DIV/0!</v>
      </c>
      <c r="AP83" s="20" t="e">
        <f t="shared" si="25"/>
        <v>#DIV/0!</v>
      </c>
      <c r="AV83" s="20" t="e">
        <f t="shared" si="26"/>
        <v>#DIV/0!</v>
      </c>
      <c r="AZ83" s="20">
        <f t="shared" si="27"/>
        <v>0</v>
      </c>
      <c r="BD83" s="20">
        <f t="shared" si="28"/>
        <v>0</v>
      </c>
      <c r="BH83" s="20">
        <f t="shared" si="29"/>
        <v>0</v>
      </c>
      <c r="BK83" s="17" t="e">
        <f t="shared" si="30"/>
        <v>#DIV/0!</v>
      </c>
      <c r="BL83" s="17" t="e">
        <f t="shared" si="31"/>
        <v>#DIV/0!</v>
      </c>
      <c r="BM83" s="18" t="e">
        <f t="shared" si="32"/>
        <v>#DIV/0!</v>
      </c>
      <c r="BN83" s="20" t="e">
        <f t="shared" si="33"/>
        <v>#DIV/0!</v>
      </c>
      <c r="BP83" s="22">
        <f t="shared" si="34"/>
        <v>0</v>
      </c>
      <c r="BS83" s="20" t="e">
        <f t="shared" si="35"/>
        <v>#DIV/0!</v>
      </c>
      <c r="BT83" s="20" t="e">
        <f t="shared" si="36"/>
        <v>#DIV/0!</v>
      </c>
      <c r="BX83" s="20" t="e">
        <f t="shared" si="37"/>
        <v>#DIV/0!</v>
      </c>
    </row>
    <row r="84" spans="2:76" x14ac:dyDescent="0.3">
      <c r="B84" s="63">
        <v>2024</v>
      </c>
      <c r="C84" t="s">
        <v>105</v>
      </c>
      <c r="D84">
        <v>326</v>
      </c>
      <c r="E84">
        <v>3</v>
      </c>
      <c r="F84">
        <v>2</v>
      </c>
      <c r="G84" t="s">
        <v>42</v>
      </c>
      <c r="H84">
        <v>2</v>
      </c>
      <c r="I84" s="23" t="s">
        <v>32</v>
      </c>
      <c r="L84" s="21" t="e">
        <f t="shared" si="19"/>
        <v>#DIV/0!</v>
      </c>
      <c r="Q84" s="20" t="e">
        <f t="shared" si="20"/>
        <v>#DIV/0!</v>
      </c>
      <c r="V84" s="20" t="e">
        <f t="shared" si="21"/>
        <v>#DIV/0!</v>
      </c>
      <c r="AA84" s="20" t="e">
        <f t="shared" si="22"/>
        <v>#DIV/0!</v>
      </c>
      <c r="AF84" s="20" t="e">
        <f t="shared" si="23"/>
        <v>#DIV/0!</v>
      </c>
      <c r="AK84" s="20" t="e">
        <f t="shared" si="24"/>
        <v>#DIV/0!</v>
      </c>
      <c r="AP84" s="20" t="e">
        <f t="shared" si="25"/>
        <v>#DIV/0!</v>
      </c>
      <c r="AV84" s="20" t="e">
        <f t="shared" si="26"/>
        <v>#DIV/0!</v>
      </c>
      <c r="AZ84" s="20">
        <f t="shared" si="27"/>
        <v>0</v>
      </c>
      <c r="BD84" s="20">
        <f t="shared" si="28"/>
        <v>0</v>
      </c>
      <c r="BH84" s="20">
        <f t="shared" si="29"/>
        <v>0</v>
      </c>
      <c r="BK84" s="17" t="e">
        <f t="shared" si="30"/>
        <v>#DIV/0!</v>
      </c>
      <c r="BL84" s="17" t="e">
        <f t="shared" si="31"/>
        <v>#DIV/0!</v>
      </c>
      <c r="BM84" s="18" t="e">
        <f t="shared" si="32"/>
        <v>#DIV/0!</v>
      </c>
      <c r="BN84" s="20" t="e">
        <f t="shared" si="33"/>
        <v>#DIV/0!</v>
      </c>
      <c r="BP84" s="22">
        <f t="shared" si="34"/>
        <v>0</v>
      </c>
      <c r="BS84" s="20" t="e">
        <f t="shared" si="35"/>
        <v>#DIV/0!</v>
      </c>
      <c r="BT84" s="20" t="e">
        <f t="shared" si="36"/>
        <v>#DIV/0!</v>
      </c>
      <c r="BX84" s="20" t="e">
        <f t="shared" si="37"/>
        <v>#DIV/0!</v>
      </c>
    </row>
    <row r="85" spans="2:76" x14ac:dyDescent="0.3">
      <c r="B85" s="63">
        <v>2024</v>
      </c>
      <c r="C85" t="s">
        <v>105</v>
      </c>
      <c r="D85">
        <v>327</v>
      </c>
      <c r="E85">
        <v>3</v>
      </c>
      <c r="F85">
        <v>8</v>
      </c>
      <c r="G85" t="s">
        <v>42</v>
      </c>
      <c r="H85">
        <v>8</v>
      </c>
      <c r="I85" s="23" t="s">
        <v>38</v>
      </c>
      <c r="L85" s="21" t="e">
        <f t="shared" si="19"/>
        <v>#DIV/0!</v>
      </c>
      <c r="Q85" s="20" t="e">
        <f t="shared" si="20"/>
        <v>#DIV/0!</v>
      </c>
      <c r="V85" s="20" t="e">
        <f t="shared" si="21"/>
        <v>#DIV/0!</v>
      </c>
      <c r="AA85" s="20" t="e">
        <f t="shared" si="22"/>
        <v>#DIV/0!</v>
      </c>
      <c r="AF85" s="20" t="e">
        <f t="shared" si="23"/>
        <v>#DIV/0!</v>
      </c>
      <c r="AK85" s="20" t="e">
        <f t="shared" si="24"/>
        <v>#DIV/0!</v>
      </c>
      <c r="AP85" s="20" t="e">
        <f t="shared" si="25"/>
        <v>#DIV/0!</v>
      </c>
      <c r="AV85" s="20" t="e">
        <f t="shared" si="26"/>
        <v>#DIV/0!</v>
      </c>
      <c r="AZ85" s="20">
        <f t="shared" si="27"/>
        <v>0</v>
      </c>
      <c r="BD85" s="20">
        <f t="shared" si="28"/>
        <v>0</v>
      </c>
      <c r="BH85" s="20">
        <f t="shared" si="29"/>
        <v>0</v>
      </c>
      <c r="BK85" s="17" t="e">
        <f t="shared" si="30"/>
        <v>#DIV/0!</v>
      </c>
      <c r="BL85" s="17" t="e">
        <f t="shared" si="31"/>
        <v>#DIV/0!</v>
      </c>
      <c r="BM85" s="18" t="e">
        <f t="shared" si="32"/>
        <v>#DIV/0!</v>
      </c>
      <c r="BN85" s="20" t="e">
        <f t="shared" si="33"/>
        <v>#DIV/0!</v>
      </c>
      <c r="BP85" s="22">
        <f t="shared" si="34"/>
        <v>0</v>
      </c>
      <c r="BS85" s="20" t="e">
        <f t="shared" si="35"/>
        <v>#DIV/0!</v>
      </c>
      <c r="BT85" s="20" t="e">
        <f t="shared" si="36"/>
        <v>#DIV/0!</v>
      </c>
      <c r="BX85" s="20" t="e">
        <f t="shared" si="37"/>
        <v>#DIV/0!</v>
      </c>
    </row>
    <row r="86" spans="2:76" x14ac:dyDescent="0.3">
      <c r="B86" s="63">
        <v>2024</v>
      </c>
      <c r="C86" t="s">
        <v>105</v>
      </c>
      <c r="D86">
        <v>401</v>
      </c>
      <c r="E86">
        <v>4</v>
      </c>
      <c r="F86">
        <v>23</v>
      </c>
      <c r="G86" t="s">
        <v>41</v>
      </c>
      <c r="H86">
        <v>5</v>
      </c>
      <c r="I86" s="64" t="s">
        <v>31</v>
      </c>
      <c r="L86" s="21" t="e">
        <f t="shared" si="19"/>
        <v>#DIV/0!</v>
      </c>
      <c r="Q86" s="20" t="e">
        <f t="shared" si="20"/>
        <v>#DIV/0!</v>
      </c>
      <c r="V86" s="20" t="e">
        <f t="shared" si="21"/>
        <v>#DIV/0!</v>
      </c>
      <c r="AA86" s="20" t="e">
        <f t="shared" si="22"/>
        <v>#DIV/0!</v>
      </c>
      <c r="AF86" s="20" t="e">
        <f t="shared" si="23"/>
        <v>#DIV/0!</v>
      </c>
      <c r="AK86" s="20" t="e">
        <f t="shared" si="24"/>
        <v>#DIV/0!</v>
      </c>
      <c r="AP86" s="20" t="e">
        <f t="shared" si="25"/>
        <v>#DIV/0!</v>
      </c>
      <c r="AV86" s="20" t="e">
        <f t="shared" si="26"/>
        <v>#DIV/0!</v>
      </c>
      <c r="AZ86" s="20">
        <f t="shared" si="27"/>
        <v>0</v>
      </c>
      <c r="BD86" s="20">
        <f t="shared" si="28"/>
        <v>0</v>
      </c>
      <c r="BH86" s="20">
        <f t="shared" si="29"/>
        <v>0</v>
      </c>
      <c r="BK86" s="17" t="e">
        <f t="shared" si="30"/>
        <v>#DIV/0!</v>
      </c>
      <c r="BL86" s="17" t="e">
        <f t="shared" si="31"/>
        <v>#DIV/0!</v>
      </c>
      <c r="BM86" s="18" t="e">
        <f t="shared" si="32"/>
        <v>#DIV/0!</v>
      </c>
      <c r="BN86" s="20" t="e">
        <f t="shared" si="33"/>
        <v>#DIV/0!</v>
      </c>
      <c r="BP86" s="22">
        <f t="shared" si="34"/>
        <v>0</v>
      </c>
      <c r="BS86" s="20" t="e">
        <f t="shared" si="35"/>
        <v>#DIV/0!</v>
      </c>
      <c r="BT86" s="20" t="e">
        <f t="shared" si="36"/>
        <v>#DIV/0!</v>
      </c>
      <c r="BX86" s="20" t="e">
        <f t="shared" si="37"/>
        <v>#DIV/0!</v>
      </c>
    </row>
    <row r="87" spans="2:76" x14ac:dyDescent="0.3">
      <c r="B87" s="63">
        <v>2024</v>
      </c>
      <c r="C87" t="s">
        <v>105</v>
      </c>
      <c r="D87">
        <v>402</v>
      </c>
      <c r="E87">
        <v>4</v>
      </c>
      <c r="F87">
        <v>20</v>
      </c>
      <c r="G87" t="s">
        <v>41</v>
      </c>
      <c r="H87">
        <v>2</v>
      </c>
      <c r="I87" s="64" t="s">
        <v>32</v>
      </c>
      <c r="L87" s="21" t="e">
        <f t="shared" si="19"/>
        <v>#DIV/0!</v>
      </c>
      <c r="Q87" s="20" t="e">
        <f t="shared" si="20"/>
        <v>#DIV/0!</v>
      </c>
      <c r="V87" s="20" t="e">
        <f t="shared" si="21"/>
        <v>#DIV/0!</v>
      </c>
      <c r="AA87" s="20" t="e">
        <f t="shared" si="22"/>
        <v>#DIV/0!</v>
      </c>
      <c r="AF87" s="20" t="e">
        <f t="shared" si="23"/>
        <v>#DIV/0!</v>
      </c>
      <c r="AK87" s="20" t="e">
        <f t="shared" si="24"/>
        <v>#DIV/0!</v>
      </c>
      <c r="AP87" s="20" t="e">
        <f t="shared" si="25"/>
        <v>#DIV/0!</v>
      </c>
      <c r="AV87" s="20" t="e">
        <f t="shared" si="26"/>
        <v>#DIV/0!</v>
      </c>
      <c r="AZ87" s="20">
        <f t="shared" si="27"/>
        <v>0</v>
      </c>
      <c r="BD87" s="20">
        <f t="shared" si="28"/>
        <v>0</v>
      </c>
      <c r="BH87" s="20">
        <f t="shared" si="29"/>
        <v>0</v>
      </c>
      <c r="BK87" s="17" t="e">
        <f t="shared" si="30"/>
        <v>#DIV/0!</v>
      </c>
      <c r="BL87" s="17" t="e">
        <f t="shared" si="31"/>
        <v>#DIV/0!</v>
      </c>
      <c r="BM87" s="18" t="e">
        <f t="shared" si="32"/>
        <v>#DIV/0!</v>
      </c>
      <c r="BN87" s="20" t="e">
        <f t="shared" si="33"/>
        <v>#DIV/0!</v>
      </c>
      <c r="BP87" s="22">
        <f t="shared" si="34"/>
        <v>0</v>
      </c>
      <c r="BS87" s="20" t="e">
        <f t="shared" si="35"/>
        <v>#DIV/0!</v>
      </c>
      <c r="BT87" s="20" t="e">
        <f t="shared" si="36"/>
        <v>#DIV/0!</v>
      </c>
      <c r="BX87" s="20" t="e">
        <f t="shared" si="37"/>
        <v>#DIV/0!</v>
      </c>
    </row>
    <row r="88" spans="2:76" x14ac:dyDescent="0.3">
      <c r="B88" s="63">
        <v>2024</v>
      </c>
      <c r="C88" t="s">
        <v>105</v>
      </c>
      <c r="D88">
        <v>403</v>
      </c>
      <c r="E88">
        <v>4</v>
      </c>
      <c r="F88">
        <v>27</v>
      </c>
      <c r="G88" t="s">
        <v>41</v>
      </c>
      <c r="H88">
        <v>9</v>
      </c>
      <c r="I88" s="64" t="s">
        <v>33</v>
      </c>
      <c r="L88" s="21" t="e">
        <f t="shared" si="19"/>
        <v>#DIV/0!</v>
      </c>
      <c r="Q88" s="20" t="e">
        <f t="shared" si="20"/>
        <v>#DIV/0!</v>
      </c>
      <c r="V88" s="20" t="e">
        <f t="shared" si="21"/>
        <v>#DIV/0!</v>
      </c>
      <c r="AA88" s="20" t="e">
        <f t="shared" si="22"/>
        <v>#DIV/0!</v>
      </c>
      <c r="AF88" s="20" t="e">
        <f t="shared" si="23"/>
        <v>#DIV/0!</v>
      </c>
      <c r="AK88" s="20" t="e">
        <f t="shared" si="24"/>
        <v>#DIV/0!</v>
      </c>
      <c r="AP88" s="20" t="e">
        <f t="shared" si="25"/>
        <v>#DIV/0!</v>
      </c>
      <c r="AV88" s="20" t="e">
        <f t="shared" si="26"/>
        <v>#DIV/0!</v>
      </c>
      <c r="AZ88" s="20">
        <f t="shared" si="27"/>
        <v>0</v>
      </c>
      <c r="BD88" s="20">
        <f t="shared" si="28"/>
        <v>0</v>
      </c>
      <c r="BH88" s="20">
        <f t="shared" si="29"/>
        <v>0</v>
      </c>
      <c r="BK88" s="17" t="e">
        <f t="shared" si="30"/>
        <v>#DIV/0!</v>
      </c>
      <c r="BL88" s="17" t="e">
        <f t="shared" si="31"/>
        <v>#DIV/0!</v>
      </c>
      <c r="BM88" s="18" t="e">
        <f t="shared" si="32"/>
        <v>#DIV/0!</v>
      </c>
      <c r="BN88" s="20" t="e">
        <f t="shared" si="33"/>
        <v>#DIV/0!</v>
      </c>
      <c r="BP88" s="22">
        <f t="shared" si="34"/>
        <v>0</v>
      </c>
      <c r="BS88" s="20" t="e">
        <f t="shared" si="35"/>
        <v>#DIV/0!</v>
      </c>
      <c r="BT88" s="20" t="e">
        <f t="shared" si="36"/>
        <v>#DIV/0!</v>
      </c>
      <c r="BX88" s="20" t="e">
        <f t="shared" si="37"/>
        <v>#DIV/0!</v>
      </c>
    </row>
    <row r="89" spans="2:76" x14ac:dyDescent="0.3">
      <c r="B89" s="63">
        <v>2024</v>
      </c>
      <c r="C89" t="s">
        <v>105</v>
      </c>
      <c r="D89">
        <v>404</v>
      </c>
      <c r="E89">
        <v>4</v>
      </c>
      <c r="F89">
        <v>25</v>
      </c>
      <c r="G89" t="s">
        <v>41</v>
      </c>
      <c r="H89">
        <v>7</v>
      </c>
      <c r="I89" s="64" t="s">
        <v>34</v>
      </c>
      <c r="L89" s="21" t="e">
        <f t="shared" si="19"/>
        <v>#DIV/0!</v>
      </c>
      <c r="Q89" s="20" t="e">
        <f t="shared" si="20"/>
        <v>#DIV/0!</v>
      </c>
      <c r="V89" s="20" t="e">
        <f t="shared" si="21"/>
        <v>#DIV/0!</v>
      </c>
      <c r="AA89" s="20" t="e">
        <f t="shared" si="22"/>
        <v>#DIV/0!</v>
      </c>
      <c r="AF89" s="20" t="e">
        <f t="shared" si="23"/>
        <v>#DIV/0!</v>
      </c>
      <c r="AK89" s="20" t="e">
        <f t="shared" si="24"/>
        <v>#DIV/0!</v>
      </c>
      <c r="AP89" s="20" t="e">
        <f t="shared" si="25"/>
        <v>#DIV/0!</v>
      </c>
      <c r="AV89" s="20" t="e">
        <f t="shared" si="26"/>
        <v>#DIV/0!</v>
      </c>
      <c r="AZ89" s="20">
        <f t="shared" si="27"/>
        <v>0</v>
      </c>
      <c r="BD89" s="20">
        <f t="shared" si="28"/>
        <v>0</v>
      </c>
      <c r="BH89" s="20">
        <f t="shared" si="29"/>
        <v>0</v>
      </c>
      <c r="BK89" s="17" t="e">
        <f t="shared" si="30"/>
        <v>#DIV/0!</v>
      </c>
      <c r="BL89" s="17" t="e">
        <f t="shared" si="31"/>
        <v>#DIV/0!</v>
      </c>
      <c r="BM89" s="18" t="e">
        <f t="shared" si="32"/>
        <v>#DIV/0!</v>
      </c>
      <c r="BN89" s="20" t="e">
        <f t="shared" si="33"/>
        <v>#DIV/0!</v>
      </c>
      <c r="BP89" s="22">
        <f t="shared" si="34"/>
        <v>0</v>
      </c>
      <c r="BS89" s="20" t="e">
        <f t="shared" si="35"/>
        <v>#DIV/0!</v>
      </c>
      <c r="BT89" s="20" t="e">
        <f t="shared" si="36"/>
        <v>#DIV/0!</v>
      </c>
      <c r="BX89" s="20" t="e">
        <f t="shared" si="37"/>
        <v>#DIV/0!</v>
      </c>
    </row>
    <row r="90" spans="2:76" x14ac:dyDescent="0.3">
      <c r="B90" s="63">
        <v>2024</v>
      </c>
      <c r="C90" t="s">
        <v>105</v>
      </c>
      <c r="D90">
        <v>405</v>
      </c>
      <c r="E90">
        <v>4</v>
      </c>
      <c r="F90">
        <v>24</v>
      </c>
      <c r="G90" t="s">
        <v>41</v>
      </c>
      <c r="H90">
        <v>6</v>
      </c>
      <c r="I90" s="64" t="s">
        <v>35</v>
      </c>
      <c r="L90" s="21" t="e">
        <f t="shared" si="19"/>
        <v>#DIV/0!</v>
      </c>
      <c r="Q90" s="20" t="e">
        <f t="shared" si="20"/>
        <v>#DIV/0!</v>
      </c>
      <c r="V90" s="20" t="e">
        <f t="shared" si="21"/>
        <v>#DIV/0!</v>
      </c>
      <c r="AA90" s="20" t="e">
        <f t="shared" si="22"/>
        <v>#DIV/0!</v>
      </c>
      <c r="AF90" s="20" t="e">
        <f t="shared" si="23"/>
        <v>#DIV/0!</v>
      </c>
      <c r="AK90" s="20" t="e">
        <f t="shared" si="24"/>
        <v>#DIV/0!</v>
      </c>
      <c r="AP90" s="20" t="e">
        <f t="shared" si="25"/>
        <v>#DIV/0!</v>
      </c>
      <c r="AV90" s="20" t="e">
        <f t="shared" si="26"/>
        <v>#DIV/0!</v>
      </c>
      <c r="AZ90" s="20">
        <f t="shared" si="27"/>
        <v>0</v>
      </c>
      <c r="BD90" s="20">
        <f t="shared" si="28"/>
        <v>0</v>
      </c>
      <c r="BH90" s="20">
        <f t="shared" si="29"/>
        <v>0</v>
      </c>
      <c r="BK90" s="17" t="e">
        <f t="shared" si="30"/>
        <v>#DIV/0!</v>
      </c>
      <c r="BL90" s="17" t="e">
        <f t="shared" si="31"/>
        <v>#DIV/0!</v>
      </c>
      <c r="BM90" s="18" t="e">
        <f t="shared" si="32"/>
        <v>#DIV/0!</v>
      </c>
      <c r="BN90" s="20" t="e">
        <f t="shared" si="33"/>
        <v>#DIV/0!</v>
      </c>
      <c r="BP90" s="22">
        <f t="shared" si="34"/>
        <v>0</v>
      </c>
      <c r="BS90" s="20" t="e">
        <f t="shared" si="35"/>
        <v>#DIV/0!</v>
      </c>
      <c r="BT90" s="20" t="e">
        <f t="shared" si="36"/>
        <v>#DIV/0!</v>
      </c>
      <c r="BX90" s="20" t="e">
        <f t="shared" si="37"/>
        <v>#DIV/0!</v>
      </c>
    </row>
    <row r="91" spans="2:76" x14ac:dyDescent="0.3">
      <c r="B91" s="63">
        <v>2024</v>
      </c>
      <c r="C91" t="s">
        <v>105</v>
      </c>
      <c r="D91">
        <v>406</v>
      </c>
      <c r="E91">
        <v>4</v>
      </c>
      <c r="F91">
        <v>22</v>
      </c>
      <c r="G91" t="s">
        <v>41</v>
      </c>
      <c r="H91">
        <v>4</v>
      </c>
      <c r="I91" s="64" t="s">
        <v>36</v>
      </c>
      <c r="L91" s="21" t="e">
        <f t="shared" si="19"/>
        <v>#DIV/0!</v>
      </c>
      <c r="Q91" s="20" t="e">
        <f t="shared" si="20"/>
        <v>#DIV/0!</v>
      </c>
      <c r="V91" s="20" t="e">
        <f t="shared" si="21"/>
        <v>#DIV/0!</v>
      </c>
      <c r="AA91" s="20" t="e">
        <f t="shared" si="22"/>
        <v>#DIV/0!</v>
      </c>
      <c r="AF91" s="20" t="e">
        <f t="shared" si="23"/>
        <v>#DIV/0!</v>
      </c>
      <c r="AK91" s="20" t="e">
        <f t="shared" si="24"/>
        <v>#DIV/0!</v>
      </c>
      <c r="AP91" s="20" t="e">
        <f t="shared" si="25"/>
        <v>#DIV/0!</v>
      </c>
      <c r="AV91" s="20" t="e">
        <f t="shared" si="26"/>
        <v>#DIV/0!</v>
      </c>
      <c r="AZ91" s="20">
        <f t="shared" si="27"/>
        <v>0</v>
      </c>
      <c r="BD91" s="20">
        <f t="shared" si="28"/>
        <v>0</v>
      </c>
      <c r="BH91" s="20">
        <f t="shared" si="29"/>
        <v>0</v>
      </c>
      <c r="BK91" s="17" t="e">
        <f t="shared" si="30"/>
        <v>#DIV/0!</v>
      </c>
      <c r="BL91" s="17" t="e">
        <f t="shared" si="31"/>
        <v>#DIV/0!</v>
      </c>
      <c r="BM91" s="18" t="e">
        <f t="shared" si="32"/>
        <v>#DIV/0!</v>
      </c>
      <c r="BN91" s="20" t="e">
        <f t="shared" si="33"/>
        <v>#DIV/0!</v>
      </c>
      <c r="BP91" s="22">
        <f t="shared" si="34"/>
        <v>0</v>
      </c>
      <c r="BS91" s="20" t="e">
        <f t="shared" si="35"/>
        <v>#DIV/0!</v>
      </c>
      <c r="BT91" s="20" t="e">
        <f t="shared" si="36"/>
        <v>#DIV/0!</v>
      </c>
      <c r="BX91" s="20" t="e">
        <f t="shared" si="37"/>
        <v>#DIV/0!</v>
      </c>
    </row>
    <row r="92" spans="2:76" x14ac:dyDescent="0.3">
      <c r="B92" s="63">
        <v>2024</v>
      </c>
      <c r="C92" t="s">
        <v>105</v>
      </c>
      <c r="D92">
        <v>407</v>
      </c>
      <c r="E92">
        <v>4</v>
      </c>
      <c r="F92">
        <v>19</v>
      </c>
      <c r="G92" t="s">
        <v>41</v>
      </c>
      <c r="H92">
        <v>1</v>
      </c>
      <c r="I92" s="64" t="s">
        <v>37</v>
      </c>
      <c r="L92" s="21" t="e">
        <f t="shared" si="19"/>
        <v>#DIV/0!</v>
      </c>
      <c r="Q92" s="20" t="e">
        <f t="shared" si="20"/>
        <v>#DIV/0!</v>
      </c>
      <c r="V92" s="20" t="e">
        <f t="shared" si="21"/>
        <v>#DIV/0!</v>
      </c>
      <c r="AA92" s="20" t="e">
        <f t="shared" si="22"/>
        <v>#DIV/0!</v>
      </c>
      <c r="AF92" s="20" t="e">
        <f t="shared" si="23"/>
        <v>#DIV/0!</v>
      </c>
      <c r="AK92" s="20" t="e">
        <f t="shared" si="24"/>
        <v>#DIV/0!</v>
      </c>
      <c r="AP92" s="20" t="e">
        <f t="shared" si="25"/>
        <v>#DIV/0!</v>
      </c>
      <c r="AV92" s="20" t="e">
        <f t="shared" si="26"/>
        <v>#DIV/0!</v>
      </c>
      <c r="AZ92" s="20">
        <f t="shared" si="27"/>
        <v>0</v>
      </c>
      <c r="BD92" s="20">
        <f t="shared" si="28"/>
        <v>0</v>
      </c>
      <c r="BH92" s="20">
        <f t="shared" si="29"/>
        <v>0</v>
      </c>
      <c r="BK92" s="17" t="e">
        <f t="shared" si="30"/>
        <v>#DIV/0!</v>
      </c>
      <c r="BL92" s="17" t="e">
        <f t="shared" si="31"/>
        <v>#DIV/0!</v>
      </c>
      <c r="BM92" s="18" t="e">
        <f t="shared" si="32"/>
        <v>#DIV/0!</v>
      </c>
      <c r="BN92" s="20" t="e">
        <f t="shared" si="33"/>
        <v>#DIV/0!</v>
      </c>
      <c r="BP92" s="22">
        <f t="shared" si="34"/>
        <v>0</v>
      </c>
      <c r="BS92" s="20" t="e">
        <f t="shared" si="35"/>
        <v>#DIV/0!</v>
      </c>
      <c r="BT92" s="20" t="e">
        <f t="shared" si="36"/>
        <v>#DIV/0!</v>
      </c>
      <c r="BX92" s="20" t="e">
        <f t="shared" si="37"/>
        <v>#DIV/0!</v>
      </c>
    </row>
    <row r="93" spans="2:76" x14ac:dyDescent="0.3">
      <c r="B93" s="63">
        <v>2024</v>
      </c>
      <c r="C93" t="s">
        <v>105</v>
      </c>
      <c r="D93">
        <v>408</v>
      </c>
      <c r="E93">
        <v>4</v>
      </c>
      <c r="F93">
        <v>26</v>
      </c>
      <c r="G93" t="s">
        <v>41</v>
      </c>
      <c r="H93">
        <v>8</v>
      </c>
      <c r="I93" s="64" t="s">
        <v>38</v>
      </c>
      <c r="L93" s="21" t="e">
        <f t="shared" si="19"/>
        <v>#DIV/0!</v>
      </c>
      <c r="Q93" s="20" t="e">
        <f t="shared" si="20"/>
        <v>#DIV/0!</v>
      </c>
      <c r="V93" s="20" t="e">
        <f t="shared" si="21"/>
        <v>#DIV/0!</v>
      </c>
      <c r="AA93" s="20" t="e">
        <f t="shared" si="22"/>
        <v>#DIV/0!</v>
      </c>
      <c r="AF93" s="20" t="e">
        <f t="shared" si="23"/>
        <v>#DIV/0!</v>
      </c>
      <c r="AK93" s="20" t="e">
        <f t="shared" si="24"/>
        <v>#DIV/0!</v>
      </c>
      <c r="AP93" s="20" t="e">
        <f t="shared" si="25"/>
        <v>#DIV/0!</v>
      </c>
      <c r="AV93" s="20" t="e">
        <f t="shared" si="26"/>
        <v>#DIV/0!</v>
      </c>
      <c r="AZ93" s="20">
        <f t="shared" si="27"/>
        <v>0</v>
      </c>
      <c r="BD93" s="20">
        <f t="shared" si="28"/>
        <v>0</v>
      </c>
      <c r="BH93" s="20">
        <f t="shared" si="29"/>
        <v>0</v>
      </c>
      <c r="BK93" s="17" t="e">
        <f t="shared" si="30"/>
        <v>#DIV/0!</v>
      </c>
      <c r="BL93" s="17" t="e">
        <f t="shared" si="31"/>
        <v>#DIV/0!</v>
      </c>
      <c r="BM93" s="18" t="e">
        <f t="shared" si="32"/>
        <v>#DIV/0!</v>
      </c>
      <c r="BN93" s="20" t="e">
        <f t="shared" si="33"/>
        <v>#DIV/0!</v>
      </c>
      <c r="BP93" s="22">
        <f t="shared" si="34"/>
        <v>0</v>
      </c>
      <c r="BS93" s="20" t="e">
        <f t="shared" si="35"/>
        <v>#DIV/0!</v>
      </c>
      <c r="BT93" s="20" t="e">
        <f t="shared" si="36"/>
        <v>#DIV/0!</v>
      </c>
      <c r="BX93" s="20" t="e">
        <f t="shared" si="37"/>
        <v>#DIV/0!</v>
      </c>
    </row>
    <row r="94" spans="2:76" x14ac:dyDescent="0.3">
      <c r="B94" s="63">
        <v>2024</v>
      </c>
      <c r="C94" t="s">
        <v>105</v>
      </c>
      <c r="D94">
        <v>409</v>
      </c>
      <c r="E94">
        <v>4</v>
      </c>
      <c r="F94">
        <v>21</v>
      </c>
      <c r="G94" t="s">
        <v>41</v>
      </c>
      <c r="H94">
        <v>3</v>
      </c>
      <c r="I94" s="64" t="s">
        <v>39</v>
      </c>
      <c r="L94" s="21" t="e">
        <f t="shared" si="19"/>
        <v>#DIV/0!</v>
      </c>
      <c r="Q94" s="20" t="e">
        <f t="shared" si="20"/>
        <v>#DIV/0!</v>
      </c>
      <c r="V94" s="20" t="e">
        <f t="shared" si="21"/>
        <v>#DIV/0!</v>
      </c>
      <c r="AA94" s="20" t="e">
        <f t="shared" si="22"/>
        <v>#DIV/0!</v>
      </c>
      <c r="AF94" s="20" t="e">
        <f t="shared" si="23"/>
        <v>#DIV/0!</v>
      </c>
      <c r="AK94" s="20" t="e">
        <f t="shared" si="24"/>
        <v>#DIV/0!</v>
      </c>
      <c r="AP94" s="20" t="e">
        <f t="shared" si="25"/>
        <v>#DIV/0!</v>
      </c>
      <c r="AV94" s="20" t="e">
        <f t="shared" si="26"/>
        <v>#DIV/0!</v>
      </c>
      <c r="AZ94" s="20">
        <f t="shared" si="27"/>
        <v>0</v>
      </c>
      <c r="BD94" s="20">
        <f t="shared" si="28"/>
        <v>0</v>
      </c>
      <c r="BH94" s="20">
        <f t="shared" si="29"/>
        <v>0</v>
      </c>
      <c r="BK94" s="17" t="e">
        <f t="shared" si="30"/>
        <v>#DIV/0!</v>
      </c>
      <c r="BL94" s="17" t="e">
        <f t="shared" si="31"/>
        <v>#DIV/0!</v>
      </c>
      <c r="BM94" s="18" t="e">
        <f t="shared" si="32"/>
        <v>#DIV/0!</v>
      </c>
      <c r="BN94" s="20" t="e">
        <f t="shared" si="33"/>
        <v>#DIV/0!</v>
      </c>
      <c r="BP94" s="22">
        <f t="shared" si="34"/>
        <v>0</v>
      </c>
      <c r="BS94" s="20" t="e">
        <f t="shared" si="35"/>
        <v>#DIV/0!</v>
      </c>
      <c r="BT94" s="20" t="e">
        <f t="shared" si="36"/>
        <v>#DIV/0!</v>
      </c>
      <c r="BX94" s="20" t="e">
        <f t="shared" si="37"/>
        <v>#DIV/0!</v>
      </c>
    </row>
    <row r="95" spans="2:76" x14ac:dyDescent="0.3">
      <c r="B95" s="63">
        <v>2024</v>
      </c>
      <c r="C95" t="s">
        <v>105</v>
      </c>
      <c r="D95">
        <v>410</v>
      </c>
      <c r="E95">
        <v>4</v>
      </c>
      <c r="F95">
        <v>7</v>
      </c>
      <c r="G95" t="s">
        <v>42</v>
      </c>
      <c r="H95">
        <v>7</v>
      </c>
      <c r="I95" s="64" t="s">
        <v>34</v>
      </c>
      <c r="L95" s="21" t="e">
        <f t="shared" si="19"/>
        <v>#DIV/0!</v>
      </c>
      <c r="Q95" s="20" t="e">
        <f t="shared" si="20"/>
        <v>#DIV/0!</v>
      </c>
      <c r="V95" s="20" t="e">
        <f t="shared" si="21"/>
        <v>#DIV/0!</v>
      </c>
      <c r="AA95" s="20" t="e">
        <f t="shared" si="22"/>
        <v>#DIV/0!</v>
      </c>
      <c r="AF95" s="20" t="e">
        <f t="shared" si="23"/>
        <v>#DIV/0!</v>
      </c>
      <c r="AK95" s="20" t="e">
        <f t="shared" si="24"/>
        <v>#DIV/0!</v>
      </c>
      <c r="AP95" s="20" t="e">
        <f t="shared" si="25"/>
        <v>#DIV/0!</v>
      </c>
      <c r="AV95" s="20" t="e">
        <f t="shared" si="26"/>
        <v>#DIV/0!</v>
      </c>
      <c r="AZ95" s="20">
        <f t="shared" si="27"/>
        <v>0</v>
      </c>
      <c r="BD95" s="20">
        <f t="shared" si="28"/>
        <v>0</v>
      </c>
      <c r="BH95" s="20">
        <f t="shared" si="29"/>
        <v>0</v>
      </c>
      <c r="BK95" s="17" t="e">
        <f t="shared" si="30"/>
        <v>#DIV/0!</v>
      </c>
      <c r="BL95" s="17" t="e">
        <f t="shared" si="31"/>
        <v>#DIV/0!</v>
      </c>
      <c r="BM95" s="18" t="e">
        <f t="shared" si="32"/>
        <v>#DIV/0!</v>
      </c>
      <c r="BN95" s="20" t="e">
        <f t="shared" si="33"/>
        <v>#DIV/0!</v>
      </c>
      <c r="BP95" s="22">
        <f t="shared" si="34"/>
        <v>0</v>
      </c>
      <c r="BS95" s="20" t="e">
        <f t="shared" si="35"/>
        <v>#DIV/0!</v>
      </c>
      <c r="BT95" s="20" t="e">
        <f t="shared" si="36"/>
        <v>#DIV/0!</v>
      </c>
      <c r="BX95" s="20" t="e">
        <f t="shared" si="37"/>
        <v>#DIV/0!</v>
      </c>
    </row>
    <row r="96" spans="2:76" x14ac:dyDescent="0.3">
      <c r="B96" s="63">
        <v>2024</v>
      </c>
      <c r="C96" t="s">
        <v>105</v>
      </c>
      <c r="D96">
        <v>411</v>
      </c>
      <c r="E96">
        <v>4</v>
      </c>
      <c r="F96">
        <v>9</v>
      </c>
      <c r="G96" t="s">
        <v>42</v>
      </c>
      <c r="H96">
        <v>9</v>
      </c>
      <c r="I96" s="64" t="s">
        <v>33</v>
      </c>
      <c r="L96" s="21" t="e">
        <f t="shared" si="19"/>
        <v>#DIV/0!</v>
      </c>
      <c r="Q96" s="20" t="e">
        <f t="shared" si="20"/>
        <v>#DIV/0!</v>
      </c>
      <c r="V96" s="20" t="e">
        <f t="shared" si="21"/>
        <v>#DIV/0!</v>
      </c>
      <c r="AA96" s="20" t="e">
        <f t="shared" si="22"/>
        <v>#DIV/0!</v>
      </c>
      <c r="AF96" s="20" t="e">
        <f t="shared" si="23"/>
        <v>#DIV/0!</v>
      </c>
      <c r="AK96" s="20" t="e">
        <f t="shared" si="24"/>
        <v>#DIV/0!</v>
      </c>
      <c r="AP96" s="20" t="e">
        <f t="shared" si="25"/>
        <v>#DIV/0!</v>
      </c>
      <c r="AV96" s="20" t="e">
        <f t="shared" si="26"/>
        <v>#DIV/0!</v>
      </c>
      <c r="AZ96" s="20">
        <f t="shared" si="27"/>
        <v>0</v>
      </c>
      <c r="BD96" s="20">
        <f t="shared" si="28"/>
        <v>0</v>
      </c>
      <c r="BH96" s="20">
        <f t="shared" si="29"/>
        <v>0</v>
      </c>
      <c r="BK96" s="17" t="e">
        <f t="shared" si="30"/>
        <v>#DIV/0!</v>
      </c>
      <c r="BL96" s="17" t="e">
        <f t="shared" si="31"/>
        <v>#DIV/0!</v>
      </c>
      <c r="BM96" s="18" t="e">
        <f t="shared" si="32"/>
        <v>#DIV/0!</v>
      </c>
      <c r="BN96" s="20" t="e">
        <f t="shared" si="33"/>
        <v>#DIV/0!</v>
      </c>
      <c r="BP96" s="22">
        <f t="shared" si="34"/>
        <v>0</v>
      </c>
      <c r="BS96" s="20" t="e">
        <f t="shared" si="35"/>
        <v>#DIV/0!</v>
      </c>
      <c r="BT96" s="20" t="e">
        <f t="shared" si="36"/>
        <v>#DIV/0!</v>
      </c>
      <c r="BX96" s="20" t="e">
        <f t="shared" si="37"/>
        <v>#DIV/0!</v>
      </c>
    </row>
    <row r="97" spans="2:76" x14ac:dyDescent="0.3">
      <c r="B97" s="63">
        <v>2024</v>
      </c>
      <c r="C97" t="s">
        <v>105</v>
      </c>
      <c r="D97">
        <v>412</v>
      </c>
      <c r="E97">
        <v>4</v>
      </c>
      <c r="F97">
        <v>6</v>
      </c>
      <c r="G97" t="s">
        <v>42</v>
      </c>
      <c r="H97">
        <v>6</v>
      </c>
      <c r="I97" s="64" t="s">
        <v>35</v>
      </c>
      <c r="L97" s="21" t="e">
        <f t="shared" si="19"/>
        <v>#DIV/0!</v>
      </c>
      <c r="Q97" s="20" t="e">
        <f t="shared" si="20"/>
        <v>#DIV/0!</v>
      </c>
      <c r="V97" s="20" t="e">
        <f t="shared" si="21"/>
        <v>#DIV/0!</v>
      </c>
      <c r="AA97" s="20" t="e">
        <f t="shared" si="22"/>
        <v>#DIV/0!</v>
      </c>
      <c r="AF97" s="20" t="e">
        <f t="shared" si="23"/>
        <v>#DIV/0!</v>
      </c>
      <c r="AK97" s="20" t="e">
        <f t="shared" si="24"/>
        <v>#DIV/0!</v>
      </c>
      <c r="AP97" s="20" t="e">
        <f t="shared" si="25"/>
        <v>#DIV/0!</v>
      </c>
      <c r="AV97" s="20" t="e">
        <f t="shared" si="26"/>
        <v>#DIV/0!</v>
      </c>
      <c r="AZ97" s="20">
        <f t="shared" si="27"/>
        <v>0</v>
      </c>
      <c r="BD97" s="20">
        <f t="shared" si="28"/>
        <v>0</v>
      </c>
      <c r="BH97" s="20">
        <f t="shared" si="29"/>
        <v>0</v>
      </c>
      <c r="BK97" s="17" t="e">
        <f t="shared" si="30"/>
        <v>#DIV/0!</v>
      </c>
      <c r="BL97" s="17" t="e">
        <f t="shared" si="31"/>
        <v>#DIV/0!</v>
      </c>
      <c r="BM97" s="18" t="e">
        <f t="shared" si="32"/>
        <v>#DIV/0!</v>
      </c>
      <c r="BN97" s="20" t="e">
        <f t="shared" si="33"/>
        <v>#DIV/0!</v>
      </c>
      <c r="BP97" s="22">
        <f t="shared" si="34"/>
        <v>0</v>
      </c>
      <c r="BS97" s="20" t="e">
        <f t="shared" si="35"/>
        <v>#DIV/0!</v>
      </c>
      <c r="BT97" s="20" t="e">
        <f t="shared" si="36"/>
        <v>#DIV/0!</v>
      </c>
      <c r="BX97" s="20" t="e">
        <f t="shared" si="37"/>
        <v>#DIV/0!</v>
      </c>
    </row>
    <row r="98" spans="2:76" x14ac:dyDescent="0.3">
      <c r="B98" s="63">
        <v>2024</v>
      </c>
      <c r="C98" t="s">
        <v>105</v>
      </c>
      <c r="D98">
        <v>413</v>
      </c>
      <c r="E98">
        <v>4</v>
      </c>
      <c r="F98">
        <v>4</v>
      </c>
      <c r="G98" t="s">
        <v>42</v>
      </c>
      <c r="H98">
        <v>4</v>
      </c>
      <c r="I98" s="64" t="s">
        <v>36</v>
      </c>
      <c r="L98" s="21" t="e">
        <f t="shared" si="19"/>
        <v>#DIV/0!</v>
      </c>
      <c r="Q98" s="20" t="e">
        <f t="shared" si="20"/>
        <v>#DIV/0!</v>
      </c>
      <c r="V98" s="20" t="e">
        <f t="shared" si="21"/>
        <v>#DIV/0!</v>
      </c>
      <c r="AA98" s="20" t="e">
        <f t="shared" si="22"/>
        <v>#DIV/0!</v>
      </c>
      <c r="AF98" s="20" t="e">
        <f t="shared" si="23"/>
        <v>#DIV/0!</v>
      </c>
      <c r="AK98" s="20" t="e">
        <f t="shared" si="24"/>
        <v>#DIV/0!</v>
      </c>
      <c r="AP98" s="20" t="e">
        <f t="shared" si="25"/>
        <v>#DIV/0!</v>
      </c>
      <c r="AV98" s="20" t="e">
        <f t="shared" si="26"/>
        <v>#DIV/0!</v>
      </c>
      <c r="AZ98" s="20">
        <f t="shared" si="27"/>
        <v>0</v>
      </c>
      <c r="BD98" s="20">
        <f t="shared" si="28"/>
        <v>0</v>
      </c>
      <c r="BH98" s="20">
        <f t="shared" si="29"/>
        <v>0</v>
      </c>
      <c r="BK98" s="17" t="e">
        <f t="shared" si="30"/>
        <v>#DIV/0!</v>
      </c>
      <c r="BL98" s="17" t="e">
        <f t="shared" si="31"/>
        <v>#DIV/0!</v>
      </c>
      <c r="BM98" s="18" t="e">
        <f t="shared" si="32"/>
        <v>#DIV/0!</v>
      </c>
      <c r="BN98" s="20" t="e">
        <f t="shared" si="33"/>
        <v>#DIV/0!</v>
      </c>
      <c r="BP98" s="22">
        <f t="shared" si="34"/>
        <v>0</v>
      </c>
      <c r="BS98" s="20" t="e">
        <f t="shared" si="35"/>
        <v>#DIV/0!</v>
      </c>
      <c r="BT98" s="20" t="e">
        <f t="shared" si="36"/>
        <v>#DIV/0!</v>
      </c>
      <c r="BX98" s="20" t="e">
        <f t="shared" si="37"/>
        <v>#DIV/0!</v>
      </c>
    </row>
    <row r="99" spans="2:76" x14ac:dyDescent="0.3">
      <c r="B99" s="63">
        <v>2024</v>
      </c>
      <c r="C99" t="s">
        <v>105</v>
      </c>
      <c r="D99">
        <v>414</v>
      </c>
      <c r="E99">
        <v>4</v>
      </c>
      <c r="F99">
        <v>8</v>
      </c>
      <c r="G99" t="s">
        <v>42</v>
      </c>
      <c r="H99">
        <v>8</v>
      </c>
      <c r="I99" s="64" t="s">
        <v>38</v>
      </c>
      <c r="L99" s="21" t="e">
        <f t="shared" si="19"/>
        <v>#DIV/0!</v>
      </c>
      <c r="Q99" s="20" t="e">
        <f t="shared" si="20"/>
        <v>#DIV/0!</v>
      </c>
      <c r="V99" s="20" t="e">
        <f t="shared" si="21"/>
        <v>#DIV/0!</v>
      </c>
      <c r="AA99" s="20" t="e">
        <f t="shared" si="22"/>
        <v>#DIV/0!</v>
      </c>
      <c r="AF99" s="20" t="e">
        <f t="shared" si="23"/>
        <v>#DIV/0!</v>
      </c>
      <c r="AK99" s="20" t="e">
        <f t="shared" si="24"/>
        <v>#DIV/0!</v>
      </c>
      <c r="AP99" s="20" t="e">
        <f t="shared" si="25"/>
        <v>#DIV/0!</v>
      </c>
      <c r="AV99" s="20" t="e">
        <f t="shared" si="26"/>
        <v>#DIV/0!</v>
      </c>
      <c r="AZ99" s="20">
        <f t="shared" si="27"/>
        <v>0</v>
      </c>
      <c r="BD99" s="20">
        <f t="shared" si="28"/>
        <v>0</v>
      </c>
      <c r="BH99" s="20">
        <f t="shared" si="29"/>
        <v>0</v>
      </c>
      <c r="BK99" s="17" t="e">
        <f t="shared" si="30"/>
        <v>#DIV/0!</v>
      </c>
      <c r="BL99" s="17" t="e">
        <f t="shared" si="31"/>
        <v>#DIV/0!</v>
      </c>
      <c r="BM99" s="18" t="e">
        <f t="shared" si="32"/>
        <v>#DIV/0!</v>
      </c>
      <c r="BN99" s="20" t="e">
        <f t="shared" si="33"/>
        <v>#DIV/0!</v>
      </c>
      <c r="BP99" s="22">
        <f t="shared" si="34"/>
        <v>0</v>
      </c>
      <c r="BS99" s="20" t="e">
        <f t="shared" si="35"/>
        <v>#DIV/0!</v>
      </c>
      <c r="BT99" s="20" t="e">
        <f t="shared" si="36"/>
        <v>#DIV/0!</v>
      </c>
      <c r="BX99" s="20" t="e">
        <f t="shared" si="37"/>
        <v>#DIV/0!</v>
      </c>
    </row>
    <row r="100" spans="2:76" x14ac:dyDescent="0.3">
      <c r="B100" s="63">
        <v>2024</v>
      </c>
      <c r="C100" t="s">
        <v>105</v>
      </c>
      <c r="D100">
        <v>415</v>
      </c>
      <c r="E100">
        <v>4</v>
      </c>
      <c r="F100">
        <v>5</v>
      </c>
      <c r="G100" t="s">
        <v>42</v>
      </c>
      <c r="H100">
        <v>5</v>
      </c>
      <c r="I100" s="64" t="s">
        <v>31</v>
      </c>
      <c r="L100" s="21" t="e">
        <f t="shared" si="19"/>
        <v>#DIV/0!</v>
      </c>
      <c r="Q100" s="20" t="e">
        <f t="shared" si="20"/>
        <v>#DIV/0!</v>
      </c>
      <c r="V100" s="20" t="e">
        <f t="shared" si="21"/>
        <v>#DIV/0!</v>
      </c>
      <c r="AA100" s="20" t="e">
        <f t="shared" si="22"/>
        <v>#DIV/0!</v>
      </c>
      <c r="AF100" s="20" t="e">
        <f t="shared" si="23"/>
        <v>#DIV/0!</v>
      </c>
      <c r="AK100" s="20" t="e">
        <f t="shared" si="24"/>
        <v>#DIV/0!</v>
      </c>
      <c r="AP100" s="20" t="e">
        <f t="shared" si="25"/>
        <v>#DIV/0!</v>
      </c>
      <c r="AV100" s="20" t="e">
        <f t="shared" si="26"/>
        <v>#DIV/0!</v>
      </c>
      <c r="AZ100" s="20">
        <f t="shared" si="27"/>
        <v>0</v>
      </c>
      <c r="BD100" s="20">
        <f t="shared" si="28"/>
        <v>0</v>
      </c>
      <c r="BH100" s="20">
        <f t="shared" si="29"/>
        <v>0</v>
      </c>
      <c r="BK100" s="17" t="e">
        <f t="shared" si="30"/>
        <v>#DIV/0!</v>
      </c>
      <c r="BL100" s="17" t="e">
        <f t="shared" si="31"/>
        <v>#DIV/0!</v>
      </c>
      <c r="BM100" s="18" t="e">
        <f t="shared" si="32"/>
        <v>#DIV/0!</v>
      </c>
      <c r="BN100" s="20" t="e">
        <f t="shared" si="33"/>
        <v>#DIV/0!</v>
      </c>
      <c r="BP100" s="22">
        <f t="shared" si="34"/>
        <v>0</v>
      </c>
      <c r="BS100" s="20" t="e">
        <f t="shared" si="35"/>
        <v>#DIV/0!</v>
      </c>
      <c r="BT100" s="20" t="e">
        <f t="shared" si="36"/>
        <v>#DIV/0!</v>
      </c>
      <c r="BX100" s="20" t="e">
        <f t="shared" si="37"/>
        <v>#DIV/0!</v>
      </c>
    </row>
    <row r="101" spans="2:76" x14ac:dyDescent="0.3">
      <c r="B101" s="63">
        <v>2024</v>
      </c>
      <c r="C101" t="s">
        <v>105</v>
      </c>
      <c r="D101">
        <v>416</v>
      </c>
      <c r="E101">
        <v>4</v>
      </c>
      <c r="F101">
        <v>3</v>
      </c>
      <c r="G101" t="s">
        <v>42</v>
      </c>
      <c r="H101">
        <v>3</v>
      </c>
      <c r="I101" s="64" t="s">
        <v>39</v>
      </c>
      <c r="L101" s="21" t="e">
        <f t="shared" si="19"/>
        <v>#DIV/0!</v>
      </c>
      <c r="Q101" s="20" t="e">
        <f t="shared" si="20"/>
        <v>#DIV/0!</v>
      </c>
      <c r="V101" s="20" t="e">
        <f t="shared" si="21"/>
        <v>#DIV/0!</v>
      </c>
      <c r="AA101" s="20" t="e">
        <f t="shared" si="22"/>
        <v>#DIV/0!</v>
      </c>
      <c r="AF101" s="20" t="e">
        <f t="shared" si="23"/>
        <v>#DIV/0!</v>
      </c>
      <c r="AK101" s="20" t="e">
        <f t="shared" si="24"/>
        <v>#DIV/0!</v>
      </c>
      <c r="AP101" s="20" t="e">
        <f t="shared" si="25"/>
        <v>#DIV/0!</v>
      </c>
      <c r="AV101" s="20" t="e">
        <f t="shared" si="26"/>
        <v>#DIV/0!</v>
      </c>
      <c r="AZ101" s="20">
        <f t="shared" si="27"/>
        <v>0</v>
      </c>
      <c r="BD101" s="20">
        <f t="shared" si="28"/>
        <v>0</v>
      </c>
      <c r="BH101" s="20">
        <f t="shared" si="29"/>
        <v>0</v>
      </c>
      <c r="BK101" s="17" t="e">
        <f t="shared" si="30"/>
        <v>#DIV/0!</v>
      </c>
      <c r="BL101" s="17" t="e">
        <f t="shared" si="31"/>
        <v>#DIV/0!</v>
      </c>
      <c r="BM101" s="18" t="e">
        <f t="shared" si="32"/>
        <v>#DIV/0!</v>
      </c>
      <c r="BN101" s="20" t="e">
        <f t="shared" si="33"/>
        <v>#DIV/0!</v>
      </c>
      <c r="BP101" s="22">
        <f t="shared" si="34"/>
        <v>0</v>
      </c>
      <c r="BS101" s="20" t="e">
        <f t="shared" si="35"/>
        <v>#DIV/0!</v>
      </c>
      <c r="BT101" s="20" t="e">
        <f t="shared" si="36"/>
        <v>#DIV/0!</v>
      </c>
      <c r="BX101" s="20" t="e">
        <f t="shared" si="37"/>
        <v>#DIV/0!</v>
      </c>
    </row>
    <row r="102" spans="2:76" x14ac:dyDescent="0.3">
      <c r="B102" s="63">
        <v>2024</v>
      </c>
      <c r="C102" t="s">
        <v>105</v>
      </c>
      <c r="D102">
        <v>417</v>
      </c>
      <c r="E102">
        <v>4</v>
      </c>
      <c r="F102">
        <v>2</v>
      </c>
      <c r="G102" t="s">
        <v>42</v>
      </c>
      <c r="H102">
        <v>2</v>
      </c>
      <c r="I102" s="64" t="s">
        <v>32</v>
      </c>
      <c r="L102" s="21" t="e">
        <f t="shared" si="19"/>
        <v>#DIV/0!</v>
      </c>
      <c r="Q102" s="20" t="e">
        <f t="shared" si="20"/>
        <v>#DIV/0!</v>
      </c>
      <c r="V102" s="20" t="e">
        <f t="shared" si="21"/>
        <v>#DIV/0!</v>
      </c>
      <c r="AA102" s="20" t="e">
        <f t="shared" si="22"/>
        <v>#DIV/0!</v>
      </c>
      <c r="AF102" s="20" t="e">
        <f t="shared" si="23"/>
        <v>#DIV/0!</v>
      </c>
      <c r="AK102" s="20" t="e">
        <f t="shared" si="24"/>
        <v>#DIV/0!</v>
      </c>
      <c r="AP102" s="20" t="e">
        <f t="shared" si="25"/>
        <v>#DIV/0!</v>
      </c>
      <c r="AV102" s="20" t="e">
        <f t="shared" si="26"/>
        <v>#DIV/0!</v>
      </c>
      <c r="AZ102" s="20">
        <f t="shared" si="27"/>
        <v>0</v>
      </c>
      <c r="BD102" s="20">
        <f t="shared" si="28"/>
        <v>0</v>
      </c>
      <c r="BH102" s="20">
        <f t="shared" si="29"/>
        <v>0</v>
      </c>
      <c r="BK102" s="17" t="e">
        <f t="shared" si="30"/>
        <v>#DIV/0!</v>
      </c>
      <c r="BL102" s="17" t="e">
        <f t="shared" si="31"/>
        <v>#DIV/0!</v>
      </c>
      <c r="BM102" s="18" t="e">
        <f t="shared" si="32"/>
        <v>#DIV/0!</v>
      </c>
      <c r="BN102" s="20" t="e">
        <f t="shared" si="33"/>
        <v>#DIV/0!</v>
      </c>
      <c r="BP102" s="22">
        <f t="shared" si="34"/>
        <v>0</v>
      </c>
      <c r="BS102" s="20" t="e">
        <f t="shared" si="35"/>
        <v>#DIV/0!</v>
      </c>
      <c r="BT102" s="20" t="e">
        <f t="shared" si="36"/>
        <v>#DIV/0!</v>
      </c>
      <c r="BX102" s="20" t="e">
        <f t="shared" si="37"/>
        <v>#DIV/0!</v>
      </c>
    </row>
    <row r="103" spans="2:76" x14ac:dyDescent="0.3">
      <c r="B103" s="63">
        <v>2024</v>
      </c>
      <c r="C103" t="s">
        <v>105</v>
      </c>
      <c r="D103">
        <v>418</v>
      </c>
      <c r="E103">
        <v>4</v>
      </c>
      <c r="F103">
        <v>1</v>
      </c>
      <c r="G103" t="s">
        <v>42</v>
      </c>
      <c r="H103">
        <v>1</v>
      </c>
      <c r="I103" s="64" t="s">
        <v>37</v>
      </c>
      <c r="L103" s="21" t="e">
        <f t="shared" si="19"/>
        <v>#DIV/0!</v>
      </c>
      <c r="Q103" s="20" t="e">
        <f t="shared" si="20"/>
        <v>#DIV/0!</v>
      </c>
      <c r="V103" s="20" t="e">
        <f t="shared" si="21"/>
        <v>#DIV/0!</v>
      </c>
      <c r="AA103" s="20" t="e">
        <f t="shared" si="22"/>
        <v>#DIV/0!</v>
      </c>
      <c r="AF103" s="20" t="e">
        <f t="shared" si="23"/>
        <v>#DIV/0!</v>
      </c>
      <c r="AK103" s="20" t="e">
        <f t="shared" si="24"/>
        <v>#DIV/0!</v>
      </c>
      <c r="AP103" s="20" t="e">
        <f t="shared" si="25"/>
        <v>#DIV/0!</v>
      </c>
      <c r="AV103" s="20" t="e">
        <f t="shared" si="26"/>
        <v>#DIV/0!</v>
      </c>
      <c r="AZ103" s="20">
        <f t="shared" si="27"/>
        <v>0</v>
      </c>
      <c r="BD103" s="20">
        <f t="shared" si="28"/>
        <v>0</v>
      </c>
      <c r="BH103" s="20">
        <f t="shared" si="29"/>
        <v>0</v>
      </c>
      <c r="BK103" s="17" t="e">
        <f t="shared" si="30"/>
        <v>#DIV/0!</v>
      </c>
      <c r="BL103" s="17" t="e">
        <f t="shared" si="31"/>
        <v>#DIV/0!</v>
      </c>
      <c r="BM103" s="18" t="e">
        <f t="shared" si="32"/>
        <v>#DIV/0!</v>
      </c>
      <c r="BN103" s="20" t="e">
        <f t="shared" si="33"/>
        <v>#DIV/0!</v>
      </c>
      <c r="BP103" s="22">
        <f t="shared" si="34"/>
        <v>0</v>
      </c>
      <c r="BS103" s="20" t="e">
        <f t="shared" si="35"/>
        <v>#DIV/0!</v>
      </c>
      <c r="BT103" s="20" t="e">
        <f t="shared" si="36"/>
        <v>#DIV/0!</v>
      </c>
      <c r="BX103" s="20" t="e">
        <f t="shared" si="37"/>
        <v>#DIV/0!</v>
      </c>
    </row>
    <row r="104" spans="2:76" x14ac:dyDescent="0.3">
      <c r="B104" s="63">
        <v>2024</v>
      </c>
      <c r="C104" t="s">
        <v>105</v>
      </c>
      <c r="D104">
        <v>419</v>
      </c>
      <c r="E104">
        <v>4</v>
      </c>
      <c r="F104">
        <v>13</v>
      </c>
      <c r="G104" t="s">
        <v>106</v>
      </c>
      <c r="H104">
        <v>4</v>
      </c>
      <c r="I104" s="64" t="s">
        <v>36</v>
      </c>
      <c r="L104" s="21" t="e">
        <f t="shared" si="19"/>
        <v>#DIV/0!</v>
      </c>
      <c r="Q104" s="20" t="e">
        <f t="shared" si="20"/>
        <v>#DIV/0!</v>
      </c>
      <c r="V104" s="20" t="e">
        <f t="shared" si="21"/>
        <v>#DIV/0!</v>
      </c>
      <c r="AA104" s="20" t="e">
        <f t="shared" si="22"/>
        <v>#DIV/0!</v>
      </c>
      <c r="AF104" s="20" t="e">
        <f t="shared" si="23"/>
        <v>#DIV/0!</v>
      </c>
      <c r="AK104" s="20" t="e">
        <f t="shared" si="24"/>
        <v>#DIV/0!</v>
      </c>
      <c r="AP104" s="20" t="e">
        <f t="shared" si="25"/>
        <v>#DIV/0!</v>
      </c>
      <c r="AV104" s="20" t="e">
        <f t="shared" si="26"/>
        <v>#DIV/0!</v>
      </c>
      <c r="AZ104" s="20">
        <f t="shared" si="27"/>
        <v>0</v>
      </c>
      <c r="BD104" s="20">
        <f t="shared" si="28"/>
        <v>0</v>
      </c>
      <c r="BH104" s="20">
        <f t="shared" si="29"/>
        <v>0</v>
      </c>
      <c r="BK104" s="17" t="e">
        <f t="shared" si="30"/>
        <v>#DIV/0!</v>
      </c>
      <c r="BL104" s="17" t="e">
        <f t="shared" si="31"/>
        <v>#DIV/0!</v>
      </c>
      <c r="BM104" s="18" t="e">
        <f t="shared" si="32"/>
        <v>#DIV/0!</v>
      </c>
      <c r="BN104" s="20" t="e">
        <f t="shared" si="33"/>
        <v>#DIV/0!</v>
      </c>
      <c r="BP104" s="22">
        <f t="shared" si="34"/>
        <v>0</v>
      </c>
      <c r="BS104" s="20" t="e">
        <f t="shared" si="35"/>
        <v>#DIV/0!</v>
      </c>
      <c r="BT104" s="20" t="e">
        <f t="shared" si="36"/>
        <v>#DIV/0!</v>
      </c>
      <c r="BX104" s="20" t="e">
        <f t="shared" si="37"/>
        <v>#DIV/0!</v>
      </c>
    </row>
    <row r="105" spans="2:76" x14ac:dyDescent="0.3">
      <c r="B105" s="63">
        <v>2024</v>
      </c>
      <c r="C105" t="s">
        <v>105</v>
      </c>
      <c r="D105">
        <v>420</v>
      </c>
      <c r="E105">
        <v>4</v>
      </c>
      <c r="F105">
        <v>10</v>
      </c>
      <c r="G105" t="s">
        <v>106</v>
      </c>
      <c r="H105">
        <v>1</v>
      </c>
      <c r="I105" s="64" t="s">
        <v>37</v>
      </c>
      <c r="L105" s="21" t="e">
        <f t="shared" si="19"/>
        <v>#DIV/0!</v>
      </c>
      <c r="Q105" s="20" t="e">
        <f t="shared" si="20"/>
        <v>#DIV/0!</v>
      </c>
      <c r="V105" s="20" t="e">
        <f t="shared" si="21"/>
        <v>#DIV/0!</v>
      </c>
      <c r="AA105" s="20" t="e">
        <f t="shared" si="22"/>
        <v>#DIV/0!</v>
      </c>
      <c r="AF105" s="20" t="e">
        <f t="shared" si="23"/>
        <v>#DIV/0!</v>
      </c>
      <c r="AK105" s="20" t="e">
        <f t="shared" si="24"/>
        <v>#DIV/0!</v>
      </c>
      <c r="AP105" s="20" t="e">
        <f t="shared" si="25"/>
        <v>#DIV/0!</v>
      </c>
      <c r="AV105" s="20" t="e">
        <f t="shared" si="26"/>
        <v>#DIV/0!</v>
      </c>
      <c r="AZ105" s="20">
        <f t="shared" si="27"/>
        <v>0</v>
      </c>
      <c r="BD105" s="20">
        <f t="shared" si="28"/>
        <v>0</v>
      </c>
      <c r="BH105" s="20">
        <f t="shared" si="29"/>
        <v>0</v>
      </c>
      <c r="BK105" s="17" t="e">
        <f t="shared" si="30"/>
        <v>#DIV/0!</v>
      </c>
      <c r="BL105" s="17" t="e">
        <f t="shared" si="31"/>
        <v>#DIV/0!</v>
      </c>
      <c r="BM105" s="18" t="e">
        <f t="shared" si="32"/>
        <v>#DIV/0!</v>
      </c>
      <c r="BN105" s="20" t="e">
        <f t="shared" si="33"/>
        <v>#DIV/0!</v>
      </c>
      <c r="BP105" s="22">
        <f t="shared" si="34"/>
        <v>0</v>
      </c>
      <c r="BS105" s="20" t="e">
        <f t="shared" si="35"/>
        <v>#DIV/0!</v>
      </c>
      <c r="BT105" s="20" t="e">
        <f t="shared" si="36"/>
        <v>#DIV/0!</v>
      </c>
      <c r="BX105" s="20" t="e">
        <f t="shared" si="37"/>
        <v>#DIV/0!</v>
      </c>
    </row>
    <row r="106" spans="2:76" x14ac:dyDescent="0.3">
      <c r="B106" s="63">
        <v>2024</v>
      </c>
      <c r="C106" t="s">
        <v>105</v>
      </c>
      <c r="D106">
        <v>421</v>
      </c>
      <c r="E106">
        <v>4</v>
      </c>
      <c r="F106">
        <v>16</v>
      </c>
      <c r="G106" t="s">
        <v>106</v>
      </c>
      <c r="H106">
        <v>7</v>
      </c>
      <c r="I106" s="64" t="s">
        <v>34</v>
      </c>
      <c r="L106" s="21" t="e">
        <f t="shared" si="19"/>
        <v>#DIV/0!</v>
      </c>
      <c r="Q106" s="20" t="e">
        <f t="shared" si="20"/>
        <v>#DIV/0!</v>
      </c>
      <c r="V106" s="20" t="e">
        <f t="shared" si="21"/>
        <v>#DIV/0!</v>
      </c>
      <c r="AA106" s="20" t="e">
        <f t="shared" si="22"/>
        <v>#DIV/0!</v>
      </c>
      <c r="AF106" s="20" t="e">
        <f t="shared" si="23"/>
        <v>#DIV/0!</v>
      </c>
      <c r="AK106" s="20" t="e">
        <f t="shared" si="24"/>
        <v>#DIV/0!</v>
      </c>
      <c r="AP106" s="20" t="e">
        <f t="shared" si="25"/>
        <v>#DIV/0!</v>
      </c>
      <c r="AV106" s="20" t="e">
        <f t="shared" si="26"/>
        <v>#DIV/0!</v>
      </c>
      <c r="AZ106" s="20">
        <f t="shared" si="27"/>
        <v>0</v>
      </c>
      <c r="BD106" s="20">
        <f t="shared" si="28"/>
        <v>0</v>
      </c>
      <c r="BH106" s="20">
        <f t="shared" si="29"/>
        <v>0</v>
      </c>
      <c r="BK106" s="17" t="e">
        <f t="shared" si="30"/>
        <v>#DIV/0!</v>
      </c>
      <c r="BL106" s="17" t="e">
        <f t="shared" si="31"/>
        <v>#DIV/0!</v>
      </c>
      <c r="BM106" s="18" t="e">
        <f t="shared" si="32"/>
        <v>#DIV/0!</v>
      </c>
      <c r="BN106" s="20" t="e">
        <f t="shared" si="33"/>
        <v>#DIV/0!</v>
      </c>
      <c r="BP106" s="22">
        <f t="shared" si="34"/>
        <v>0</v>
      </c>
      <c r="BS106" s="20" t="e">
        <f t="shared" si="35"/>
        <v>#DIV/0!</v>
      </c>
      <c r="BT106" s="20" t="e">
        <f t="shared" si="36"/>
        <v>#DIV/0!</v>
      </c>
      <c r="BX106" s="20" t="e">
        <f t="shared" si="37"/>
        <v>#DIV/0!</v>
      </c>
    </row>
    <row r="107" spans="2:76" x14ac:dyDescent="0.3">
      <c r="B107" s="63">
        <v>2024</v>
      </c>
      <c r="C107" t="s">
        <v>105</v>
      </c>
      <c r="D107">
        <v>422</v>
      </c>
      <c r="E107">
        <v>4</v>
      </c>
      <c r="F107">
        <v>14</v>
      </c>
      <c r="G107" t="s">
        <v>106</v>
      </c>
      <c r="H107">
        <v>5</v>
      </c>
      <c r="I107" s="64" t="s">
        <v>31</v>
      </c>
      <c r="L107" s="21" t="e">
        <f t="shared" si="19"/>
        <v>#DIV/0!</v>
      </c>
      <c r="Q107" s="20" t="e">
        <f t="shared" si="20"/>
        <v>#DIV/0!</v>
      </c>
      <c r="V107" s="20" t="e">
        <f t="shared" si="21"/>
        <v>#DIV/0!</v>
      </c>
      <c r="AA107" s="20" t="e">
        <f t="shared" si="22"/>
        <v>#DIV/0!</v>
      </c>
      <c r="AF107" s="20" t="e">
        <f t="shared" si="23"/>
        <v>#DIV/0!</v>
      </c>
      <c r="AK107" s="20" t="e">
        <f t="shared" si="24"/>
        <v>#DIV/0!</v>
      </c>
      <c r="AP107" s="20" t="e">
        <f t="shared" si="25"/>
        <v>#DIV/0!</v>
      </c>
      <c r="AV107" s="20" t="e">
        <f t="shared" si="26"/>
        <v>#DIV/0!</v>
      </c>
      <c r="AZ107" s="20">
        <f t="shared" si="27"/>
        <v>0</v>
      </c>
      <c r="BD107" s="20">
        <f t="shared" si="28"/>
        <v>0</v>
      </c>
      <c r="BH107" s="20">
        <f t="shared" si="29"/>
        <v>0</v>
      </c>
      <c r="BK107" s="17" t="e">
        <f t="shared" si="30"/>
        <v>#DIV/0!</v>
      </c>
      <c r="BL107" s="17" t="e">
        <f t="shared" si="31"/>
        <v>#DIV/0!</v>
      </c>
      <c r="BM107" s="18" t="e">
        <f t="shared" si="32"/>
        <v>#DIV/0!</v>
      </c>
      <c r="BN107" s="20" t="e">
        <f t="shared" si="33"/>
        <v>#DIV/0!</v>
      </c>
      <c r="BP107" s="22">
        <f t="shared" si="34"/>
        <v>0</v>
      </c>
      <c r="BS107" s="20" t="e">
        <f t="shared" si="35"/>
        <v>#DIV/0!</v>
      </c>
      <c r="BT107" s="20" t="e">
        <f t="shared" si="36"/>
        <v>#DIV/0!</v>
      </c>
      <c r="BX107" s="20" t="e">
        <f t="shared" si="37"/>
        <v>#DIV/0!</v>
      </c>
    </row>
    <row r="108" spans="2:76" x14ac:dyDescent="0.3">
      <c r="B108" s="63">
        <v>2024</v>
      </c>
      <c r="C108" t="s">
        <v>105</v>
      </c>
      <c r="D108">
        <v>423</v>
      </c>
      <c r="E108">
        <v>4</v>
      </c>
      <c r="F108">
        <v>15</v>
      </c>
      <c r="G108" t="s">
        <v>106</v>
      </c>
      <c r="H108">
        <v>6</v>
      </c>
      <c r="I108" s="64" t="s">
        <v>35</v>
      </c>
      <c r="L108" s="21" t="e">
        <f t="shared" si="19"/>
        <v>#DIV/0!</v>
      </c>
      <c r="Q108" s="20" t="e">
        <f t="shared" si="20"/>
        <v>#DIV/0!</v>
      </c>
      <c r="V108" s="20" t="e">
        <f t="shared" si="21"/>
        <v>#DIV/0!</v>
      </c>
      <c r="AA108" s="20" t="e">
        <f t="shared" si="22"/>
        <v>#DIV/0!</v>
      </c>
      <c r="AF108" s="20" t="e">
        <f t="shared" si="23"/>
        <v>#DIV/0!</v>
      </c>
      <c r="AK108" s="20" t="e">
        <f t="shared" si="24"/>
        <v>#DIV/0!</v>
      </c>
      <c r="AP108" s="20" t="e">
        <f t="shared" si="25"/>
        <v>#DIV/0!</v>
      </c>
      <c r="AV108" s="20" t="e">
        <f t="shared" si="26"/>
        <v>#DIV/0!</v>
      </c>
      <c r="AZ108" s="20">
        <f t="shared" si="27"/>
        <v>0</v>
      </c>
      <c r="BD108" s="20">
        <f t="shared" si="28"/>
        <v>0</v>
      </c>
      <c r="BH108" s="20">
        <f t="shared" si="29"/>
        <v>0</v>
      </c>
      <c r="BK108" s="17" t="e">
        <f t="shared" si="30"/>
        <v>#DIV/0!</v>
      </c>
      <c r="BL108" s="17" t="e">
        <f t="shared" si="31"/>
        <v>#DIV/0!</v>
      </c>
      <c r="BM108" s="18" t="e">
        <f t="shared" si="32"/>
        <v>#DIV/0!</v>
      </c>
      <c r="BN108" s="20" t="e">
        <f t="shared" si="33"/>
        <v>#DIV/0!</v>
      </c>
      <c r="BP108" s="22">
        <f t="shared" si="34"/>
        <v>0</v>
      </c>
      <c r="BS108" s="20" t="e">
        <f t="shared" si="35"/>
        <v>#DIV/0!</v>
      </c>
      <c r="BT108" s="20" t="e">
        <f t="shared" si="36"/>
        <v>#DIV/0!</v>
      </c>
      <c r="BX108" s="20" t="e">
        <f t="shared" si="37"/>
        <v>#DIV/0!</v>
      </c>
    </row>
    <row r="109" spans="2:76" x14ac:dyDescent="0.3">
      <c r="B109" s="63">
        <v>2024</v>
      </c>
      <c r="C109" t="s">
        <v>105</v>
      </c>
      <c r="D109">
        <v>424</v>
      </c>
      <c r="E109">
        <v>4</v>
      </c>
      <c r="F109">
        <v>12</v>
      </c>
      <c r="G109" t="s">
        <v>106</v>
      </c>
      <c r="H109">
        <v>3</v>
      </c>
      <c r="I109" s="64" t="s">
        <v>39</v>
      </c>
      <c r="L109" s="21" t="e">
        <f t="shared" si="19"/>
        <v>#DIV/0!</v>
      </c>
      <c r="Q109" s="20" t="e">
        <f t="shared" si="20"/>
        <v>#DIV/0!</v>
      </c>
      <c r="V109" s="20" t="e">
        <f t="shared" si="21"/>
        <v>#DIV/0!</v>
      </c>
      <c r="AA109" s="20" t="e">
        <f t="shared" si="22"/>
        <v>#DIV/0!</v>
      </c>
      <c r="AF109" s="20" t="e">
        <f t="shared" si="23"/>
        <v>#DIV/0!</v>
      </c>
      <c r="AK109" s="20" t="e">
        <f t="shared" si="24"/>
        <v>#DIV/0!</v>
      </c>
      <c r="AP109" s="20" t="e">
        <f t="shared" si="25"/>
        <v>#DIV/0!</v>
      </c>
      <c r="AV109" s="20" t="e">
        <f t="shared" si="26"/>
        <v>#DIV/0!</v>
      </c>
      <c r="AZ109" s="20">
        <f t="shared" si="27"/>
        <v>0</v>
      </c>
      <c r="BD109" s="20">
        <f t="shared" si="28"/>
        <v>0</v>
      </c>
      <c r="BH109" s="20">
        <f t="shared" si="29"/>
        <v>0</v>
      </c>
      <c r="BK109" s="17" t="e">
        <f t="shared" si="30"/>
        <v>#DIV/0!</v>
      </c>
      <c r="BL109" s="17" t="e">
        <f t="shared" si="31"/>
        <v>#DIV/0!</v>
      </c>
      <c r="BM109" s="18" t="e">
        <f t="shared" si="32"/>
        <v>#DIV/0!</v>
      </c>
      <c r="BN109" s="20" t="e">
        <f t="shared" si="33"/>
        <v>#DIV/0!</v>
      </c>
      <c r="BP109" s="22">
        <f t="shared" si="34"/>
        <v>0</v>
      </c>
      <c r="BS109" s="20" t="e">
        <f t="shared" si="35"/>
        <v>#DIV/0!</v>
      </c>
      <c r="BT109" s="20" t="e">
        <f t="shared" si="36"/>
        <v>#DIV/0!</v>
      </c>
      <c r="BX109" s="20" t="e">
        <f t="shared" si="37"/>
        <v>#DIV/0!</v>
      </c>
    </row>
    <row r="110" spans="2:76" x14ac:dyDescent="0.3">
      <c r="B110" s="63">
        <v>2024</v>
      </c>
      <c r="C110" t="s">
        <v>105</v>
      </c>
      <c r="D110">
        <v>425</v>
      </c>
      <c r="E110">
        <v>4</v>
      </c>
      <c r="F110">
        <v>11</v>
      </c>
      <c r="G110" t="s">
        <v>106</v>
      </c>
      <c r="H110">
        <v>2</v>
      </c>
      <c r="I110" s="64" t="s">
        <v>32</v>
      </c>
      <c r="L110" s="21" t="e">
        <f t="shared" si="19"/>
        <v>#DIV/0!</v>
      </c>
      <c r="Q110" s="20" t="e">
        <f t="shared" si="20"/>
        <v>#DIV/0!</v>
      </c>
      <c r="V110" s="20" t="e">
        <f t="shared" si="21"/>
        <v>#DIV/0!</v>
      </c>
      <c r="AA110" s="20" t="e">
        <f t="shared" si="22"/>
        <v>#DIV/0!</v>
      </c>
      <c r="AF110" s="20" t="e">
        <f t="shared" si="23"/>
        <v>#DIV/0!</v>
      </c>
      <c r="AK110" s="20" t="e">
        <f t="shared" si="24"/>
        <v>#DIV/0!</v>
      </c>
      <c r="AP110" s="20" t="e">
        <f t="shared" si="25"/>
        <v>#DIV/0!</v>
      </c>
      <c r="AV110" s="20" t="e">
        <f t="shared" si="26"/>
        <v>#DIV/0!</v>
      </c>
      <c r="AZ110" s="20">
        <f t="shared" si="27"/>
        <v>0</v>
      </c>
      <c r="BD110" s="20">
        <f t="shared" si="28"/>
        <v>0</v>
      </c>
      <c r="BH110" s="20">
        <f t="shared" si="29"/>
        <v>0</v>
      </c>
      <c r="BK110" s="17" t="e">
        <f t="shared" si="30"/>
        <v>#DIV/0!</v>
      </c>
      <c r="BL110" s="17" t="e">
        <f t="shared" si="31"/>
        <v>#DIV/0!</v>
      </c>
      <c r="BM110" s="18" t="e">
        <f t="shared" si="32"/>
        <v>#DIV/0!</v>
      </c>
      <c r="BN110" s="20" t="e">
        <f t="shared" si="33"/>
        <v>#DIV/0!</v>
      </c>
      <c r="BP110" s="22">
        <f t="shared" si="34"/>
        <v>0</v>
      </c>
      <c r="BS110" s="20" t="e">
        <f t="shared" si="35"/>
        <v>#DIV/0!</v>
      </c>
      <c r="BT110" s="20" t="e">
        <f t="shared" si="36"/>
        <v>#DIV/0!</v>
      </c>
      <c r="BX110" s="20" t="e">
        <f t="shared" si="37"/>
        <v>#DIV/0!</v>
      </c>
    </row>
    <row r="111" spans="2:76" x14ac:dyDescent="0.3">
      <c r="B111" s="63">
        <v>2024</v>
      </c>
      <c r="C111" t="s">
        <v>105</v>
      </c>
      <c r="D111">
        <v>426</v>
      </c>
      <c r="E111">
        <v>4</v>
      </c>
      <c r="F111">
        <v>17</v>
      </c>
      <c r="G111" t="s">
        <v>106</v>
      </c>
      <c r="H111">
        <v>8</v>
      </c>
      <c r="I111" s="64" t="s">
        <v>38</v>
      </c>
      <c r="L111" s="21" t="e">
        <f t="shared" si="19"/>
        <v>#DIV/0!</v>
      </c>
      <c r="Q111" s="20" t="e">
        <f t="shared" si="20"/>
        <v>#DIV/0!</v>
      </c>
      <c r="V111" s="20" t="e">
        <f t="shared" si="21"/>
        <v>#DIV/0!</v>
      </c>
      <c r="AA111" s="20" t="e">
        <f t="shared" si="22"/>
        <v>#DIV/0!</v>
      </c>
      <c r="AF111" s="20" t="e">
        <f t="shared" si="23"/>
        <v>#DIV/0!</v>
      </c>
      <c r="AK111" s="20" t="e">
        <f t="shared" si="24"/>
        <v>#DIV/0!</v>
      </c>
      <c r="AP111" s="20" t="e">
        <f t="shared" si="25"/>
        <v>#DIV/0!</v>
      </c>
      <c r="AV111" s="20" t="e">
        <f t="shared" si="26"/>
        <v>#DIV/0!</v>
      </c>
      <c r="AZ111" s="20">
        <f t="shared" si="27"/>
        <v>0</v>
      </c>
      <c r="BD111" s="20">
        <f t="shared" si="28"/>
        <v>0</v>
      </c>
      <c r="BH111" s="20">
        <f t="shared" si="29"/>
        <v>0</v>
      </c>
      <c r="BK111" s="17" t="e">
        <f t="shared" si="30"/>
        <v>#DIV/0!</v>
      </c>
      <c r="BL111" s="17" t="e">
        <f t="shared" si="31"/>
        <v>#DIV/0!</v>
      </c>
      <c r="BM111" s="18" t="e">
        <f t="shared" si="32"/>
        <v>#DIV/0!</v>
      </c>
      <c r="BN111" s="20" t="e">
        <f t="shared" si="33"/>
        <v>#DIV/0!</v>
      </c>
      <c r="BP111" s="22">
        <f t="shared" si="34"/>
        <v>0</v>
      </c>
      <c r="BS111" s="20" t="e">
        <f t="shared" si="35"/>
        <v>#DIV/0!</v>
      </c>
      <c r="BT111" s="20" t="e">
        <f t="shared" si="36"/>
        <v>#DIV/0!</v>
      </c>
      <c r="BX111" s="20" t="e">
        <f t="shared" si="37"/>
        <v>#DIV/0!</v>
      </c>
    </row>
    <row r="112" spans="2:76" x14ac:dyDescent="0.3">
      <c r="B112" s="63">
        <v>2024</v>
      </c>
      <c r="C112" t="s">
        <v>105</v>
      </c>
      <c r="D112">
        <v>427</v>
      </c>
      <c r="E112">
        <v>4</v>
      </c>
      <c r="F112">
        <v>18</v>
      </c>
      <c r="G112" t="s">
        <v>106</v>
      </c>
      <c r="H112">
        <v>9</v>
      </c>
      <c r="I112" s="64" t="s">
        <v>33</v>
      </c>
      <c r="L112" s="21" t="e">
        <f t="shared" si="19"/>
        <v>#DIV/0!</v>
      </c>
      <c r="Q112" s="20" t="e">
        <f t="shared" si="20"/>
        <v>#DIV/0!</v>
      </c>
      <c r="V112" s="20" t="e">
        <f t="shared" si="21"/>
        <v>#DIV/0!</v>
      </c>
      <c r="AA112" s="20" t="e">
        <f t="shared" si="22"/>
        <v>#DIV/0!</v>
      </c>
      <c r="AF112" s="20" t="e">
        <f t="shared" si="23"/>
        <v>#DIV/0!</v>
      </c>
      <c r="AK112" s="20" t="e">
        <f t="shared" si="24"/>
        <v>#DIV/0!</v>
      </c>
      <c r="AP112" s="20" t="e">
        <f t="shared" si="25"/>
        <v>#DIV/0!</v>
      </c>
      <c r="AV112" s="20" t="e">
        <f t="shared" si="26"/>
        <v>#DIV/0!</v>
      </c>
      <c r="AZ112" s="20">
        <f t="shared" si="27"/>
        <v>0</v>
      </c>
      <c r="BD112" s="20">
        <f t="shared" si="28"/>
        <v>0</v>
      </c>
      <c r="BH112" s="20">
        <f t="shared" si="29"/>
        <v>0</v>
      </c>
      <c r="BK112" s="17" t="e">
        <f t="shared" si="30"/>
        <v>#DIV/0!</v>
      </c>
      <c r="BL112" s="17" t="e">
        <f t="shared" si="31"/>
        <v>#DIV/0!</v>
      </c>
      <c r="BM112" s="18" t="e">
        <f t="shared" si="32"/>
        <v>#DIV/0!</v>
      </c>
      <c r="BN112" s="20" t="e">
        <f t="shared" si="33"/>
        <v>#DIV/0!</v>
      </c>
      <c r="BP112" s="22">
        <f t="shared" si="34"/>
        <v>0</v>
      </c>
      <c r="BS112" s="20" t="e">
        <f t="shared" si="35"/>
        <v>#DIV/0!</v>
      </c>
      <c r="BT112" s="20" t="e">
        <f t="shared" si="36"/>
        <v>#DIV/0!</v>
      </c>
      <c r="BX112" s="20" t="e">
        <f t="shared" si="37"/>
        <v>#DIV/0!</v>
      </c>
    </row>
  </sheetData>
  <mergeCells count="12">
    <mergeCell ref="BI3:BN3"/>
    <mergeCell ref="J3:L3"/>
    <mergeCell ref="M3:Q3"/>
    <mergeCell ref="R3:V3"/>
    <mergeCell ref="W3:AA3"/>
    <mergeCell ref="AB3:AF3"/>
    <mergeCell ref="AG3:AK3"/>
    <mergeCell ref="AL3:AP3"/>
    <mergeCell ref="AR3:AV3"/>
    <mergeCell ref="AW3:AZ3"/>
    <mergeCell ref="BA3:BD3"/>
    <mergeCell ref="BE3:BH3"/>
  </mergeCells>
  <conditionalFormatting sqref="M33:M41 AW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2:Z68 W5:Z31 AQ42:AU68 AQ5:AU31 AL42:AO68 AL5:AO31 AG42:AJ68 AG5:AJ31 AB42:AE68 AB5:AE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 V4 AV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6:BC31 P32 BA42:BC6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0DF57-6A83-4BB3-A4A1-DC588E757EDC}">
  <sheetPr>
    <pageSetUpPr fitToPage="1"/>
  </sheetPr>
  <dimension ref="A2:P37"/>
  <sheetViews>
    <sheetView topLeftCell="L1" workbookViewId="0">
      <selection activeCell="O37" sqref="M27:O37"/>
    </sheetView>
  </sheetViews>
  <sheetFormatPr defaultColWidth="9" defaultRowHeight="14.4" x14ac:dyDescent="0.3"/>
  <cols>
    <col min="1" max="1" width="9" style="69"/>
    <col min="2" max="2" width="14.3984375" style="69" customWidth="1"/>
    <col min="3" max="3" width="10.09765625" style="69" customWidth="1"/>
    <col min="4" max="4" width="8.19921875" style="69" customWidth="1"/>
    <col min="5" max="5" width="7.69921875" style="69" customWidth="1"/>
    <col min="6" max="6" width="9.09765625" style="69" customWidth="1"/>
    <col min="7" max="9" width="8" style="69" customWidth="1"/>
    <col min="10" max="10" width="9.59765625" style="69" customWidth="1"/>
    <col min="11" max="11" width="0" style="69" hidden="1" customWidth="1"/>
    <col min="12" max="12" width="10.19921875" style="69" customWidth="1"/>
    <col min="13" max="13" width="9" style="69"/>
    <col min="14" max="14" width="13.19921875" style="69" customWidth="1"/>
    <col min="15" max="15" width="25.69921875" style="69" customWidth="1"/>
    <col min="16" max="16384" width="9" style="69"/>
  </cols>
  <sheetData>
    <row r="2" spans="1:15" ht="15" thickBot="1" x14ac:dyDescent="0.35"/>
    <row r="3" spans="1:15" ht="15" customHeight="1" thickBot="1" x14ac:dyDescent="0.35">
      <c r="A3" s="69">
        <v>2023</v>
      </c>
      <c r="B3" s="82" t="s">
        <v>107</v>
      </c>
      <c r="C3" s="83" t="s">
        <v>108</v>
      </c>
      <c r="D3" s="83" t="s">
        <v>109</v>
      </c>
      <c r="E3" s="83" t="s">
        <v>110</v>
      </c>
      <c r="F3" s="83" t="s">
        <v>111</v>
      </c>
      <c r="G3" s="83" t="s">
        <v>112</v>
      </c>
      <c r="H3" s="83" t="s">
        <v>113</v>
      </c>
      <c r="I3" s="83" t="s">
        <v>114</v>
      </c>
      <c r="J3" s="84" t="s">
        <v>115</v>
      </c>
      <c r="L3" s="85"/>
      <c r="M3" s="194" t="s">
        <v>116</v>
      </c>
      <c r="N3" s="195"/>
      <c r="O3" s="196"/>
    </row>
    <row r="4" spans="1:15" ht="15" customHeight="1" thickBot="1" x14ac:dyDescent="0.35">
      <c r="B4" s="85" t="s">
        <v>117</v>
      </c>
      <c r="C4" s="129">
        <v>52.9</v>
      </c>
      <c r="D4" s="130">
        <v>0.98</v>
      </c>
      <c r="E4" s="69">
        <v>9</v>
      </c>
      <c r="F4" s="69">
        <f>$G$14*$G$13*0.01</f>
        <v>1.4478</v>
      </c>
      <c r="G4" s="69">
        <f>F4*E4</f>
        <v>13.030200000000001</v>
      </c>
      <c r="H4" s="69">
        <v>300</v>
      </c>
      <c r="I4" s="69">
        <f>H4*G4</f>
        <v>3909.0600000000004</v>
      </c>
      <c r="J4" s="133">
        <f>((C4/1000)*I4)*(1/0.98)</f>
        <v>211.00946326530612</v>
      </c>
      <c r="K4" s="69">
        <f>C4*H4*8.6868/1000/6</f>
        <v>22.976586000000001</v>
      </c>
      <c r="M4" s="86" t="s">
        <v>118</v>
      </c>
      <c r="N4" s="87" t="s">
        <v>119</v>
      </c>
      <c r="O4" s="88" t="s">
        <v>120</v>
      </c>
    </row>
    <row r="5" spans="1:15" x14ac:dyDescent="0.3">
      <c r="B5" s="85" t="s">
        <v>43</v>
      </c>
      <c r="C5" s="129">
        <v>45.4</v>
      </c>
      <c r="D5" s="130">
        <v>0.9</v>
      </c>
      <c r="E5" s="69">
        <v>9</v>
      </c>
      <c r="F5" s="69">
        <f>$G$14*$G$13*0.01</f>
        <v>1.4478</v>
      </c>
      <c r="G5" s="69">
        <f t="shared" ref="G5:G6" si="0">F5*E5</f>
        <v>13.030200000000001</v>
      </c>
      <c r="H5" s="69">
        <v>300</v>
      </c>
      <c r="I5" s="69">
        <f>H5*G5</f>
        <v>3909.0600000000004</v>
      </c>
      <c r="J5" s="133">
        <f>((C5/1000)*I5)*(1/0.9)</f>
        <v>197.19036000000003</v>
      </c>
      <c r="K5" s="69">
        <f>C5*H5*8.6868/1000/6</f>
        <v>19.719035999999999</v>
      </c>
      <c r="M5" s="89">
        <v>1</v>
      </c>
      <c r="N5" s="90"/>
      <c r="O5" s="91" t="s">
        <v>121</v>
      </c>
    </row>
    <row r="6" spans="1:15" ht="15" thickBot="1" x14ac:dyDescent="0.35">
      <c r="B6" s="92" t="s">
        <v>41</v>
      </c>
      <c r="C6" s="129">
        <v>53.7</v>
      </c>
      <c r="D6" s="130">
        <v>0.98</v>
      </c>
      <c r="E6" s="93">
        <v>9</v>
      </c>
      <c r="F6" s="93">
        <f>$G$14*$G$13*0.01</f>
        <v>1.4478</v>
      </c>
      <c r="G6" s="93">
        <f t="shared" si="0"/>
        <v>13.030200000000001</v>
      </c>
      <c r="H6" s="93">
        <v>300</v>
      </c>
      <c r="I6" s="93">
        <f>H6*G6</f>
        <v>3909.0600000000004</v>
      </c>
      <c r="J6" s="134">
        <f>((C6/1000)*I6)*(1/0.98)</f>
        <v>214.20053265306126</v>
      </c>
      <c r="K6" s="69">
        <f>C6*H6*8.6868/1000/6</f>
        <v>23.324057999999997</v>
      </c>
      <c r="M6" s="94">
        <v>2</v>
      </c>
      <c r="N6" s="95">
        <v>10.538918116821801</v>
      </c>
      <c r="O6" s="170" t="s">
        <v>121</v>
      </c>
    </row>
    <row r="7" spans="1:15" ht="15" thickBot="1" x14ac:dyDescent="0.35">
      <c r="M7" s="97">
        <v>3</v>
      </c>
      <c r="N7" s="98"/>
      <c r="O7" s="91" t="s">
        <v>121</v>
      </c>
    </row>
    <row r="8" spans="1:15" ht="29.4" thickBot="1" x14ac:dyDescent="0.35">
      <c r="A8" s="69">
        <v>2024</v>
      </c>
      <c r="B8" s="82" t="s">
        <v>107</v>
      </c>
      <c r="C8" s="83" t="s">
        <v>108</v>
      </c>
      <c r="D8" s="83" t="s">
        <v>109</v>
      </c>
      <c r="E8" s="83" t="s">
        <v>110</v>
      </c>
      <c r="F8" s="83" t="s">
        <v>111</v>
      </c>
      <c r="G8" s="83" t="s">
        <v>112</v>
      </c>
      <c r="H8" s="83" t="s">
        <v>113</v>
      </c>
      <c r="I8" s="83" t="s">
        <v>114</v>
      </c>
      <c r="J8" s="84" t="s">
        <v>115</v>
      </c>
      <c r="M8" s="97">
        <v>4</v>
      </c>
      <c r="N8" s="98"/>
      <c r="O8" s="91" t="s">
        <v>121</v>
      </c>
    </row>
    <row r="9" spans="1:15" x14ac:dyDescent="0.3">
      <c r="B9" s="85" t="s">
        <v>117</v>
      </c>
      <c r="C9" s="129">
        <v>51.9</v>
      </c>
      <c r="D9" s="130">
        <v>1</v>
      </c>
      <c r="E9" s="69">
        <v>9</v>
      </c>
      <c r="F9" s="69">
        <f>$G$14*$G$13*0.01</f>
        <v>1.4478</v>
      </c>
      <c r="G9" s="69">
        <f>F9*E9</f>
        <v>13.030200000000001</v>
      </c>
      <c r="H9" s="69">
        <v>300</v>
      </c>
      <c r="I9" s="69">
        <f>H9*G9</f>
        <v>3909.0600000000004</v>
      </c>
      <c r="J9" s="133">
        <f>((C9/1000)*I9)*(1/D9)</f>
        <v>202.88021400000002</v>
      </c>
      <c r="M9" s="97">
        <v>5</v>
      </c>
      <c r="N9" s="98"/>
      <c r="O9" s="91" t="s">
        <v>121</v>
      </c>
    </row>
    <row r="10" spans="1:15" x14ac:dyDescent="0.3">
      <c r="B10" s="85" t="s">
        <v>43</v>
      </c>
      <c r="C10" s="129">
        <v>45.5</v>
      </c>
      <c r="D10" s="130">
        <v>0.91</v>
      </c>
      <c r="E10" s="69">
        <v>9</v>
      </c>
      <c r="F10" s="69">
        <f>$G$14*$G$13*0.01</f>
        <v>1.4478</v>
      </c>
      <c r="G10" s="69">
        <f t="shared" ref="G10:G11" si="1">F10*E10</f>
        <v>13.030200000000001</v>
      </c>
      <c r="H10" s="69">
        <v>300</v>
      </c>
      <c r="I10" s="69">
        <f>H10*G10</f>
        <v>3909.0600000000004</v>
      </c>
      <c r="J10" s="133">
        <f t="shared" ref="J10:J11" si="2">((C10/1000)*I10)*(1/D10)</f>
        <v>195.453</v>
      </c>
      <c r="M10" s="97">
        <v>6</v>
      </c>
      <c r="N10" s="98"/>
      <c r="O10" s="91" t="s">
        <v>121</v>
      </c>
    </row>
    <row r="11" spans="1:15" ht="15" thickBot="1" x14ac:dyDescent="0.35">
      <c r="B11" s="92" t="s">
        <v>41</v>
      </c>
      <c r="C11" s="131">
        <v>53.7</v>
      </c>
      <c r="D11" s="132">
        <v>1</v>
      </c>
      <c r="E11" s="93">
        <v>9</v>
      </c>
      <c r="F11" s="93">
        <f>$G$14*$G$13*0.01</f>
        <v>1.4478</v>
      </c>
      <c r="G11" s="93">
        <f t="shared" si="1"/>
        <v>13.030200000000001</v>
      </c>
      <c r="H11" s="93">
        <v>300</v>
      </c>
      <c r="I11" s="93">
        <f>H11*G11</f>
        <v>3909.0600000000004</v>
      </c>
      <c r="J11" s="134">
        <f t="shared" si="2"/>
        <v>209.91652200000004</v>
      </c>
      <c r="M11" s="94">
        <v>7</v>
      </c>
      <c r="N11" s="95">
        <v>10.538918116821801</v>
      </c>
      <c r="O11" s="96" t="s">
        <v>121</v>
      </c>
    </row>
    <row r="12" spans="1:15" x14ac:dyDescent="0.3">
      <c r="M12" s="94">
        <v>8</v>
      </c>
      <c r="N12" s="95">
        <v>10.538918116821801</v>
      </c>
      <c r="O12" s="96" t="s">
        <v>121</v>
      </c>
    </row>
    <row r="13" spans="1:15" ht="15" thickBot="1" x14ac:dyDescent="0.35">
      <c r="B13" s="69" t="s">
        <v>116</v>
      </c>
      <c r="F13" s="79" t="s">
        <v>122</v>
      </c>
      <c r="G13" s="79">
        <v>6</v>
      </c>
      <c r="M13" s="101">
        <v>9</v>
      </c>
      <c r="N13" s="102"/>
      <c r="O13" s="103" t="s">
        <v>121</v>
      </c>
    </row>
    <row r="14" spans="1:15" ht="15" thickBot="1" x14ac:dyDescent="0.35">
      <c r="B14" s="99" t="s">
        <v>123</v>
      </c>
      <c r="C14" s="100" t="s">
        <v>124</v>
      </c>
      <c r="D14" s="100" t="s">
        <v>125</v>
      </c>
      <c r="F14" s="79" t="s">
        <v>126</v>
      </c>
      <c r="G14" s="79">
        <v>24.13</v>
      </c>
    </row>
    <row r="15" spans="1:15" ht="15" thickBot="1" x14ac:dyDescent="0.35">
      <c r="B15" s="100" t="s">
        <v>127</v>
      </c>
      <c r="C15" s="100">
        <f>0.5/20*1000</f>
        <v>25</v>
      </c>
      <c r="D15" s="100">
        <f>0.33/20*1000</f>
        <v>16.5</v>
      </c>
      <c r="M15" s="194" t="s">
        <v>128</v>
      </c>
      <c r="N15" s="196"/>
    </row>
    <row r="16" spans="1:15" ht="15" thickBot="1" x14ac:dyDescent="0.35">
      <c r="E16" s="110"/>
      <c r="M16" s="86" t="s">
        <v>118</v>
      </c>
      <c r="N16" s="88" t="s">
        <v>119</v>
      </c>
    </row>
    <row r="17" spans="2:16" x14ac:dyDescent="0.3">
      <c r="B17" s="69" t="s">
        <v>128</v>
      </c>
      <c r="E17" s="110"/>
      <c r="M17" s="89">
        <v>1</v>
      </c>
      <c r="N17" s="114"/>
    </row>
    <row r="18" spans="2:16" x14ac:dyDescent="0.3">
      <c r="B18" s="104" t="s">
        <v>129</v>
      </c>
      <c r="C18" s="105" t="s">
        <v>130</v>
      </c>
      <c r="D18" s="106" t="s">
        <v>131</v>
      </c>
      <c r="M18" s="97">
        <v>2</v>
      </c>
      <c r="N18" s="115"/>
    </row>
    <row r="19" spans="2:16" x14ac:dyDescent="0.3">
      <c r="B19" s="107" t="s">
        <v>132</v>
      </c>
      <c r="C19" s="108" t="s">
        <v>133</v>
      </c>
      <c r="D19" s="109" t="e">
        <f>#REF!/0.12</f>
        <v>#REF!</v>
      </c>
      <c r="M19" s="94">
        <v>3</v>
      </c>
      <c r="N19" s="118">
        <v>10.538918116821801</v>
      </c>
      <c r="O19" s="69">
        <v>6</v>
      </c>
    </row>
    <row r="20" spans="2:16" x14ac:dyDescent="0.3">
      <c r="B20" s="111" t="s">
        <v>134</v>
      </c>
      <c r="C20" s="112" t="s">
        <v>135</v>
      </c>
      <c r="D20" s="113">
        <f>F16/0.12</f>
        <v>0</v>
      </c>
      <c r="M20" s="97">
        <v>4</v>
      </c>
      <c r="N20" s="115"/>
    </row>
    <row r="21" spans="2:16" x14ac:dyDescent="0.3">
      <c r="M21" s="94">
        <v>5</v>
      </c>
      <c r="N21" s="118">
        <v>21.077836233643602</v>
      </c>
      <c r="O21" s="69">
        <v>2</v>
      </c>
    </row>
    <row r="22" spans="2:16" ht="15.75" customHeight="1" x14ac:dyDescent="0.3">
      <c r="B22" s="69" t="s">
        <v>136</v>
      </c>
      <c r="M22" s="97">
        <v>6</v>
      </c>
      <c r="N22" s="115"/>
    </row>
    <row r="23" spans="2:16" x14ac:dyDescent="0.3">
      <c r="B23" s="116" t="s">
        <v>137</v>
      </c>
      <c r="C23" s="117" t="s">
        <v>138</v>
      </c>
      <c r="D23" s="117" t="s">
        <v>139</v>
      </c>
      <c r="M23" s="97">
        <v>7</v>
      </c>
      <c r="N23" s="115"/>
    </row>
    <row r="24" spans="2:16" x14ac:dyDescent="0.3">
      <c r="B24" s="117" t="s">
        <v>140</v>
      </c>
      <c r="C24" s="117">
        <f>300/20</f>
        <v>15</v>
      </c>
      <c r="D24" s="117"/>
      <c r="M24" s="94">
        <v>8</v>
      </c>
      <c r="N24" s="118">
        <v>10.538918116821801</v>
      </c>
    </row>
    <row r="25" spans="2:16" ht="15" thickBot="1" x14ac:dyDescent="0.35">
      <c r="M25" s="125">
        <v>9</v>
      </c>
      <c r="N25" s="126">
        <v>10.538918116821801</v>
      </c>
    </row>
    <row r="26" spans="2:16" ht="15" thickBot="1" x14ac:dyDescent="0.35">
      <c r="B26" s="69" t="s">
        <v>141</v>
      </c>
    </row>
    <row r="27" spans="2:16" ht="15" thickBot="1" x14ac:dyDescent="0.35">
      <c r="B27" s="119" t="s">
        <v>142</v>
      </c>
      <c r="C27" s="120"/>
      <c r="D27" s="121"/>
      <c r="M27" s="194" t="s">
        <v>136</v>
      </c>
      <c r="N27" s="195"/>
      <c r="O27" s="196"/>
    </row>
    <row r="28" spans="2:16" ht="15" thickBot="1" x14ac:dyDescent="0.35">
      <c r="B28" s="122" t="s">
        <v>143</v>
      </c>
      <c r="C28" s="123"/>
      <c r="D28" s="124"/>
      <c r="M28" s="86" t="s">
        <v>118</v>
      </c>
      <c r="N28" s="87" t="s">
        <v>119</v>
      </c>
      <c r="O28" s="88" t="s">
        <v>144</v>
      </c>
    </row>
    <row r="29" spans="2:16" x14ac:dyDescent="0.3">
      <c r="M29" s="89">
        <v>1</v>
      </c>
      <c r="N29" s="90"/>
      <c r="O29" s="114">
        <v>15</v>
      </c>
      <c r="P29" s="69">
        <v>9</v>
      </c>
    </row>
    <row r="30" spans="2:16" x14ac:dyDescent="0.3">
      <c r="M30" s="97">
        <v>2</v>
      </c>
      <c r="N30" s="98"/>
      <c r="O30" s="91">
        <v>15</v>
      </c>
    </row>
    <row r="31" spans="2:16" x14ac:dyDescent="0.3">
      <c r="M31" s="97">
        <v>3</v>
      </c>
      <c r="N31" s="98"/>
      <c r="O31" s="91">
        <v>15</v>
      </c>
    </row>
    <row r="32" spans="2:16" x14ac:dyDescent="0.3">
      <c r="B32" s="69" t="s">
        <v>145</v>
      </c>
      <c r="M32" s="94">
        <v>4</v>
      </c>
      <c r="N32" s="95">
        <v>10.538918116821801</v>
      </c>
      <c r="O32" s="96">
        <v>15</v>
      </c>
      <c r="P32" s="69">
        <v>6</v>
      </c>
    </row>
    <row r="33" spans="2:16" x14ac:dyDescent="0.3">
      <c r="B33" s="69" t="s">
        <v>146</v>
      </c>
      <c r="C33" s="69">
        <v>50</v>
      </c>
      <c r="D33" s="69" t="s">
        <v>147</v>
      </c>
      <c r="M33" s="97">
        <v>5</v>
      </c>
      <c r="N33" s="98"/>
      <c r="O33" s="91">
        <v>15</v>
      </c>
    </row>
    <row r="34" spans="2:16" x14ac:dyDescent="0.3">
      <c r="M34" s="94">
        <v>6</v>
      </c>
      <c r="N34" s="95">
        <v>21.077836233643602</v>
      </c>
      <c r="O34" s="96">
        <v>15</v>
      </c>
      <c r="P34" s="69">
        <v>2</v>
      </c>
    </row>
    <row r="35" spans="2:16" x14ac:dyDescent="0.3">
      <c r="B35" s="69" t="s">
        <v>148</v>
      </c>
      <c r="C35" s="69">
        <f>335/2</f>
        <v>167.5</v>
      </c>
      <c r="D35" s="69" t="s">
        <v>149</v>
      </c>
      <c r="M35" s="94">
        <v>7</v>
      </c>
      <c r="N35" s="95">
        <v>10.538918116821801</v>
      </c>
      <c r="O35" s="96">
        <v>15</v>
      </c>
    </row>
    <row r="36" spans="2:16" x14ac:dyDescent="0.3">
      <c r="B36" s="69" t="s">
        <v>150</v>
      </c>
      <c r="C36" s="69">
        <f>243/2</f>
        <v>121.5</v>
      </c>
      <c r="D36" s="69" t="s">
        <v>149</v>
      </c>
      <c r="M36" s="97">
        <v>8</v>
      </c>
      <c r="N36" s="98"/>
      <c r="O36" s="91">
        <v>15</v>
      </c>
    </row>
    <row r="37" spans="2:16" ht="15" thickBot="1" x14ac:dyDescent="0.35">
      <c r="B37" s="69" t="s">
        <v>151</v>
      </c>
      <c r="C37" s="69">
        <f>283/2</f>
        <v>141.5</v>
      </c>
      <c r="D37" s="69" t="s">
        <v>149</v>
      </c>
      <c r="M37" s="125">
        <v>9</v>
      </c>
      <c r="N37" s="127">
        <v>10.538918116821801</v>
      </c>
      <c r="O37" s="128">
        <v>15</v>
      </c>
    </row>
  </sheetData>
  <mergeCells count="3">
    <mergeCell ref="M3:O3"/>
    <mergeCell ref="M15:N15"/>
    <mergeCell ref="M27:O27"/>
  </mergeCells>
  <pageMargins left="0.7" right="0.7" top="0.75" bottom="0.75" header="0.3" footer="0.3"/>
  <pageSetup scale="7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F2EC-89A9-466E-9DAA-1B315804ABC2}">
  <dimension ref="A1:C108"/>
  <sheetViews>
    <sheetView topLeftCell="A45" workbookViewId="0">
      <selection activeCell="B10" sqref="B10"/>
    </sheetView>
  </sheetViews>
  <sheetFormatPr defaultColWidth="9" defaultRowHeight="14.4" x14ac:dyDescent="0.3"/>
  <cols>
    <col min="1" max="1" width="29.59765625" style="69" customWidth="1"/>
    <col min="2" max="2" width="58.09765625" style="75" customWidth="1"/>
    <col min="3" max="16384" width="9" style="69"/>
  </cols>
  <sheetData>
    <row r="1" spans="1:3" ht="18" x14ac:dyDescent="0.3">
      <c r="A1" s="66" t="s">
        <v>152</v>
      </c>
      <c r="B1" s="67">
        <v>2024</v>
      </c>
      <c r="C1" s="68"/>
    </row>
    <row r="2" spans="1:3" x14ac:dyDescent="0.3">
      <c r="A2" s="70" t="s">
        <v>153</v>
      </c>
      <c r="B2" s="71" t="s">
        <v>105</v>
      </c>
    </row>
    <row r="3" spans="1:3" x14ac:dyDescent="0.3">
      <c r="A3" s="70" t="s">
        <v>154</v>
      </c>
      <c r="B3" s="71" t="s">
        <v>155</v>
      </c>
    </row>
    <row r="4" spans="1:3" x14ac:dyDescent="0.3">
      <c r="A4" s="70" t="s">
        <v>156</v>
      </c>
      <c r="B4" s="71" t="s">
        <v>157</v>
      </c>
    </row>
    <row r="5" spans="1:3" x14ac:dyDescent="0.3">
      <c r="A5" s="70" t="s">
        <v>158</v>
      </c>
      <c r="B5" s="71"/>
    </row>
    <row r="6" spans="1:3" x14ac:dyDescent="0.3">
      <c r="A6" s="70" t="s">
        <v>159</v>
      </c>
      <c r="B6" s="71"/>
    </row>
    <row r="7" spans="1:3" x14ac:dyDescent="0.3">
      <c r="A7" s="70" t="s">
        <v>160</v>
      </c>
      <c r="B7" s="72"/>
    </row>
    <row r="8" spans="1:3" x14ac:dyDescent="0.3">
      <c r="A8" s="73" t="s">
        <v>161</v>
      </c>
      <c r="B8" s="71"/>
    </row>
    <row r="9" spans="1:3" ht="18" x14ac:dyDescent="0.3">
      <c r="A9" s="66" t="s">
        <v>162</v>
      </c>
      <c r="B9" s="67"/>
    </row>
    <row r="10" spans="1:3" x14ac:dyDescent="0.3">
      <c r="A10" s="70" t="s">
        <v>163</v>
      </c>
      <c r="B10" s="74">
        <v>45418</v>
      </c>
    </row>
    <row r="11" spans="1:3" x14ac:dyDescent="0.3">
      <c r="A11" s="70" t="s">
        <v>164</v>
      </c>
      <c r="B11" s="75" t="s">
        <v>165</v>
      </c>
    </row>
    <row r="12" spans="1:3" x14ac:dyDescent="0.3">
      <c r="A12" s="70" t="s">
        <v>166</v>
      </c>
      <c r="B12" s="75" t="s">
        <v>167</v>
      </c>
      <c r="C12" s="76"/>
    </row>
    <row r="13" spans="1:3" x14ac:dyDescent="0.3">
      <c r="A13" s="70"/>
    </row>
    <row r="14" spans="1:3" x14ac:dyDescent="0.3">
      <c r="A14" s="70" t="s">
        <v>168</v>
      </c>
    </row>
    <row r="15" spans="1:3" x14ac:dyDescent="0.3">
      <c r="A15" s="70" t="s">
        <v>169</v>
      </c>
      <c r="B15" s="75">
        <v>2.5</v>
      </c>
    </row>
    <row r="16" spans="1:3" x14ac:dyDescent="0.3">
      <c r="A16" s="70" t="s">
        <v>170</v>
      </c>
    </row>
    <row r="17" spans="1:2" x14ac:dyDescent="0.3">
      <c r="A17" s="70" t="s">
        <v>171</v>
      </c>
      <c r="B17" s="75" t="s">
        <v>172</v>
      </c>
    </row>
    <row r="18" spans="1:2" x14ac:dyDescent="0.3">
      <c r="A18" s="70"/>
    </row>
    <row r="19" spans="1:2" x14ac:dyDescent="0.3">
      <c r="A19" s="70" t="s">
        <v>173</v>
      </c>
      <c r="B19" s="75" t="s">
        <v>174</v>
      </c>
    </row>
    <row r="20" spans="1:2" x14ac:dyDescent="0.3">
      <c r="A20" s="70" t="s">
        <v>175</v>
      </c>
      <c r="B20" s="71"/>
    </row>
    <row r="21" spans="1:2" x14ac:dyDescent="0.3">
      <c r="A21" s="70" t="s">
        <v>176</v>
      </c>
      <c r="B21" s="71"/>
    </row>
    <row r="22" spans="1:2" x14ac:dyDescent="0.3">
      <c r="A22" s="70" t="s">
        <v>177</v>
      </c>
    </row>
    <row r="23" spans="1:2" x14ac:dyDescent="0.3">
      <c r="A23" s="73"/>
    </row>
    <row r="24" spans="1:2" ht="17.25" customHeight="1" x14ac:dyDescent="0.3">
      <c r="A24" s="66" t="s">
        <v>178</v>
      </c>
      <c r="B24" s="67"/>
    </row>
    <row r="25" spans="1:2" ht="15" customHeight="1" x14ac:dyDescent="0.3">
      <c r="A25" s="70" t="s">
        <v>179</v>
      </c>
      <c r="B25" s="75">
        <v>2.5</v>
      </c>
    </row>
    <row r="26" spans="1:2" ht="15" customHeight="1" x14ac:dyDescent="0.3">
      <c r="A26" s="70" t="s">
        <v>180</v>
      </c>
      <c r="B26" s="75">
        <v>6</v>
      </c>
    </row>
    <row r="27" spans="1:2" ht="15" customHeight="1" x14ac:dyDescent="0.3">
      <c r="A27" s="70" t="s">
        <v>181</v>
      </c>
      <c r="B27" s="169" t="s">
        <v>182</v>
      </c>
    </row>
    <row r="28" spans="1:2" ht="15" customHeight="1" x14ac:dyDescent="0.3">
      <c r="A28" s="70" t="s">
        <v>183</v>
      </c>
      <c r="B28" s="169" t="s">
        <v>184</v>
      </c>
    </row>
    <row r="29" spans="1:2" ht="15" customHeight="1" x14ac:dyDescent="0.3">
      <c r="A29" s="70" t="s">
        <v>185</v>
      </c>
    </row>
    <row r="30" spans="1:2" ht="15" customHeight="1" x14ac:dyDescent="0.3">
      <c r="A30" s="70"/>
    </row>
    <row r="31" spans="1:2" ht="15" customHeight="1" x14ac:dyDescent="0.3">
      <c r="A31" s="70" t="s">
        <v>186</v>
      </c>
    </row>
    <row r="32" spans="1:2" ht="15" customHeight="1" x14ac:dyDescent="0.3">
      <c r="A32" s="70" t="s">
        <v>187</v>
      </c>
    </row>
    <row r="33" spans="1:2" ht="15" customHeight="1" x14ac:dyDescent="0.3">
      <c r="A33" s="70" t="s">
        <v>188</v>
      </c>
    </row>
    <row r="34" spans="1:2" ht="15" customHeight="1" x14ac:dyDescent="0.3">
      <c r="A34" s="70" t="s">
        <v>187</v>
      </c>
    </row>
    <row r="35" spans="1:2" ht="15" customHeight="1" x14ac:dyDescent="0.3">
      <c r="A35" s="70" t="s">
        <v>189</v>
      </c>
      <c r="B35" s="71" t="s">
        <v>190</v>
      </c>
    </row>
    <row r="36" spans="1:2" ht="15" customHeight="1" x14ac:dyDescent="0.3">
      <c r="A36" s="70" t="s">
        <v>187</v>
      </c>
      <c r="B36" s="71" t="s">
        <v>191</v>
      </c>
    </row>
    <row r="37" spans="1:2" ht="15" customHeight="1" x14ac:dyDescent="0.3">
      <c r="A37" s="70" t="s">
        <v>192</v>
      </c>
      <c r="B37" s="71" t="s">
        <v>193</v>
      </c>
    </row>
    <row r="38" spans="1:2" ht="15" customHeight="1" x14ac:dyDescent="0.3">
      <c r="A38" s="70" t="s">
        <v>187</v>
      </c>
      <c r="B38" s="71" t="s">
        <v>194</v>
      </c>
    </row>
    <row r="39" spans="1:2" ht="15" customHeight="1" x14ac:dyDescent="0.3">
      <c r="A39" s="73" t="s">
        <v>195</v>
      </c>
      <c r="B39" s="68"/>
    </row>
    <row r="40" spans="1:2" ht="15" customHeight="1" x14ac:dyDescent="0.3">
      <c r="A40" s="73"/>
      <c r="B40" s="68"/>
    </row>
    <row r="41" spans="1:2" ht="15" customHeight="1" x14ac:dyDescent="0.3">
      <c r="A41" s="73"/>
      <c r="B41" s="68"/>
    </row>
    <row r="42" spans="1:2" ht="15" customHeight="1" x14ac:dyDescent="0.3">
      <c r="A42" s="73" t="s">
        <v>196</v>
      </c>
      <c r="B42" s="71" t="s">
        <v>197</v>
      </c>
    </row>
    <row r="43" spans="1:2" ht="15" customHeight="1" x14ac:dyDescent="0.3">
      <c r="A43" s="70" t="s">
        <v>198</v>
      </c>
      <c r="B43" s="71" t="s">
        <v>199</v>
      </c>
    </row>
    <row r="44" spans="1:2" ht="15" customHeight="1" x14ac:dyDescent="0.3">
      <c r="A44" s="70" t="s">
        <v>200</v>
      </c>
      <c r="B44" s="71"/>
    </row>
    <row r="45" spans="1:2" ht="15" customHeight="1" x14ac:dyDescent="0.3">
      <c r="A45" s="70"/>
      <c r="B45" s="71"/>
    </row>
    <row r="46" spans="1:2" ht="15" customHeight="1" x14ac:dyDescent="0.3">
      <c r="A46" s="70" t="s">
        <v>201</v>
      </c>
      <c r="B46" s="71" t="s">
        <v>202</v>
      </c>
    </row>
    <row r="47" spans="1:2" ht="15" customHeight="1" x14ac:dyDescent="0.3">
      <c r="A47" s="70" t="s">
        <v>203</v>
      </c>
      <c r="B47" s="71" t="s">
        <v>204</v>
      </c>
    </row>
    <row r="48" spans="1:2" ht="15" customHeight="1" x14ac:dyDescent="0.3">
      <c r="A48" s="70"/>
      <c r="B48" s="71"/>
    </row>
    <row r="49" spans="1:2" ht="15" customHeight="1" x14ac:dyDescent="0.3">
      <c r="A49" s="70" t="s">
        <v>205</v>
      </c>
      <c r="B49" s="77"/>
    </row>
    <row r="50" spans="1:2" ht="15" customHeight="1" x14ac:dyDescent="0.3">
      <c r="A50" s="73"/>
      <c r="B50" s="71"/>
    </row>
    <row r="51" spans="1:2" ht="15" customHeight="1" x14ac:dyDescent="0.3">
      <c r="A51" s="70" t="s">
        <v>206</v>
      </c>
    </row>
    <row r="52" spans="1:2" ht="15" customHeight="1" x14ac:dyDescent="0.3">
      <c r="A52" s="70" t="s">
        <v>207</v>
      </c>
      <c r="B52" s="71"/>
    </row>
    <row r="53" spans="1:2" ht="15" customHeight="1" x14ac:dyDescent="0.3">
      <c r="A53" s="70" t="s">
        <v>208</v>
      </c>
      <c r="B53" s="71"/>
    </row>
    <row r="54" spans="1:2" ht="15" customHeight="1" x14ac:dyDescent="0.3">
      <c r="A54" s="70"/>
      <c r="B54" s="71"/>
    </row>
    <row r="55" spans="1:2" x14ac:dyDescent="0.3">
      <c r="A55" s="70"/>
    </row>
    <row r="56" spans="1:2" ht="15" customHeight="1" x14ac:dyDescent="0.3">
      <c r="A56" s="66" t="s">
        <v>209</v>
      </c>
      <c r="B56" s="67"/>
    </row>
    <row r="57" spans="1:2" x14ac:dyDescent="0.3">
      <c r="A57" s="70" t="s">
        <v>210</v>
      </c>
      <c r="B57" s="71"/>
    </row>
    <row r="58" spans="1:2" x14ac:dyDescent="0.3">
      <c r="A58" s="70" t="s">
        <v>211</v>
      </c>
      <c r="B58" s="71"/>
    </row>
    <row r="59" spans="1:2" x14ac:dyDescent="0.3">
      <c r="A59" s="70" t="s">
        <v>212</v>
      </c>
      <c r="B59" s="71"/>
    </row>
    <row r="60" spans="1:2" x14ac:dyDescent="0.3">
      <c r="A60" s="70" t="s">
        <v>213</v>
      </c>
      <c r="B60" s="71"/>
    </row>
    <row r="61" spans="1:2" x14ac:dyDescent="0.3">
      <c r="A61" s="70" t="s">
        <v>214</v>
      </c>
      <c r="B61" s="71"/>
    </row>
    <row r="62" spans="1:2" x14ac:dyDescent="0.3">
      <c r="A62" s="70"/>
      <c r="B62" s="71"/>
    </row>
    <row r="63" spans="1:2" ht="18" x14ac:dyDescent="0.3">
      <c r="A63" s="66" t="s">
        <v>215</v>
      </c>
      <c r="B63" s="67"/>
    </row>
    <row r="64" spans="1:2" x14ac:dyDescent="0.3">
      <c r="A64" s="70" t="s">
        <v>216</v>
      </c>
      <c r="B64" s="71" t="s">
        <v>217</v>
      </c>
    </row>
    <row r="65" spans="1:2" x14ac:dyDescent="0.3">
      <c r="A65" s="70" t="s">
        <v>49</v>
      </c>
      <c r="B65" s="78">
        <v>44678</v>
      </c>
    </row>
    <row r="66" spans="1:2" x14ac:dyDescent="0.3">
      <c r="A66" s="70" t="s">
        <v>218</v>
      </c>
      <c r="B66" s="71" t="s">
        <v>219</v>
      </c>
    </row>
    <row r="67" spans="1:2" x14ac:dyDescent="0.3">
      <c r="A67" s="70"/>
    </row>
    <row r="68" spans="1:2" x14ac:dyDescent="0.3">
      <c r="A68" s="70" t="s">
        <v>216</v>
      </c>
      <c r="B68" s="71" t="s">
        <v>220</v>
      </c>
    </row>
    <row r="69" spans="1:2" x14ac:dyDescent="0.3">
      <c r="A69" s="70" t="s">
        <v>49</v>
      </c>
      <c r="B69" s="78">
        <v>45405</v>
      </c>
    </row>
    <row r="70" spans="1:2" x14ac:dyDescent="0.3">
      <c r="A70" s="70" t="s">
        <v>218</v>
      </c>
      <c r="B70" s="71" t="s">
        <v>221</v>
      </c>
    </row>
    <row r="71" spans="1:2" x14ac:dyDescent="0.3">
      <c r="A71" s="73"/>
      <c r="B71" s="71"/>
    </row>
    <row r="72" spans="1:2" x14ac:dyDescent="0.3">
      <c r="A72" s="70" t="s">
        <v>222</v>
      </c>
      <c r="B72" s="71" t="s">
        <v>223</v>
      </c>
    </row>
    <row r="73" spans="1:2" x14ac:dyDescent="0.3">
      <c r="A73" s="70" t="s">
        <v>49</v>
      </c>
      <c r="B73" s="167">
        <v>45412</v>
      </c>
    </row>
    <row r="74" spans="1:2" x14ac:dyDescent="0.3">
      <c r="A74" s="70" t="s">
        <v>224</v>
      </c>
      <c r="B74" s="169" t="s">
        <v>225</v>
      </c>
    </row>
    <row r="75" spans="1:2" x14ac:dyDescent="0.3">
      <c r="A75" s="70" t="s">
        <v>166</v>
      </c>
      <c r="B75" s="75" t="s">
        <v>226</v>
      </c>
    </row>
    <row r="76" spans="1:2" x14ac:dyDescent="0.3">
      <c r="A76" s="70"/>
      <c r="B76" s="71"/>
    </row>
    <row r="77" spans="1:2" ht="15.6" x14ac:dyDescent="0.3">
      <c r="A77" s="70" t="s">
        <v>222</v>
      </c>
      <c r="B77" s="166" t="s">
        <v>227</v>
      </c>
    </row>
    <row r="78" spans="1:2" x14ac:dyDescent="0.3">
      <c r="A78" s="70" t="s">
        <v>49</v>
      </c>
      <c r="B78" s="167">
        <v>45440</v>
      </c>
    </row>
    <row r="79" spans="1:2" x14ac:dyDescent="0.3">
      <c r="A79" s="70" t="s">
        <v>224</v>
      </c>
      <c r="B79" s="169" t="s">
        <v>228</v>
      </c>
    </row>
    <row r="80" spans="1:2" x14ac:dyDescent="0.3">
      <c r="A80" s="70" t="s">
        <v>166</v>
      </c>
      <c r="B80" s="169" t="s">
        <v>229</v>
      </c>
    </row>
    <row r="81" spans="1:2" x14ac:dyDescent="0.3">
      <c r="A81" s="70"/>
    </row>
    <row r="82" spans="1:2" x14ac:dyDescent="0.3">
      <c r="A82" s="70" t="s">
        <v>222</v>
      </c>
      <c r="B82" s="75" t="s">
        <v>230</v>
      </c>
    </row>
    <row r="83" spans="1:2" x14ac:dyDescent="0.3">
      <c r="A83" s="70" t="s">
        <v>49</v>
      </c>
      <c r="B83" s="168">
        <v>45449</v>
      </c>
    </row>
    <row r="84" spans="1:2" x14ac:dyDescent="0.3">
      <c r="A84" s="70" t="s">
        <v>224</v>
      </c>
      <c r="B84" s="169" t="s">
        <v>116</v>
      </c>
    </row>
    <row r="85" spans="1:2" x14ac:dyDescent="0.3">
      <c r="A85" s="70" t="s">
        <v>166</v>
      </c>
      <c r="B85" s="71" t="s">
        <v>231</v>
      </c>
    </row>
    <row r="86" spans="1:2" x14ac:dyDescent="0.3">
      <c r="A86" s="70"/>
      <c r="B86" s="71"/>
    </row>
    <row r="87" spans="1:2" x14ac:dyDescent="0.3">
      <c r="A87" s="70" t="s">
        <v>222</v>
      </c>
      <c r="B87" s="71" t="s">
        <v>129</v>
      </c>
    </row>
    <row r="88" spans="1:2" x14ac:dyDescent="0.3">
      <c r="A88" s="70" t="s">
        <v>49</v>
      </c>
      <c r="B88" s="167">
        <v>45457</v>
      </c>
    </row>
    <row r="89" spans="1:2" x14ac:dyDescent="0.3">
      <c r="A89" s="70" t="s">
        <v>224</v>
      </c>
      <c r="B89" s="71" t="s">
        <v>128</v>
      </c>
    </row>
    <row r="90" spans="1:2" x14ac:dyDescent="0.3">
      <c r="A90" s="70" t="s">
        <v>166</v>
      </c>
      <c r="B90" s="71" t="s">
        <v>232</v>
      </c>
    </row>
    <row r="91" spans="1:2" x14ac:dyDescent="0.3">
      <c r="A91" s="70"/>
      <c r="B91" s="71"/>
    </row>
    <row r="92" spans="1:2" x14ac:dyDescent="0.3">
      <c r="A92" s="70" t="s">
        <v>222</v>
      </c>
      <c r="B92" s="71" t="s">
        <v>233</v>
      </c>
    </row>
    <row r="93" spans="1:2" x14ac:dyDescent="0.3">
      <c r="A93" s="70" t="s">
        <v>49</v>
      </c>
      <c r="B93" s="167">
        <v>45475</v>
      </c>
    </row>
    <row r="94" spans="1:2" x14ac:dyDescent="0.3">
      <c r="A94" s="70" t="s">
        <v>224</v>
      </c>
      <c r="B94" s="71" t="s">
        <v>136</v>
      </c>
    </row>
    <row r="95" spans="1:2" x14ac:dyDescent="0.3">
      <c r="A95" s="70" t="s">
        <v>166</v>
      </c>
      <c r="B95" s="71" t="s">
        <v>233</v>
      </c>
    </row>
    <row r="96" spans="1:2" x14ac:dyDescent="0.3">
      <c r="A96" s="73"/>
    </row>
    <row r="97" spans="1:2" x14ac:dyDescent="0.3">
      <c r="A97" s="70" t="s">
        <v>234</v>
      </c>
    </row>
    <row r="98" spans="1:2" x14ac:dyDescent="0.3">
      <c r="A98" s="70" t="s">
        <v>49</v>
      </c>
    </row>
    <row r="99" spans="1:2" x14ac:dyDescent="0.3">
      <c r="A99" s="70" t="s">
        <v>166</v>
      </c>
    </row>
    <row r="100" spans="1:2" x14ac:dyDescent="0.3">
      <c r="A100" s="73"/>
    </row>
    <row r="101" spans="1:2" x14ac:dyDescent="0.3">
      <c r="A101" s="70" t="s">
        <v>235</v>
      </c>
    </row>
    <row r="102" spans="1:2" x14ac:dyDescent="0.3">
      <c r="A102" s="73"/>
    </row>
    <row r="103" spans="1:2" ht="18" x14ac:dyDescent="0.3">
      <c r="A103" s="80" t="s">
        <v>236</v>
      </c>
      <c r="B103" s="81"/>
    </row>
    <row r="104" spans="1:2" x14ac:dyDescent="0.3">
      <c r="A104" s="70" t="s">
        <v>237</v>
      </c>
      <c r="B104" s="71" t="s">
        <v>238</v>
      </c>
    </row>
    <row r="105" spans="1:2" x14ac:dyDescent="0.3">
      <c r="A105" s="70" t="s">
        <v>239</v>
      </c>
      <c r="B105" s="165">
        <v>45525</v>
      </c>
    </row>
    <row r="106" spans="1:2" x14ac:dyDescent="0.3">
      <c r="A106" s="73"/>
      <c r="B106" s="71"/>
    </row>
    <row r="107" spans="1:2" ht="18" x14ac:dyDescent="0.3">
      <c r="A107" s="80" t="s">
        <v>240</v>
      </c>
      <c r="B107" s="81"/>
    </row>
    <row r="108" spans="1:2" x14ac:dyDescent="0.3">
      <c r="A108" s="73"/>
      <c r="B108" s="7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opLeftCell="A7" workbookViewId="0">
      <selection activeCell="B12" sqref="B12:E20"/>
    </sheetView>
  </sheetViews>
  <sheetFormatPr defaultColWidth="11" defaultRowHeight="15.6" x14ac:dyDescent="0.3"/>
  <cols>
    <col min="3" max="3" width="20.19921875" customWidth="1"/>
    <col min="5" max="5" width="36.19921875" customWidth="1"/>
    <col min="6" max="6" width="24.09765625" customWidth="1"/>
    <col min="7" max="7" width="17.69921875" customWidth="1"/>
    <col min="8" max="8" width="41.09765625" customWidth="1"/>
  </cols>
  <sheetData>
    <row r="1" spans="1:11" ht="25.8" x14ac:dyDescent="0.5">
      <c r="B1" s="4" t="s">
        <v>0</v>
      </c>
    </row>
    <row r="3" spans="1:11" x14ac:dyDescent="0.3">
      <c r="B3" s="2" t="s">
        <v>241</v>
      </c>
      <c r="C3" s="2" t="s">
        <v>242</v>
      </c>
      <c r="F3" t="s">
        <v>243</v>
      </c>
    </row>
    <row r="4" spans="1:11" x14ac:dyDescent="0.3">
      <c r="B4" s="2" t="s">
        <v>244</v>
      </c>
      <c r="C4" s="2" t="s">
        <v>245</v>
      </c>
      <c r="F4" t="s">
        <v>246</v>
      </c>
      <c r="G4" s="65"/>
      <c r="H4" t="s">
        <v>247</v>
      </c>
    </row>
    <row r="5" spans="1:11" x14ac:dyDescent="0.3">
      <c r="B5" s="2" t="s">
        <v>248</v>
      </c>
      <c r="C5" s="2" t="s">
        <v>249</v>
      </c>
      <c r="F5" t="s">
        <v>250</v>
      </c>
      <c r="G5" s="65"/>
      <c r="H5" t="s">
        <v>251</v>
      </c>
    </row>
    <row r="6" spans="1:11" x14ac:dyDescent="0.3">
      <c r="B6" s="2" t="s">
        <v>252</v>
      </c>
      <c r="C6" s="33">
        <v>4</v>
      </c>
      <c r="F6" t="s">
        <v>253</v>
      </c>
      <c r="G6" s="65"/>
    </row>
    <row r="7" spans="1:11" x14ac:dyDescent="0.3">
      <c r="B7" s="2" t="s">
        <v>254</v>
      </c>
      <c r="C7" s="23">
        <v>27</v>
      </c>
    </row>
    <row r="8" spans="1:11" x14ac:dyDescent="0.3">
      <c r="B8" s="2"/>
      <c r="C8" s="23"/>
    </row>
    <row r="9" spans="1:11" s="40" customFormat="1" x14ac:dyDescent="0.3">
      <c r="A9"/>
      <c r="B9" s="38" t="s">
        <v>255</v>
      </c>
      <c r="C9" s="39"/>
    </row>
    <row r="11" spans="1:11" ht="42.6" customHeight="1" x14ac:dyDescent="0.3">
      <c r="B11" s="27" t="s">
        <v>1</v>
      </c>
      <c r="C11" s="27" t="s">
        <v>40</v>
      </c>
      <c r="D11" s="27" t="s">
        <v>66</v>
      </c>
      <c r="E11" s="24" t="s">
        <v>256</v>
      </c>
      <c r="F11" s="24" t="s">
        <v>257</v>
      </c>
      <c r="G11" s="30"/>
      <c r="H11" s="30"/>
      <c r="I11" s="31"/>
      <c r="J11" s="30"/>
      <c r="K11" s="32"/>
    </row>
    <row r="12" spans="1:11" x14ac:dyDescent="0.3">
      <c r="B12">
        <v>1</v>
      </c>
      <c r="C12" t="s">
        <v>42</v>
      </c>
      <c r="D12">
        <v>1</v>
      </c>
      <c r="E12" t="s">
        <v>37</v>
      </c>
      <c r="I12" s="26"/>
    </row>
    <row r="13" spans="1:11" x14ac:dyDescent="0.3">
      <c r="B13">
        <v>2</v>
      </c>
      <c r="C13" t="s">
        <v>42</v>
      </c>
      <c r="D13">
        <v>2</v>
      </c>
      <c r="E13" t="s">
        <v>32</v>
      </c>
      <c r="I13" s="26"/>
    </row>
    <row r="14" spans="1:11" x14ac:dyDescent="0.3">
      <c r="B14">
        <v>3</v>
      </c>
      <c r="C14" t="s">
        <v>42</v>
      </c>
      <c r="D14">
        <v>3</v>
      </c>
      <c r="E14" t="s">
        <v>39</v>
      </c>
      <c r="I14" s="25"/>
    </row>
    <row r="15" spans="1:11" x14ac:dyDescent="0.3">
      <c r="B15">
        <v>4</v>
      </c>
      <c r="C15" t="s">
        <v>42</v>
      </c>
      <c r="D15">
        <v>4</v>
      </c>
      <c r="E15" t="s">
        <v>36</v>
      </c>
    </row>
    <row r="16" spans="1:11" x14ac:dyDescent="0.3">
      <c r="B16">
        <v>5</v>
      </c>
      <c r="C16" t="s">
        <v>42</v>
      </c>
      <c r="D16">
        <v>5</v>
      </c>
      <c r="E16" t="s">
        <v>31</v>
      </c>
    </row>
    <row r="17" spans="2:6" x14ac:dyDescent="0.3">
      <c r="B17">
        <v>6</v>
      </c>
      <c r="C17" t="s">
        <v>42</v>
      </c>
      <c r="D17">
        <v>6</v>
      </c>
      <c r="E17" t="s">
        <v>35</v>
      </c>
    </row>
    <row r="18" spans="2:6" x14ac:dyDescent="0.3">
      <c r="B18">
        <v>7</v>
      </c>
      <c r="C18" t="s">
        <v>42</v>
      </c>
      <c r="D18">
        <v>7</v>
      </c>
      <c r="E18" t="s">
        <v>34</v>
      </c>
    </row>
    <row r="19" spans="2:6" x14ac:dyDescent="0.3">
      <c r="B19">
        <v>8</v>
      </c>
      <c r="C19" t="s">
        <v>42</v>
      </c>
      <c r="D19">
        <v>8</v>
      </c>
      <c r="E19" t="s">
        <v>38</v>
      </c>
    </row>
    <row r="20" spans="2:6" x14ac:dyDescent="0.3">
      <c r="B20">
        <v>9</v>
      </c>
      <c r="C20" t="s">
        <v>42</v>
      </c>
      <c r="D20">
        <v>9</v>
      </c>
      <c r="E20" t="s">
        <v>33</v>
      </c>
    </row>
    <row r="21" spans="2:6" x14ac:dyDescent="0.3">
      <c r="B21">
        <v>10</v>
      </c>
      <c r="C21" t="s">
        <v>43</v>
      </c>
      <c r="D21">
        <v>1</v>
      </c>
      <c r="E21" t="s">
        <v>37</v>
      </c>
    </row>
    <row r="22" spans="2:6" x14ac:dyDescent="0.3">
      <c r="B22">
        <v>11</v>
      </c>
      <c r="C22" t="s">
        <v>43</v>
      </c>
      <c r="D22">
        <v>2</v>
      </c>
      <c r="E22" t="s">
        <v>32</v>
      </c>
    </row>
    <row r="23" spans="2:6" x14ac:dyDescent="0.3">
      <c r="B23">
        <v>12</v>
      </c>
      <c r="C23" t="s">
        <v>43</v>
      </c>
      <c r="D23">
        <v>3</v>
      </c>
      <c r="E23" t="s">
        <v>39</v>
      </c>
    </row>
    <row r="24" spans="2:6" x14ac:dyDescent="0.3">
      <c r="B24">
        <v>13</v>
      </c>
      <c r="C24" t="s">
        <v>43</v>
      </c>
      <c r="D24">
        <v>4</v>
      </c>
      <c r="E24" t="s">
        <v>36</v>
      </c>
    </row>
    <row r="25" spans="2:6" x14ac:dyDescent="0.3">
      <c r="B25">
        <v>14</v>
      </c>
      <c r="C25" t="s">
        <v>43</v>
      </c>
      <c r="D25">
        <v>5</v>
      </c>
      <c r="E25" t="s">
        <v>31</v>
      </c>
    </row>
    <row r="26" spans="2:6" x14ac:dyDescent="0.3">
      <c r="B26">
        <v>15</v>
      </c>
      <c r="C26" t="s">
        <v>43</v>
      </c>
      <c r="D26">
        <v>6</v>
      </c>
      <c r="E26" t="s">
        <v>35</v>
      </c>
    </row>
    <row r="27" spans="2:6" x14ac:dyDescent="0.3">
      <c r="B27">
        <v>16</v>
      </c>
      <c r="C27" t="s">
        <v>43</v>
      </c>
      <c r="D27">
        <v>7</v>
      </c>
      <c r="E27" t="s">
        <v>34</v>
      </c>
      <c r="F27" s="29" t="s">
        <v>258</v>
      </c>
    </row>
    <row r="28" spans="2:6" x14ac:dyDescent="0.3">
      <c r="B28">
        <v>17</v>
      </c>
      <c r="C28" t="s">
        <v>43</v>
      </c>
      <c r="D28">
        <v>8</v>
      </c>
      <c r="E28" t="s">
        <v>38</v>
      </c>
      <c r="F28" s="28"/>
    </row>
    <row r="29" spans="2:6" x14ac:dyDescent="0.3">
      <c r="B29">
        <v>18</v>
      </c>
      <c r="C29" t="s">
        <v>43</v>
      </c>
      <c r="D29">
        <v>9</v>
      </c>
      <c r="E29" t="s">
        <v>33</v>
      </c>
    </row>
    <row r="30" spans="2:6" x14ac:dyDescent="0.3">
      <c r="B30">
        <v>19</v>
      </c>
      <c r="C30" t="s">
        <v>41</v>
      </c>
      <c r="D30">
        <v>1</v>
      </c>
      <c r="E30" t="s">
        <v>37</v>
      </c>
    </row>
    <row r="31" spans="2:6" x14ac:dyDescent="0.3">
      <c r="B31">
        <v>20</v>
      </c>
      <c r="C31" t="s">
        <v>41</v>
      </c>
      <c r="D31">
        <v>2</v>
      </c>
      <c r="E31" t="s">
        <v>32</v>
      </c>
    </row>
    <row r="32" spans="2:6" x14ac:dyDescent="0.3">
      <c r="B32">
        <v>21</v>
      </c>
      <c r="C32" t="s">
        <v>41</v>
      </c>
      <c r="D32">
        <v>3</v>
      </c>
      <c r="E32" t="s">
        <v>39</v>
      </c>
    </row>
    <row r="33" spans="2:5" x14ac:dyDescent="0.3">
      <c r="B33">
        <v>22</v>
      </c>
      <c r="C33" t="s">
        <v>41</v>
      </c>
      <c r="D33">
        <v>4</v>
      </c>
      <c r="E33" t="s">
        <v>36</v>
      </c>
    </row>
    <row r="34" spans="2:5" x14ac:dyDescent="0.3">
      <c r="B34">
        <v>23</v>
      </c>
      <c r="C34" t="s">
        <v>41</v>
      </c>
      <c r="D34">
        <v>5</v>
      </c>
      <c r="E34" t="s">
        <v>31</v>
      </c>
    </row>
    <row r="35" spans="2:5" x14ac:dyDescent="0.3">
      <c r="B35">
        <v>24</v>
      </c>
      <c r="C35" t="s">
        <v>41</v>
      </c>
      <c r="D35">
        <v>6</v>
      </c>
      <c r="E35" t="s">
        <v>35</v>
      </c>
    </row>
    <row r="36" spans="2:5" x14ac:dyDescent="0.3">
      <c r="B36">
        <v>25</v>
      </c>
      <c r="C36" t="s">
        <v>41</v>
      </c>
      <c r="D36">
        <v>7</v>
      </c>
      <c r="E36" t="s">
        <v>34</v>
      </c>
    </row>
    <row r="37" spans="2:5" x14ac:dyDescent="0.3">
      <c r="B37">
        <v>26</v>
      </c>
      <c r="C37" t="s">
        <v>41</v>
      </c>
      <c r="D37">
        <v>8</v>
      </c>
      <c r="E37" t="s">
        <v>38</v>
      </c>
    </row>
    <row r="38" spans="2:5" x14ac:dyDescent="0.3">
      <c r="B38">
        <v>27</v>
      </c>
      <c r="C38" t="s">
        <v>41</v>
      </c>
      <c r="D38">
        <v>9</v>
      </c>
      <c r="E38" t="s">
        <v>33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A1D7-13D4-407A-BFEE-28D551B527A7}">
  <dimension ref="H7:H37"/>
  <sheetViews>
    <sheetView topLeftCell="A4" workbookViewId="0">
      <selection activeCell="R35" sqref="R35"/>
    </sheetView>
  </sheetViews>
  <sheetFormatPr defaultRowHeight="15.6" x14ac:dyDescent="0.3"/>
  <sheetData>
    <row r="7" spans="8:8" x14ac:dyDescent="0.3">
      <c r="H7" t="s">
        <v>259</v>
      </c>
    </row>
    <row r="12" spans="8:8" x14ac:dyDescent="0.3">
      <c r="H12" s="37" t="s">
        <v>260</v>
      </c>
    </row>
    <row r="19" spans="8:8" x14ac:dyDescent="0.3">
      <c r="H19" t="s">
        <v>261</v>
      </c>
    </row>
    <row r="25" spans="8:8" x14ac:dyDescent="0.3">
      <c r="H25" t="s">
        <v>262</v>
      </c>
    </row>
    <row r="35" spans="8:8" x14ac:dyDescent="0.3">
      <c r="H35" t="s">
        <v>263</v>
      </c>
    </row>
    <row r="37" spans="8:8" x14ac:dyDescent="0.3">
      <c r="H37" t="s">
        <v>264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09B2-5AA2-4102-8328-B854CB827E32}">
  <sheetPr>
    <pageSetUpPr fitToPage="1"/>
  </sheetPr>
  <dimension ref="A1:AB27"/>
  <sheetViews>
    <sheetView zoomScaleNormal="100" workbookViewId="0">
      <selection sqref="A1:AC26"/>
    </sheetView>
  </sheetViews>
  <sheetFormatPr defaultColWidth="15.69921875" defaultRowHeight="15.6" x14ac:dyDescent="0.3"/>
  <cols>
    <col min="1" max="1" width="33" style="3" customWidth="1"/>
    <col min="2" max="16384" width="15.69921875" style="3"/>
  </cols>
  <sheetData>
    <row r="1" spans="1:28" ht="26.4" thickBot="1" x14ac:dyDescent="0.55000000000000004">
      <c r="B1" s="4" t="s">
        <v>0</v>
      </c>
    </row>
    <row r="2" spans="1:28" s="55" customFormat="1" ht="16.2" thickTop="1" x14ac:dyDescent="0.3">
      <c r="A2" s="61" t="s">
        <v>1</v>
      </c>
      <c r="B2" s="62" t="s">
        <v>2</v>
      </c>
      <c r="C2" s="62" t="s">
        <v>3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62" t="s">
        <v>12</v>
      </c>
      <c r="M2" s="62" t="s">
        <v>13</v>
      </c>
      <c r="N2" s="62" t="s">
        <v>14</v>
      </c>
      <c r="O2" s="62" t="s">
        <v>15</v>
      </c>
      <c r="P2" s="62" t="s">
        <v>16</v>
      </c>
      <c r="Q2" s="62" t="s">
        <v>17</v>
      </c>
      <c r="R2" s="62" t="s">
        <v>18</v>
      </c>
      <c r="S2" s="62" t="s">
        <v>19</v>
      </c>
      <c r="T2" s="62" t="s">
        <v>20</v>
      </c>
      <c r="U2" s="62" t="s">
        <v>21</v>
      </c>
      <c r="V2" s="62" t="s">
        <v>22</v>
      </c>
      <c r="W2" s="62" t="s">
        <v>23</v>
      </c>
      <c r="X2" s="62" t="s">
        <v>24</v>
      </c>
      <c r="Y2" s="62" t="s">
        <v>25</v>
      </c>
      <c r="Z2" s="62" t="s">
        <v>26</v>
      </c>
      <c r="AA2" s="62" t="s">
        <v>27</v>
      </c>
      <c r="AB2" s="62" t="s">
        <v>28</v>
      </c>
    </row>
    <row r="3" spans="1:28" x14ac:dyDescent="0.3">
      <c r="A3" s="55" t="s">
        <v>29</v>
      </c>
      <c r="B3" s="53">
        <v>5</v>
      </c>
      <c r="C3" s="53">
        <v>2</v>
      </c>
      <c r="D3" s="53">
        <v>9</v>
      </c>
      <c r="E3" s="53">
        <v>7</v>
      </c>
      <c r="F3" s="53">
        <v>6</v>
      </c>
      <c r="G3" s="53">
        <v>4</v>
      </c>
      <c r="H3" s="53">
        <v>1</v>
      </c>
      <c r="I3" s="53">
        <v>8</v>
      </c>
      <c r="J3" s="53">
        <v>3</v>
      </c>
      <c r="K3" s="53">
        <v>7</v>
      </c>
      <c r="L3" s="53">
        <v>9</v>
      </c>
      <c r="M3" s="53">
        <v>6</v>
      </c>
      <c r="N3" s="53">
        <v>4</v>
      </c>
      <c r="O3" s="53">
        <v>8</v>
      </c>
      <c r="P3" s="53">
        <v>5</v>
      </c>
      <c r="Q3" s="53">
        <v>3</v>
      </c>
      <c r="R3" s="53">
        <v>2</v>
      </c>
      <c r="S3" s="53">
        <v>1</v>
      </c>
      <c r="T3" s="53">
        <v>4</v>
      </c>
      <c r="U3" s="53">
        <v>1</v>
      </c>
      <c r="V3" s="53">
        <v>7</v>
      </c>
      <c r="W3" s="53">
        <v>5</v>
      </c>
      <c r="X3" s="53">
        <v>6</v>
      </c>
      <c r="Y3" s="53">
        <v>3</v>
      </c>
      <c r="Z3" s="53">
        <v>2</v>
      </c>
      <c r="AA3" s="53">
        <v>8</v>
      </c>
      <c r="AB3" s="53">
        <v>9</v>
      </c>
    </row>
    <row r="4" spans="1:28" ht="31.2" x14ac:dyDescent="0.3">
      <c r="A4" s="55" t="s">
        <v>30</v>
      </c>
      <c r="B4" s="54" t="s">
        <v>31</v>
      </c>
      <c r="C4" s="54" t="s">
        <v>32</v>
      </c>
      <c r="D4" s="54" t="s">
        <v>33</v>
      </c>
      <c r="E4" s="54" t="s">
        <v>34</v>
      </c>
      <c r="F4" s="54" t="s">
        <v>35</v>
      </c>
      <c r="G4" s="54" t="s">
        <v>36</v>
      </c>
      <c r="H4" s="54" t="s">
        <v>37</v>
      </c>
      <c r="I4" s="54" t="s">
        <v>38</v>
      </c>
      <c r="J4" s="54" t="s">
        <v>39</v>
      </c>
      <c r="K4" s="54" t="s">
        <v>34</v>
      </c>
      <c r="L4" s="54" t="s">
        <v>33</v>
      </c>
      <c r="M4" s="54" t="s">
        <v>35</v>
      </c>
      <c r="N4" s="54" t="s">
        <v>36</v>
      </c>
      <c r="O4" s="54" t="s">
        <v>38</v>
      </c>
      <c r="P4" s="54" t="s">
        <v>31</v>
      </c>
      <c r="Q4" s="54" t="s">
        <v>39</v>
      </c>
      <c r="R4" s="54" t="s">
        <v>32</v>
      </c>
      <c r="S4" s="54" t="s">
        <v>37</v>
      </c>
      <c r="T4" s="54" t="s">
        <v>36</v>
      </c>
      <c r="U4" s="54" t="s">
        <v>37</v>
      </c>
      <c r="V4" s="54" t="s">
        <v>34</v>
      </c>
      <c r="W4" s="54" t="s">
        <v>31</v>
      </c>
      <c r="X4" s="54" t="s">
        <v>35</v>
      </c>
      <c r="Y4" s="54" t="s">
        <v>39</v>
      </c>
      <c r="Z4" s="54" t="s">
        <v>32</v>
      </c>
      <c r="AA4" s="54" t="s">
        <v>38</v>
      </c>
      <c r="AB4" s="54" t="s">
        <v>33</v>
      </c>
    </row>
    <row r="5" spans="1:28" x14ac:dyDescent="0.3">
      <c r="A5" s="55" t="s">
        <v>40</v>
      </c>
      <c r="B5" s="60" t="s">
        <v>41</v>
      </c>
      <c r="C5" s="60" t="s">
        <v>41</v>
      </c>
      <c r="D5" s="60" t="s">
        <v>41</v>
      </c>
      <c r="E5" s="60" t="s">
        <v>41</v>
      </c>
      <c r="F5" s="60" t="s">
        <v>41</v>
      </c>
      <c r="G5" s="60" t="s">
        <v>41</v>
      </c>
      <c r="H5" s="60" t="s">
        <v>41</v>
      </c>
      <c r="I5" s="60" t="s">
        <v>41</v>
      </c>
      <c r="J5" s="60" t="s">
        <v>41</v>
      </c>
      <c r="K5" s="58" t="s">
        <v>42</v>
      </c>
      <c r="L5" s="58" t="s">
        <v>42</v>
      </c>
      <c r="M5" s="58" t="s">
        <v>42</v>
      </c>
      <c r="N5" s="58" t="s">
        <v>42</v>
      </c>
      <c r="O5" s="58" t="s">
        <v>42</v>
      </c>
      <c r="P5" s="58" t="s">
        <v>42</v>
      </c>
      <c r="Q5" s="58" t="s">
        <v>42</v>
      </c>
      <c r="R5" s="58" t="s">
        <v>42</v>
      </c>
      <c r="S5" s="58" t="s">
        <v>42</v>
      </c>
      <c r="T5" s="59" t="s">
        <v>43</v>
      </c>
      <c r="U5" s="59" t="s">
        <v>43</v>
      </c>
      <c r="V5" s="59" t="s">
        <v>43</v>
      </c>
      <c r="W5" s="59" t="s">
        <v>43</v>
      </c>
      <c r="X5" s="59" t="s">
        <v>43</v>
      </c>
      <c r="Y5" s="59" t="s">
        <v>43</v>
      </c>
      <c r="Z5" s="59" t="s">
        <v>43</v>
      </c>
      <c r="AA5" s="59" t="s">
        <v>43</v>
      </c>
      <c r="AB5" s="59" t="s">
        <v>43</v>
      </c>
    </row>
    <row r="6" spans="1:28" s="55" customFormat="1" ht="16.2" thickBot="1" x14ac:dyDescent="0.35">
      <c r="A6" s="57" t="s">
        <v>44</v>
      </c>
      <c r="B6" s="56">
        <v>401</v>
      </c>
      <c r="C6" s="56">
        <v>402</v>
      </c>
      <c r="D6" s="56">
        <v>403</v>
      </c>
      <c r="E6" s="56">
        <v>404</v>
      </c>
      <c r="F6" s="56">
        <v>405</v>
      </c>
      <c r="G6" s="56">
        <v>406</v>
      </c>
      <c r="H6" s="56">
        <v>407</v>
      </c>
      <c r="I6" s="56">
        <v>408</v>
      </c>
      <c r="J6" s="56">
        <v>409</v>
      </c>
      <c r="K6" s="56">
        <v>410</v>
      </c>
      <c r="L6" s="56">
        <v>411</v>
      </c>
      <c r="M6" s="56">
        <v>412</v>
      </c>
      <c r="N6" s="56">
        <v>413</v>
      </c>
      <c r="O6" s="56">
        <v>414</v>
      </c>
      <c r="P6" s="56">
        <v>415</v>
      </c>
      <c r="Q6" s="56">
        <v>416</v>
      </c>
      <c r="R6" s="56">
        <v>417</v>
      </c>
      <c r="S6" s="56">
        <v>418</v>
      </c>
      <c r="T6" s="56">
        <v>419</v>
      </c>
      <c r="U6" s="56">
        <v>420</v>
      </c>
      <c r="V6" s="56">
        <v>421</v>
      </c>
      <c r="W6" s="56">
        <v>422</v>
      </c>
      <c r="X6" s="56">
        <v>423</v>
      </c>
      <c r="Y6" s="56">
        <v>424</v>
      </c>
      <c r="Z6" s="56">
        <v>425</v>
      </c>
      <c r="AA6" s="56">
        <v>426</v>
      </c>
      <c r="AB6" s="56">
        <v>427</v>
      </c>
    </row>
    <row r="7" spans="1:28" s="1" customFormat="1" ht="16.8" thickTop="1" thickBot="1" x14ac:dyDescent="0.3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s="55" customFormat="1" ht="16.2" thickTop="1" x14ac:dyDescent="0.3">
      <c r="A8" s="61" t="s">
        <v>1</v>
      </c>
      <c r="B8" s="62" t="s">
        <v>26</v>
      </c>
      <c r="C8" s="62" t="s">
        <v>24</v>
      </c>
      <c r="D8" s="62" t="s">
        <v>28</v>
      </c>
      <c r="E8" s="62" t="s">
        <v>23</v>
      </c>
      <c r="F8" s="62" t="s">
        <v>21</v>
      </c>
      <c r="G8" s="62" t="s">
        <v>20</v>
      </c>
      <c r="H8" s="62" t="s">
        <v>22</v>
      </c>
      <c r="I8" s="62" t="s">
        <v>27</v>
      </c>
      <c r="J8" s="62" t="s">
        <v>25</v>
      </c>
      <c r="K8" s="62" t="s">
        <v>9</v>
      </c>
      <c r="L8" s="62" t="s">
        <v>8</v>
      </c>
      <c r="M8" s="62" t="s">
        <v>5</v>
      </c>
      <c r="N8" s="62" t="s">
        <v>4</v>
      </c>
      <c r="O8" s="62" t="s">
        <v>3</v>
      </c>
      <c r="P8" s="62" t="s">
        <v>6</v>
      </c>
      <c r="Q8" s="62" t="s">
        <v>10</v>
      </c>
      <c r="R8" s="62" t="s">
        <v>7</v>
      </c>
      <c r="S8" s="62" t="s">
        <v>2</v>
      </c>
      <c r="T8" s="62" t="s">
        <v>13</v>
      </c>
      <c r="U8" s="62" t="s">
        <v>14</v>
      </c>
      <c r="V8" s="62" t="s">
        <v>12</v>
      </c>
      <c r="W8" s="62" t="s">
        <v>17</v>
      </c>
      <c r="X8" s="62" t="s">
        <v>16</v>
      </c>
      <c r="Y8" s="62" t="s">
        <v>19</v>
      </c>
      <c r="Z8" s="62" t="s">
        <v>11</v>
      </c>
      <c r="AA8" s="62" t="s">
        <v>18</v>
      </c>
      <c r="AB8" s="62" t="s">
        <v>15</v>
      </c>
    </row>
    <row r="9" spans="1:28" x14ac:dyDescent="0.3">
      <c r="A9" s="55" t="s">
        <v>29</v>
      </c>
      <c r="B9" s="53">
        <v>2</v>
      </c>
      <c r="C9" s="53">
        <v>6</v>
      </c>
      <c r="D9" s="53">
        <v>9</v>
      </c>
      <c r="E9" s="53">
        <v>5</v>
      </c>
      <c r="F9" s="53">
        <v>1</v>
      </c>
      <c r="G9" s="53">
        <v>4</v>
      </c>
      <c r="H9" s="53">
        <v>7</v>
      </c>
      <c r="I9" s="53">
        <v>8</v>
      </c>
      <c r="J9" s="53">
        <v>3</v>
      </c>
      <c r="K9" s="53">
        <v>8</v>
      </c>
      <c r="L9" s="53">
        <v>1</v>
      </c>
      <c r="M9" s="53">
        <v>7</v>
      </c>
      <c r="N9" s="53">
        <v>9</v>
      </c>
      <c r="O9" s="53">
        <v>2</v>
      </c>
      <c r="P9" s="53">
        <v>6</v>
      </c>
      <c r="Q9" s="53">
        <v>3</v>
      </c>
      <c r="R9" s="53">
        <v>4</v>
      </c>
      <c r="S9" s="53">
        <v>5</v>
      </c>
      <c r="T9" s="53">
        <v>6</v>
      </c>
      <c r="U9" s="53">
        <v>4</v>
      </c>
      <c r="V9" s="53">
        <v>9</v>
      </c>
      <c r="W9" s="53">
        <v>3</v>
      </c>
      <c r="X9" s="53">
        <v>5</v>
      </c>
      <c r="Y9" s="53">
        <v>1</v>
      </c>
      <c r="Z9" s="53">
        <v>7</v>
      </c>
      <c r="AA9" s="53">
        <v>2</v>
      </c>
      <c r="AB9" s="53">
        <v>8</v>
      </c>
    </row>
    <row r="10" spans="1:28" ht="31.2" x14ac:dyDescent="0.3">
      <c r="A10" s="55" t="s">
        <v>30</v>
      </c>
      <c r="B10" s="54" t="s">
        <v>32</v>
      </c>
      <c r="C10" s="54" t="s">
        <v>35</v>
      </c>
      <c r="D10" s="54" t="s">
        <v>33</v>
      </c>
      <c r="E10" s="54" t="s">
        <v>31</v>
      </c>
      <c r="F10" s="54" t="s">
        <v>37</v>
      </c>
      <c r="G10" s="54" t="s">
        <v>36</v>
      </c>
      <c r="H10" s="54" t="s">
        <v>34</v>
      </c>
      <c r="I10" s="54" t="s">
        <v>38</v>
      </c>
      <c r="J10" s="54" t="s">
        <v>39</v>
      </c>
      <c r="K10" s="54" t="s">
        <v>38</v>
      </c>
      <c r="L10" s="54" t="s">
        <v>37</v>
      </c>
      <c r="M10" s="54" t="s">
        <v>34</v>
      </c>
      <c r="N10" s="54" t="s">
        <v>33</v>
      </c>
      <c r="O10" s="54" t="s">
        <v>32</v>
      </c>
      <c r="P10" s="54" t="s">
        <v>35</v>
      </c>
      <c r="Q10" s="54" t="s">
        <v>39</v>
      </c>
      <c r="R10" s="54" t="s">
        <v>36</v>
      </c>
      <c r="S10" s="54" t="s">
        <v>31</v>
      </c>
      <c r="T10" s="54" t="s">
        <v>35</v>
      </c>
      <c r="U10" s="54" t="s">
        <v>36</v>
      </c>
      <c r="V10" s="54" t="s">
        <v>33</v>
      </c>
      <c r="W10" s="54" t="s">
        <v>39</v>
      </c>
      <c r="X10" s="54" t="s">
        <v>31</v>
      </c>
      <c r="Y10" s="54" t="s">
        <v>37</v>
      </c>
      <c r="Z10" s="54" t="s">
        <v>34</v>
      </c>
      <c r="AA10" s="54" t="s">
        <v>32</v>
      </c>
      <c r="AB10" s="54" t="s">
        <v>38</v>
      </c>
    </row>
    <row r="11" spans="1:28" x14ac:dyDescent="0.3">
      <c r="A11" s="55" t="s">
        <v>40</v>
      </c>
      <c r="B11" s="59" t="s">
        <v>43</v>
      </c>
      <c r="C11" s="59" t="s">
        <v>43</v>
      </c>
      <c r="D11" s="59" t="s">
        <v>43</v>
      </c>
      <c r="E11" s="59" t="s">
        <v>43</v>
      </c>
      <c r="F11" s="59" t="s">
        <v>43</v>
      </c>
      <c r="G11" s="59" t="s">
        <v>43</v>
      </c>
      <c r="H11" s="59" t="s">
        <v>43</v>
      </c>
      <c r="I11" s="59" t="s">
        <v>43</v>
      </c>
      <c r="J11" s="59" t="s">
        <v>43</v>
      </c>
      <c r="K11" s="60" t="s">
        <v>41</v>
      </c>
      <c r="L11" s="60" t="s">
        <v>41</v>
      </c>
      <c r="M11" s="60" t="s">
        <v>41</v>
      </c>
      <c r="N11" s="60" t="s">
        <v>41</v>
      </c>
      <c r="O11" s="60" t="s">
        <v>41</v>
      </c>
      <c r="P11" s="60" t="s">
        <v>41</v>
      </c>
      <c r="Q11" s="60" t="s">
        <v>41</v>
      </c>
      <c r="R11" s="60" t="s">
        <v>41</v>
      </c>
      <c r="S11" s="60" t="s">
        <v>41</v>
      </c>
      <c r="T11" s="58" t="s">
        <v>42</v>
      </c>
      <c r="U11" s="58" t="s">
        <v>42</v>
      </c>
      <c r="V11" s="58" t="s">
        <v>42</v>
      </c>
      <c r="W11" s="58" t="s">
        <v>42</v>
      </c>
      <c r="X11" s="58" t="s">
        <v>42</v>
      </c>
      <c r="Y11" s="58" t="s">
        <v>42</v>
      </c>
      <c r="Z11" s="58" t="s">
        <v>42</v>
      </c>
      <c r="AA11" s="58" t="s">
        <v>42</v>
      </c>
      <c r="AB11" s="58" t="s">
        <v>42</v>
      </c>
    </row>
    <row r="12" spans="1:28" s="55" customFormat="1" ht="16.2" thickBot="1" x14ac:dyDescent="0.35">
      <c r="A12" s="57" t="s">
        <v>44</v>
      </c>
      <c r="B12" s="56">
        <v>301</v>
      </c>
      <c r="C12" s="56">
        <v>302</v>
      </c>
      <c r="D12" s="56">
        <v>303</v>
      </c>
      <c r="E12" s="56">
        <v>304</v>
      </c>
      <c r="F12" s="56">
        <v>305</v>
      </c>
      <c r="G12" s="56">
        <v>306</v>
      </c>
      <c r="H12" s="56">
        <v>307</v>
      </c>
      <c r="I12" s="56">
        <v>308</v>
      </c>
      <c r="J12" s="56">
        <v>309</v>
      </c>
      <c r="K12" s="56">
        <v>310</v>
      </c>
      <c r="L12" s="56">
        <v>311</v>
      </c>
      <c r="M12" s="56">
        <v>312</v>
      </c>
      <c r="N12" s="56">
        <v>313</v>
      </c>
      <c r="O12" s="56">
        <v>314</v>
      </c>
      <c r="P12" s="56">
        <v>315</v>
      </c>
      <c r="Q12" s="56">
        <v>316</v>
      </c>
      <c r="R12" s="56">
        <v>317</v>
      </c>
      <c r="S12" s="56">
        <v>318</v>
      </c>
      <c r="T12" s="56">
        <v>319</v>
      </c>
      <c r="U12" s="56">
        <v>320</v>
      </c>
      <c r="V12" s="56">
        <v>321</v>
      </c>
      <c r="W12" s="56">
        <v>322</v>
      </c>
      <c r="X12" s="56">
        <v>323</v>
      </c>
      <c r="Y12" s="56">
        <v>324</v>
      </c>
      <c r="Z12" s="56">
        <v>325</v>
      </c>
      <c r="AA12" s="56">
        <v>326</v>
      </c>
      <c r="AB12" s="56">
        <v>327</v>
      </c>
    </row>
    <row r="13" spans="1:28" s="1" customFormat="1" ht="16.8" thickTop="1" thickBot="1" x14ac:dyDescent="0.3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s="55" customFormat="1" ht="16.2" thickTop="1" x14ac:dyDescent="0.3">
      <c r="A14" s="61" t="s">
        <v>1</v>
      </c>
      <c r="B14" s="62" t="s">
        <v>4</v>
      </c>
      <c r="C14" s="62" t="s">
        <v>9</v>
      </c>
      <c r="D14" s="62" t="s">
        <v>6</v>
      </c>
      <c r="E14" s="62" t="s">
        <v>7</v>
      </c>
      <c r="F14" s="62" t="s">
        <v>8</v>
      </c>
      <c r="G14" s="62" t="s">
        <v>5</v>
      </c>
      <c r="H14" s="62" t="s">
        <v>2</v>
      </c>
      <c r="I14" s="62" t="s">
        <v>10</v>
      </c>
      <c r="J14" s="62" t="s">
        <v>3</v>
      </c>
      <c r="K14" s="62" t="s">
        <v>15</v>
      </c>
      <c r="L14" s="62" t="s">
        <v>19</v>
      </c>
      <c r="M14" s="62" t="s">
        <v>18</v>
      </c>
      <c r="N14" s="62" t="s">
        <v>13</v>
      </c>
      <c r="O14" s="62" t="s">
        <v>12</v>
      </c>
      <c r="P14" s="62" t="s">
        <v>14</v>
      </c>
      <c r="Q14" s="62" t="s">
        <v>16</v>
      </c>
      <c r="R14" s="62" t="s">
        <v>17</v>
      </c>
      <c r="S14" s="62" t="s">
        <v>11</v>
      </c>
      <c r="T14" s="62" t="s">
        <v>25</v>
      </c>
      <c r="U14" s="62" t="s">
        <v>26</v>
      </c>
      <c r="V14" s="62" t="s">
        <v>28</v>
      </c>
      <c r="W14" s="62" t="s">
        <v>20</v>
      </c>
      <c r="X14" s="62" t="s">
        <v>23</v>
      </c>
      <c r="Y14" s="62" t="s">
        <v>22</v>
      </c>
      <c r="Z14" s="62" t="s">
        <v>24</v>
      </c>
      <c r="AA14" s="62" t="s">
        <v>21</v>
      </c>
      <c r="AB14" s="62" t="s">
        <v>27</v>
      </c>
    </row>
    <row r="15" spans="1:28" x14ac:dyDescent="0.3">
      <c r="A15" s="55" t="s">
        <v>29</v>
      </c>
      <c r="B15" s="53">
        <v>9</v>
      </c>
      <c r="C15" s="53">
        <v>8</v>
      </c>
      <c r="D15" s="53">
        <v>6</v>
      </c>
      <c r="E15" s="53">
        <v>4</v>
      </c>
      <c r="F15" s="53">
        <v>1</v>
      </c>
      <c r="G15" s="53">
        <v>7</v>
      </c>
      <c r="H15" s="53">
        <v>5</v>
      </c>
      <c r="I15" s="53">
        <v>3</v>
      </c>
      <c r="J15" s="53">
        <v>2</v>
      </c>
      <c r="K15" s="53">
        <v>8</v>
      </c>
      <c r="L15" s="53">
        <v>1</v>
      </c>
      <c r="M15" s="53">
        <v>2</v>
      </c>
      <c r="N15" s="53">
        <v>6</v>
      </c>
      <c r="O15" s="53">
        <v>9</v>
      </c>
      <c r="P15" s="53">
        <v>4</v>
      </c>
      <c r="Q15" s="53">
        <v>5</v>
      </c>
      <c r="R15" s="53">
        <v>3</v>
      </c>
      <c r="S15" s="53">
        <v>7</v>
      </c>
      <c r="T15" s="53">
        <v>3</v>
      </c>
      <c r="U15" s="53">
        <v>2</v>
      </c>
      <c r="V15" s="53">
        <v>9</v>
      </c>
      <c r="W15" s="53">
        <v>4</v>
      </c>
      <c r="X15" s="53">
        <v>5</v>
      </c>
      <c r="Y15" s="53">
        <v>7</v>
      </c>
      <c r="Z15" s="53">
        <v>6</v>
      </c>
      <c r="AA15" s="53">
        <v>1</v>
      </c>
      <c r="AB15" s="53">
        <v>8</v>
      </c>
    </row>
    <row r="16" spans="1:28" ht="31.2" x14ac:dyDescent="0.3">
      <c r="A16" s="55" t="s">
        <v>30</v>
      </c>
      <c r="B16" s="54" t="s">
        <v>33</v>
      </c>
      <c r="C16" s="54" t="s">
        <v>38</v>
      </c>
      <c r="D16" s="54" t="s">
        <v>35</v>
      </c>
      <c r="E16" s="54" t="s">
        <v>36</v>
      </c>
      <c r="F16" s="54" t="s">
        <v>37</v>
      </c>
      <c r="G16" s="54" t="s">
        <v>34</v>
      </c>
      <c r="H16" s="54" t="s">
        <v>31</v>
      </c>
      <c r="I16" s="54" t="s">
        <v>39</v>
      </c>
      <c r="J16" s="54" t="s">
        <v>32</v>
      </c>
      <c r="K16" s="54" t="s">
        <v>38</v>
      </c>
      <c r="L16" s="54" t="s">
        <v>37</v>
      </c>
      <c r="M16" s="54" t="s">
        <v>32</v>
      </c>
      <c r="N16" s="54" t="s">
        <v>35</v>
      </c>
      <c r="O16" s="54" t="s">
        <v>33</v>
      </c>
      <c r="P16" s="54" t="s">
        <v>36</v>
      </c>
      <c r="Q16" s="54" t="s">
        <v>31</v>
      </c>
      <c r="R16" s="54" t="s">
        <v>39</v>
      </c>
      <c r="S16" s="54" t="s">
        <v>34</v>
      </c>
      <c r="T16" s="54" t="s">
        <v>39</v>
      </c>
      <c r="U16" s="54" t="s">
        <v>32</v>
      </c>
      <c r="V16" s="54" t="s">
        <v>33</v>
      </c>
      <c r="W16" s="54" t="s">
        <v>36</v>
      </c>
      <c r="X16" s="54" t="s">
        <v>31</v>
      </c>
      <c r="Y16" s="54" t="s">
        <v>34</v>
      </c>
      <c r="Z16" s="54" t="s">
        <v>35</v>
      </c>
      <c r="AA16" s="54" t="s">
        <v>37</v>
      </c>
      <c r="AB16" s="54" t="s">
        <v>38</v>
      </c>
    </row>
    <row r="17" spans="1:28" x14ac:dyDescent="0.3">
      <c r="A17" s="55" t="s">
        <v>40</v>
      </c>
      <c r="B17" s="60" t="s">
        <v>41</v>
      </c>
      <c r="C17" s="60" t="s">
        <v>41</v>
      </c>
      <c r="D17" s="60" t="s">
        <v>41</v>
      </c>
      <c r="E17" s="60" t="s">
        <v>41</v>
      </c>
      <c r="F17" s="60" t="s">
        <v>41</v>
      </c>
      <c r="G17" s="60" t="s">
        <v>41</v>
      </c>
      <c r="H17" s="60" t="s">
        <v>41</v>
      </c>
      <c r="I17" s="60" t="s">
        <v>41</v>
      </c>
      <c r="J17" s="60" t="s">
        <v>41</v>
      </c>
      <c r="K17" s="58" t="s">
        <v>42</v>
      </c>
      <c r="L17" s="58" t="s">
        <v>42</v>
      </c>
      <c r="M17" s="58" t="s">
        <v>42</v>
      </c>
      <c r="N17" s="58" t="s">
        <v>42</v>
      </c>
      <c r="O17" s="58" t="s">
        <v>42</v>
      </c>
      <c r="P17" s="58" t="s">
        <v>42</v>
      </c>
      <c r="Q17" s="58" t="s">
        <v>42</v>
      </c>
      <c r="R17" s="58" t="s">
        <v>42</v>
      </c>
      <c r="S17" s="58" t="s">
        <v>42</v>
      </c>
      <c r="T17" s="59" t="s">
        <v>43</v>
      </c>
      <c r="U17" s="59" t="s">
        <v>43</v>
      </c>
      <c r="V17" s="59" t="s">
        <v>43</v>
      </c>
      <c r="W17" s="59" t="s">
        <v>43</v>
      </c>
      <c r="X17" s="59" t="s">
        <v>43</v>
      </c>
      <c r="Y17" s="59" t="s">
        <v>43</v>
      </c>
      <c r="Z17" s="59" t="s">
        <v>43</v>
      </c>
      <c r="AA17" s="59" t="s">
        <v>43</v>
      </c>
      <c r="AB17" s="59" t="s">
        <v>43</v>
      </c>
    </row>
    <row r="18" spans="1:28" s="55" customFormat="1" ht="16.2" thickBot="1" x14ac:dyDescent="0.35">
      <c r="A18" s="57" t="s">
        <v>44</v>
      </c>
      <c r="B18" s="56">
        <v>201</v>
      </c>
      <c r="C18" s="56">
        <v>202</v>
      </c>
      <c r="D18" s="56">
        <v>203</v>
      </c>
      <c r="E18" s="56">
        <v>204</v>
      </c>
      <c r="F18" s="56">
        <v>205</v>
      </c>
      <c r="G18" s="56">
        <v>206</v>
      </c>
      <c r="H18" s="56">
        <v>207</v>
      </c>
      <c r="I18" s="56">
        <v>208</v>
      </c>
      <c r="J18" s="56">
        <v>209</v>
      </c>
      <c r="K18" s="56">
        <v>210</v>
      </c>
      <c r="L18" s="56">
        <v>211</v>
      </c>
      <c r="M18" s="56">
        <v>212</v>
      </c>
      <c r="N18" s="56">
        <v>213</v>
      </c>
      <c r="O18" s="56">
        <v>214</v>
      </c>
      <c r="P18" s="56">
        <v>215</v>
      </c>
      <c r="Q18" s="56">
        <v>216</v>
      </c>
      <c r="R18" s="56">
        <v>217</v>
      </c>
      <c r="S18" s="56">
        <v>218</v>
      </c>
      <c r="T18" s="56">
        <v>219</v>
      </c>
      <c r="U18" s="56">
        <v>220</v>
      </c>
      <c r="V18" s="56">
        <v>221</v>
      </c>
      <c r="W18" s="56">
        <v>222</v>
      </c>
      <c r="X18" s="56">
        <v>223</v>
      </c>
      <c r="Y18" s="56">
        <v>224</v>
      </c>
      <c r="Z18" s="56">
        <v>225</v>
      </c>
      <c r="AA18" s="56">
        <v>226</v>
      </c>
      <c r="AB18" s="56">
        <v>227</v>
      </c>
    </row>
    <row r="19" spans="1:28" s="1" customFormat="1" ht="16.8" thickTop="1" thickBot="1" x14ac:dyDescent="0.3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s="55" customFormat="1" ht="16.2" thickTop="1" x14ac:dyDescent="0.3">
      <c r="A20" s="61" t="s">
        <v>1</v>
      </c>
      <c r="B20" s="62" t="s">
        <v>19</v>
      </c>
      <c r="C20" s="62" t="s">
        <v>18</v>
      </c>
      <c r="D20" s="62" t="s">
        <v>17</v>
      </c>
      <c r="E20" s="62" t="s">
        <v>14</v>
      </c>
      <c r="F20" s="62" t="s">
        <v>16</v>
      </c>
      <c r="G20" s="62" t="s">
        <v>13</v>
      </c>
      <c r="H20" s="62" t="s">
        <v>11</v>
      </c>
      <c r="I20" s="62" t="s">
        <v>15</v>
      </c>
      <c r="J20" s="62" t="s">
        <v>12</v>
      </c>
      <c r="K20" s="62" t="s">
        <v>21</v>
      </c>
      <c r="L20" s="62" t="s">
        <v>26</v>
      </c>
      <c r="M20" s="62" t="s">
        <v>25</v>
      </c>
      <c r="N20" s="62" t="s">
        <v>20</v>
      </c>
      <c r="O20" s="62" t="s">
        <v>23</v>
      </c>
      <c r="P20" s="62" t="s">
        <v>24</v>
      </c>
      <c r="Q20" s="62" t="s">
        <v>22</v>
      </c>
      <c r="R20" s="62" t="s">
        <v>27</v>
      </c>
      <c r="S20" s="62" t="s">
        <v>28</v>
      </c>
      <c r="T20" s="62" t="s">
        <v>8</v>
      </c>
      <c r="U20" s="62" t="s">
        <v>3</v>
      </c>
      <c r="V20" s="62" t="s">
        <v>10</v>
      </c>
      <c r="W20" s="62" t="s">
        <v>7</v>
      </c>
      <c r="X20" s="62" t="s">
        <v>2</v>
      </c>
      <c r="Y20" s="62" t="s">
        <v>6</v>
      </c>
      <c r="Z20" s="62" t="s">
        <v>5</v>
      </c>
      <c r="AA20" s="62" t="s">
        <v>9</v>
      </c>
      <c r="AB20" s="62" t="s">
        <v>4</v>
      </c>
    </row>
    <row r="21" spans="1:28" x14ac:dyDescent="0.3">
      <c r="A21" s="55" t="s">
        <v>29</v>
      </c>
      <c r="B21" s="53">
        <v>1</v>
      </c>
      <c r="C21" s="53">
        <v>2</v>
      </c>
      <c r="D21" s="53">
        <v>3</v>
      </c>
      <c r="E21" s="53">
        <v>4</v>
      </c>
      <c r="F21" s="53">
        <v>5</v>
      </c>
      <c r="G21" s="53">
        <v>6</v>
      </c>
      <c r="H21" s="53">
        <v>7</v>
      </c>
      <c r="I21" s="53">
        <v>8</v>
      </c>
      <c r="J21" s="53">
        <v>9</v>
      </c>
      <c r="K21" s="53">
        <v>1</v>
      </c>
      <c r="L21" s="53">
        <v>2</v>
      </c>
      <c r="M21" s="53">
        <v>3</v>
      </c>
      <c r="N21" s="53">
        <v>4</v>
      </c>
      <c r="O21" s="53">
        <v>5</v>
      </c>
      <c r="P21" s="53">
        <v>6</v>
      </c>
      <c r="Q21" s="53">
        <v>7</v>
      </c>
      <c r="R21" s="53">
        <v>8</v>
      </c>
      <c r="S21" s="53">
        <v>9</v>
      </c>
      <c r="T21" s="53">
        <v>1</v>
      </c>
      <c r="U21" s="53">
        <v>2</v>
      </c>
      <c r="V21" s="53">
        <v>3</v>
      </c>
      <c r="W21" s="53">
        <v>4</v>
      </c>
      <c r="X21" s="53">
        <v>5</v>
      </c>
      <c r="Y21" s="53">
        <v>6</v>
      </c>
      <c r="Z21" s="53">
        <v>7</v>
      </c>
      <c r="AA21" s="53">
        <v>8</v>
      </c>
      <c r="AB21" s="53">
        <v>9</v>
      </c>
    </row>
    <row r="22" spans="1:28" ht="31.2" x14ac:dyDescent="0.3">
      <c r="A22" s="55" t="s">
        <v>30</v>
      </c>
      <c r="B22" s="54" t="s">
        <v>37</v>
      </c>
      <c r="C22" s="54" t="s">
        <v>32</v>
      </c>
      <c r="D22" s="54" t="s">
        <v>39</v>
      </c>
      <c r="E22" s="54" t="s">
        <v>36</v>
      </c>
      <c r="F22" s="54" t="s">
        <v>31</v>
      </c>
      <c r="G22" s="54" t="s">
        <v>35</v>
      </c>
      <c r="H22" s="54" t="s">
        <v>34</v>
      </c>
      <c r="I22" s="54" t="s">
        <v>38</v>
      </c>
      <c r="J22" s="54" t="s">
        <v>33</v>
      </c>
      <c r="K22" s="54" t="s">
        <v>37</v>
      </c>
      <c r="L22" s="54" t="s">
        <v>32</v>
      </c>
      <c r="M22" s="54" t="s">
        <v>39</v>
      </c>
      <c r="N22" s="54" t="s">
        <v>36</v>
      </c>
      <c r="O22" s="54" t="s">
        <v>31</v>
      </c>
      <c r="P22" s="54" t="s">
        <v>35</v>
      </c>
      <c r="Q22" s="54" t="s">
        <v>34</v>
      </c>
      <c r="R22" s="54" t="s">
        <v>38</v>
      </c>
      <c r="S22" s="54" t="s">
        <v>33</v>
      </c>
      <c r="T22" s="54" t="s">
        <v>37</v>
      </c>
      <c r="U22" s="54" t="s">
        <v>32</v>
      </c>
      <c r="V22" s="54" t="s">
        <v>39</v>
      </c>
      <c r="W22" s="54" t="s">
        <v>36</v>
      </c>
      <c r="X22" s="54" t="s">
        <v>31</v>
      </c>
      <c r="Y22" s="54" t="s">
        <v>35</v>
      </c>
      <c r="Z22" s="54" t="s">
        <v>34</v>
      </c>
      <c r="AA22" s="54" t="s">
        <v>38</v>
      </c>
      <c r="AB22" s="54" t="s">
        <v>33</v>
      </c>
    </row>
    <row r="23" spans="1:28" x14ac:dyDescent="0.3">
      <c r="A23" s="55" t="s">
        <v>40</v>
      </c>
      <c r="B23" s="58" t="s">
        <v>42</v>
      </c>
      <c r="C23" s="58" t="s">
        <v>42</v>
      </c>
      <c r="D23" s="58" t="s">
        <v>42</v>
      </c>
      <c r="E23" s="58" t="s">
        <v>42</v>
      </c>
      <c r="F23" s="58" t="s">
        <v>42</v>
      </c>
      <c r="G23" s="58" t="s">
        <v>42</v>
      </c>
      <c r="H23" s="58" t="s">
        <v>42</v>
      </c>
      <c r="I23" s="58" t="s">
        <v>42</v>
      </c>
      <c r="J23" s="58" t="s">
        <v>42</v>
      </c>
      <c r="K23" s="59" t="s">
        <v>43</v>
      </c>
      <c r="L23" s="59" t="s">
        <v>43</v>
      </c>
      <c r="M23" s="59" t="s">
        <v>43</v>
      </c>
      <c r="N23" s="59" t="s">
        <v>43</v>
      </c>
      <c r="O23" s="59" t="s">
        <v>43</v>
      </c>
      <c r="P23" s="59" t="s">
        <v>43</v>
      </c>
      <c r="Q23" s="59" t="s">
        <v>43</v>
      </c>
      <c r="R23" s="59" t="s">
        <v>43</v>
      </c>
      <c r="S23" s="59" t="s">
        <v>43</v>
      </c>
      <c r="T23" s="60" t="s">
        <v>41</v>
      </c>
      <c r="U23" s="60" t="s">
        <v>41</v>
      </c>
      <c r="V23" s="60" t="s">
        <v>41</v>
      </c>
      <c r="W23" s="60" t="s">
        <v>41</v>
      </c>
      <c r="X23" s="60" t="s">
        <v>41</v>
      </c>
      <c r="Y23" s="60" t="s">
        <v>41</v>
      </c>
      <c r="Z23" s="60" t="s">
        <v>41</v>
      </c>
      <c r="AA23" s="60" t="s">
        <v>41</v>
      </c>
      <c r="AB23" s="60" t="s">
        <v>41</v>
      </c>
    </row>
    <row r="24" spans="1:28" s="55" customFormat="1" ht="16.2" thickBot="1" x14ac:dyDescent="0.35">
      <c r="A24" s="57" t="s">
        <v>44</v>
      </c>
      <c r="B24" s="56">
        <v>101</v>
      </c>
      <c r="C24" s="56">
        <v>102</v>
      </c>
      <c r="D24" s="56">
        <v>103</v>
      </c>
      <c r="E24" s="56">
        <v>104</v>
      </c>
      <c r="F24" s="56">
        <v>105</v>
      </c>
      <c r="G24" s="56">
        <v>106</v>
      </c>
      <c r="H24" s="56">
        <v>107</v>
      </c>
      <c r="I24" s="56">
        <v>108</v>
      </c>
      <c r="J24" s="56">
        <v>109</v>
      </c>
      <c r="K24" s="56">
        <v>110</v>
      </c>
      <c r="L24" s="56">
        <v>111</v>
      </c>
      <c r="M24" s="56">
        <v>112</v>
      </c>
      <c r="N24" s="56">
        <v>113</v>
      </c>
      <c r="O24" s="56">
        <v>114</v>
      </c>
      <c r="P24" s="56">
        <v>115</v>
      </c>
      <c r="Q24" s="56">
        <v>116</v>
      </c>
      <c r="R24" s="56">
        <v>117</v>
      </c>
      <c r="S24" s="56">
        <v>118</v>
      </c>
      <c r="T24" s="56">
        <v>119</v>
      </c>
      <c r="U24" s="56">
        <v>120</v>
      </c>
      <c r="V24" s="56">
        <v>121</v>
      </c>
      <c r="W24" s="56">
        <v>122</v>
      </c>
      <c r="X24" s="56">
        <v>123</v>
      </c>
      <c r="Y24" s="56">
        <v>124</v>
      </c>
      <c r="Z24" s="56">
        <v>125</v>
      </c>
      <c r="AA24" s="56">
        <v>126</v>
      </c>
      <c r="AB24" s="56">
        <v>127</v>
      </c>
    </row>
    <row r="25" spans="1:28" s="1" customFormat="1" ht="16.2" thickTop="1" x14ac:dyDescent="0.3"/>
    <row r="26" spans="1:28" x14ac:dyDescent="0.3">
      <c r="A26" s="1"/>
    </row>
    <row r="27" spans="1:28" x14ac:dyDescent="0.3">
      <c r="A27" s="52"/>
    </row>
  </sheetData>
  <pageMargins left="0.7" right="0.7" top="0.75" bottom="0.75" header="0.3" footer="0.3"/>
  <pageSetup paperSize="3" scale="81" fitToWidth="2" fitToHeight="0" orientation="landscape" verticalDpi="598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12F7-1559-3743-92C8-ADCF475A1699}">
  <dimension ref="A1:AC28"/>
  <sheetViews>
    <sheetView topLeftCell="D1" zoomScaleNormal="100" zoomScaleSheetLayoutView="100" workbookViewId="0">
      <selection activeCell="S27" sqref="S27"/>
    </sheetView>
  </sheetViews>
  <sheetFormatPr defaultRowHeight="15.6" x14ac:dyDescent="0.3"/>
  <sheetData>
    <row r="1" spans="1:29" ht="26.4" thickBot="1" x14ac:dyDescent="0.55000000000000004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31.8" thickTop="1" x14ac:dyDescent="0.3">
      <c r="A2" s="61" t="s">
        <v>1</v>
      </c>
      <c r="B2" s="62" t="s">
        <v>2</v>
      </c>
      <c r="C2" s="62" t="s">
        <v>3</v>
      </c>
      <c r="D2" s="135" t="s">
        <v>4</v>
      </c>
      <c r="E2" s="135" t="s">
        <v>5</v>
      </c>
      <c r="F2" s="143" t="s">
        <v>6</v>
      </c>
      <c r="G2" s="135" t="s">
        <v>7</v>
      </c>
      <c r="H2" s="62" t="s">
        <v>8</v>
      </c>
      <c r="I2" s="62" t="s">
        <v>9</v>
      </c>
      <c r="J2" s="62" t="s">
        <v>10</v>
      </c>
      <c r="K2" s="135" t="s">
        <v>11</v>
      </c>
      <c r="L2" s="135" t="s">
        <v>12</v>
      </c>
      <c r="M2" s="143" t="s">
        <v>13</v>
      </c>
      <c r="N2" s="135" t="s">
        <v>14</v>
      </c>
      <c r="O2" s="62" t="s">
        <v>15</v>
      </c>
      <c r="P2" s="62" t="s">
        <v>16</v>
      </c>
      <c r="Q2" s="62" t="s">
        <v>17</v>
      </c>
      <c r="R2" s="62" t="s">
        <v>18</v>
      </c>
      <c r="S2" s="62" t="s">
        <v>19</v>
      </c>
      <c r="T2" s="135" t="s">
        <v>20</v>
      </c>
      <c r="U2" s="62" t="s">
        <v>21</v>
      </c>
      <c r="V2" s="135" t="s">
        <v>22</v>
      </c>
      <c r="W2" s="62" t="s">
        <v>23</v>
      </c>
      <c r="X2" s="143" t="s">
        <v>24</v>
      </c>
      <c r="Y2" s="62" t="s">
        <v>25</v>
      </c>
      <c r="Z2" s="62" t="s">
        <v>26</v>
      </c>
      <c r="AA2" s="62" t="s">
        <v>27</v>
      </c>
      <c r="AB2" s="135" t="s">
        <v>28</v>
      </c>
      <c r="AC2" s="55"/>
    </row>
    <row r="3" spans="1:29" x14ac:dyDescent="0.3">
      <c r="A3" s="55" t="s">
        <v>29</v>
      </c>
      <c r="B3" s="53">
        <v>5</v>
      </c>
      <c r="C3" s="53">
        <v>2</v>
      </c>
      <c r="D3" s="136">
        <v>9</v>
      </c>
      <c r="E3" s="136">
        <v>7</v>
      </c>
      <c r="F3" s="144">
        <v>6</v>
      </c>
      <c r="G3" s="136">
        <v>4</v>
      </c>
      <c r="H3" s="53">
        <v>1</v>
      </c>
      <c r="I3" s="53">
        <v>8</v>
      </c>
      <c r="J3" s="53">
        <v>3</v>
      </c>
      <c r="K3" s="136">
        <v>7</v>
      </c>
      <c r="L3" s="136">
        <v>9</v>
      </c>
      <c r="M3" s="144">
        <v>6</v>
      </c>
      <c r="N3" s="136">
        <v>4</v>
      </c>
      <c r="O3" s="53">
        <v>8</v>
      </c>
      <c r="P3" s="53">
        <v>5</v>
      </c>
      <c r="Q3" s="53">
        <v>3</v>
      </c>
      <c r="R3" s="53">
        <v>2</v>
      </c>
      <c r="S3" s="53">
        <v>1</v>
      </c>
      <c r="T3" s="136">
        <v>4</v>
      </c>
      <c r="U3" s="53">
        <v>1</v>
      </c>
      <c r="V3" s="136">
        <v>7</v>
      </c>
      <c r="W3" s="53">
        <v>5</v>
      </c>
      <c r="X3" s="144">
        <v>6</v>
      </c>
      <c r="Y3" s="53">
        <v>3</v>
      </c>
      <c r="Z3" s="53">
        <v>2</v>
      </c>
      <c r="AA3" s="53">
        <v>8</v>
      </c>
      <c r="AB3" s="136">
        <v>9</v>
      </c>
      <c r="AC3" s="3"/>
    </row>
    <row r="4" spans="1:29" ht="62.4" x14ac:dyDescent="0.3">
      <c r="A4" s="55" t="s">
        <v>30</v>
      </c>
      <c r="B4" s="54" t="s">
        <v>31</v>
      </c>
      <c r="C4" s="54" t="s">
        <v>32</v>
      </c>
      <c r="D4" s="137" t="s">
        <v>33</v>
      </c>
      <c r="E4" s="137" t="s">
        <v>34</v>
      </c>
      <c r="F4" s="145" t="s">
        <v>35</v>
      </c>
      <c r="G4" s="137" t="s">
        <v>36</v>
      </c>
      <c r="H4" s="54" t="s">
        <v>37</v>
      </c>
      <c r="I4" s="54" t="s">
        <v>38</v>
      </c>
      <c r="J4" s="54" t="s">
        <v>39</v>
      </c>
      <c r="K4" s="137" t="s">
        <v>34</v>
      </c>
      <c r="L4" s="137" t="s">
        <v>33</v>
      </c>
      <c r="M4" s="145" t="s">
        <v>35</v>
      </c>
      <c r="N4" s="137" t="s">
        <v>36</v>
      </c>
      <c r="O4" s="54" t="s">
        <v>38</v>
      </c>
      <c r="P4" s="54" t="s">
        <v>31</v>
      </c>
      <c r="Q4" s="54" t="s">
        <v>39</v>
      </c>
      <c r="R4" s="54" t="s">
        <v>32</v>
      </c>
      <c r="S4" s="54" t="s">
        <v>37</v>
      </c>
      <c r="T4" s="137" t="s">
        <v>36</v>
      </c>
      <c r="U4" s="54" t="s">
        <v>37</v>
      </c>
      <c r="V4" s="137" t="s">
        <v>34</v>
      </c>
      <c r="W4" s="54" t="s">
        <v>31</v>
      </c>
      <c r="X4" s="145" t="s">
        <v>35</v>
      </c>
      <c r="Y4" s="54" t="s">
        <v>39</v>
      </c>
      <c r="Z4" s="54" t="s">
        <v>32</v>
      </c>
      <c r="AA4" s="54" t="s">
        <v>38</v>
      </c>
      <c r="AB4" s="137" t="s">
        <v>33</v>
      </c>
      <c r="AC4" s="3"/>
    </row>
    <row r="5" spans="1:29" x14ac:dyDescent="0.3">
      <c r="A5" s="55" t="s">
        <v>40</v>
      </c>
      <c r="B5" s="60" t="s">
        <v>41</v>
      </c>
      <c r="C5" s="60" t="s">
        <v>41</v>
      </c>
      <c r="D5" s="136" t="s">
        <v>41</v>
      </c>
      <c r="E5" s="136" t="s">
        <v>41</v>
      </c>
      <c r="F5" s="144" t="s">
        <v>41</v>
      </c>
      <c r="G5" s="136" t="s">
        <v>41</v>
      </c>
      <c r="H5" s="60" t="s">
        <v>41</v>
      </c>
      <c r="I5" s="60" t="s">
        <v>41</v>
      </c>
      <c r="J5" s="60" t="s">
        <v>41</v>
      </c>
      <c r="K5" s="136" t="s">
        <v>42</v>
      </c>
      <c r="L5" s="136" t="s">
        <v>42</v>
      </c>
      <c r="M5" s="144" t="s">
        <v>42</v>
      </c>
      <c r="N5" s="136" t="s">
        <v>42</v>
      </c>
      <c r="O5" s="58" t="s">
        <v>42</v>
      </c>
      <c r="P5" s="58" t="s">
        <v>42</v>
      </c>
      <c r="Q5" s="58" t="s">
        <v>42</v>
      </c>
      <c r="R5" s="58" t="s">
        <v>42</v>
      </c>
      <c r="S5" s="58" t="s">
        <v>42</v>
      </c>
      <c r="T5" s="136" t="s">
        <v>43</v>
      </c>
      <c r="U5" s="59" t="s">
        <v>43</v>
      </c>
      <c r="V5" s="136" t="s">
        <v>43</v>
      </c>
      <c r="W5" s="59" t="s">
        <v>43</v>
      </c>
      <c r="X5" s="144" t="s">
        <v>43</v>
      </c>
      <c r="Y5" s="59" t="s">
        <v>43</v>
      </c>
      <c r="Z5" s="59" t="s">
        <v>43</v>
      </c>
      <c r="AA5" s="59" t="s">
        <v>43</v>
      </c>
      <c r="AB5" s="136" t="s">
        <v>43</v>
      </c>
      <c r="AC5" s="3"/>
    </row>
    <row r="6" spans="1:29" ht="31.8" thickBot="1" x14ac:dyDescent="0.35">
      <c r="A6" s="57" t="s">
        <v>44</v>
      </c>
      <c r="B6" s="56">
        <v>401</v>
      </c>
      <c r="C6" s="56">
        <v>402</v>
      </c>
      <c r="D6" s="138">
        <v>403</v>
      </c>
      <c r="E6" s="138">
        <v>404</v>
      </c>
      <c r="F6" s="146">
        <v>405</v>
      </c>
      <c r="G6" s="138">
        <v>406</v>
      </c>
      <c r="H6" s="56">
        <v>407</v>
      </c>
      <c r="I6" s="56">
        <v>408</v>
      </c>
      <c r="J6" s="56">
        <v>409</v>
      </c>
      <c r="K6" s="138">
        <v>410</v>
      </c>
      <c r="L6" s="138">
        <v>411</v>
      </c>
      <c r="M6" s="146">
        <v>412</v>
      </c>
      <c r="N6" s="138">
        <v>413</v>
      </c>
      <c r="O6" s="56">
        <v>414</v>
      </c>
      <c r="P6" s="56">
        <v>415</v>
      </c>
      <c r="Q6" s="56">
        <v>416</v>
      </c>
      <c r="R6" s="56">
        <v>417</v>
      </c>
      <c r="S6" s="56">
        <v>418</v>
      </c>
      <c r="T6" s="138">
        <v>419</v>
      </c>
      <c r="U6" s="56">
        <v>420</v>
      </c>
      <c r="V6" s="138">
        <v>421</v>
      </c>
      <c r="W6" s="56">
        <v>422</v>
      </c>
      <c r="X6" s="146">
        <v>423</v>
      </c>
      <c r="Y6" s="56">
        <v>424</v>
      </c>
      <c r="Z6" s="56">
        <v>425</v>
      </c>
      <c r="AA6" s="56">
        <v>426</v>
      </c>
      <c r="AB6" s="138">
        <v>427</v>
      </c>
      <c r="AC6" s="55"/>
    </row>
    <row r="7" spans="1:29" ht="16.8" thickTop="1" thickBot="1" x14ac:dyDescent="0.3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1"/>
    </row>
    <row r="8" spans="1:29" ht="31.8" thickTop="1" x14ac:dyDescent="0.3">
      <c r="A8" s="61" t="s">
        <v>1</v>
      </c>
      <c r="B8" s="62" t="s">
        <v>26</v>
      </c>
      <c r="C8" s="143" t="s">
        <v>24</v>
      </c>
      <c r="D8" s="135" t="s">
        <v>28</v>
      </c>
      <c r="E8" s="62" t="s">
        <v>23</v>
      </c>
      <c r="F8" s="62" t="s">
        <v>21</v>
      </c>
      <c r="G8" s="135" t="s">
        <v>20</v>
      </c>
      <c r="H8" s="135" t="s">
        <v>22</v>
      </c>
      <c r="I8" s="62" t="s">
        <v>27</v>
      </c>
      <c r="J8" s="62" t="s">
        <v>25</v>
      </c>
      <c r="K8" s="62" t="s">
        <v>9</v>
      </c>
      <c r="L8" s="62" t="s">
        <v>8</v>
      </c>
      <c r="M8" s="135" t="s">
        <v>5</v>
      </c>
      <c r="N8" s="135" t="s">
        <v>4</v>
      </c>
      <c r="O8" s="62" t="s">
        <v>3</v>
      </c>
      <c r="P8" s="143" t="s">
        <v>6</v>
      </c>
      <c r="Q8" s="62" t="s">
        <v>10</v>
      </c>
      <c r="R8" s="135" t="s">
        <v>7</v>
      </c>
      <c r="S8" s="62" t="s">
        <v>2</v>
      </c>
      <c r="T8" s="143" t="s">
        <v>13</v>
      </c>
      <c r="U8" s="135" t="s">
        <v>14</v>
      </c>
      <c r="V8" s="135" t="s">
        <v>12</v>
      </c>
      <c r="W8" s="62" t="s">
        <v>17</v>
      </c>
      <c r="X8" s="62" t="s">
        <v>16</v>
      </c>
      <c r="Y8" s="62" t="s">
        <v>19</v>
      </c>
      <c r="Z8" s="135" t="s">
        <v>11</v>
      </c>
      <c r="AA8" s="62" t="s">
        <v>18</v>
      </c>
      <c r="AB8" s="62" t="s">
        <v>15</v>
      </c>
      <c r="AC8" s="55"/>
    </row>
    <row r="9" spans="1:29" x14ac:dyDescent="0.3">
      <c r="A9" s="55" t="s">
        <v>29</v>
      </c>
      <c r="B9" s="53">
        <v>2</v>
      </c>
      <c r="C9" s="144">
        <v>6</v>
      </c>
      <c r="D9" s="136">
        <v>9</v>
      </c>
      <c r="E9" s="53">
        <v>5</v>
      </c>
      <c r="F9" s="53">
        <v>1</v>
      </c>
      <c r="G9" s="136">
        <v>4</v>
      </c>
      <c r="H9" s="136">
        <v>7</v>
      </c>
      <c r="I9" s="53">
        <v>8</v>
      </c>
      <c r="J9" s="53">
        <v>3</v>
      </c>
      <c r="K9" s="53">
        <v>8</v>
      </c>
      <c r="L9" s="53">
        <v>1</v>
      </c>
      <c r="M9" s="136">
        <v>7</v>
      </c>
      <c r="N9" s="136">
        <v>9</v>
      </c>
      <c r="O9" s="53">
        <v>2</v>
      </c>
      <c r="P9" s="144">
        <v>6</v>
      </c>
      <c r="Q9" s="53">
        <v>3</v>
      </c>
      <c r="R9" s="136">
        <v>4</v>
      </c>
      <c r="S9" s="53">
        <v>5</v>
      </c>
      <c r="T9" s="144">
        <v>6</v>
      </c>
      <c r="U9" s="136">
        <v>4</v>
      </c>
      <c r="V9" s="136">
        <v>9</v>
      </c>
      <c r="W9" s="53">
        <v>3</v>
      </c>
      <c r="X9" s="53">
        <v>5</v>
      </c>
      <c r="Y9" s="53">
        <v>1</v>
      </c>
      <c r="Z9" s="136">
        <v>7</v>
      </c>
      <c r="AA9" s="53">
        <v>2</v>
      </c>
      <c r="AB9" s="53">
        <v>8</v>
      </c>
      <c r="AC9" s="3"/>
    </row>
    <row r="10" spans="1:29" ht="62.4" x14ac:dyDescent="0.3">
      <c r="A10" s="55" t="s">
        <v>30</v>
      </c>
      <c r="B10" s="54" t="s">
        <v>32</v>
      </c>
      <c r="C10" s="145" t="s">
        <v>35</v>
      </c>
      <c r="D10" s="137" t="s">
        <v>33</v>
      </c>
      <c r="E10" s="54" t="s">
        <v>31</v>
      </c>
      <c r="F10" s="54" t="s">
        <v>37</v>
      </c>
      <c r="G10" s="137" t="s">
        <v>36</v>
      </c>
      <c r="H10" s="137" t="s">
        <v>34</v>
      </c>
      <c r="I10" s="54" t="s">
        <v>38</v>
      </c>
      <c r="J10" s="54" t="s">
        <v>39</v>
      </c>
      <c r="K10" s="54" t="s">
        <v>38</v>
      </c>
      <c r="L10" s="54" t="s">
        <v>37</v>
      </c>
      <c r="M10" s="137" t="s">
        <v>34</v>
      </c>
      <c r="N10" s="137" t="s">
        <v>33</v>
      </c>
      <c r="O10" s="54" t="s">
        <v>32</v>
      </c>
      <c r="P10" s="145" t="s">
        <v>35</v>
      </c>
      <c r="Q10" s="54" t="s">
        <v>39</v>
      </c>
      <c r="R10" s="137" t="s">
        <v>36</v>
      </c>
      <c r="S10" s="54" t="s">
        <v>31</v>
      </c>
      <c r="T10" s="145" t="s">
        <v>35</v>
      </c>
      <c r="U10" s="137" t="s">
        <v>36</v>
      </c>
      <c r="V10" s="137" t="s">
        <v>33</v>
      </c>
      <c r="W10" s="54" t="s">
        <v>39</v>
      </c>
      <c r="X10" s="54" t="s">
        <v>31</v>
      </c>
      <c r="Y10" s="54" t="s">
        <v>37</v>
      </c>
      <c r="Z10" s="137" t="s">
        <v>34</v>
      </c>
      <c r="AA10" s="54" t="s">
        <v>32</v>
      </c>
      <c r="AB10" s="54" t="s">
        <v>38</v>
      </c>
      <c r="AC10" s="3"/>
    </row>
    <row r="11" spans="1:29" x14ac:dyDescent="0.3">
      <c r="A11" s="55" t="s">
        <v>40</v>
      </c>
      <c r="B11" s="59" t="s">
        <v>43</v>
      </c>
      <c r="C11" s="144" t="s">
        <v>43</v>
      </c>
      <c r="D11" s="136" t="s">
        <v>43</v>
      </c>
      <c r="E11" s="59" t="s">
        <v>43</v>
      </c>
      <c r="F11" s="59" t="s">
        <v>43</v>
      </c>
      <c r="G11" s="136" t="s">
        <v>43</v>
      </c>
      <c r="H11" s="136" t="s">
        <v>43</v>
      </c>
      <c r="I11" s="59" t="s">
        <v>43</v>
      </c>
      <c r="J11" s="59" t="s">
        <v>43</v>
      </c>
      <c r="K11" s="60" t="s">
        <v>41</v>
      </c>
      <c r="L11" s="60" t="s">
        <v>41</v>
      </c>
      <c r="M11" s="136" t="s">
        <v>41</v>
      </c>
      <c r="N11" s="136" t="s">
        <v>41</v>
      </c>
      <c r="O11" s="60" t="s">
        <v>41</v>
      </c>
      <c r="P11" s="144" t="s">
        <v>41</v>
      </c>
      <c r="Q11" s="60" t="s">
        <v>41</v>
      </c>
      <c r="R11" s="136" t="s">
        <v>41</v>
      </c>
      <c r="S11" s="60" t="s">
        <v>41</v>
      </c>
      <c r="T11" s="144" t="s">
        <v>42</v>
      </c>
      <c r="U11" s="136" t="s">
        <v>42</v>
      </c>
      <c r="V11" s="136" t="s">
        <v>42</v>
      </c>
      <c r="W11" s="58" t="s">
        <v>42</v>
      </c>
      <c r="X11" s="58" t="s">
        <v>42</v>
      </c>
      <c r="Y11" s="58" t="s">
        <v>42</v>
      </c>
      <c r="Z11" s="136" t="s">
        <v>42</v>
      </c>
      <c r="AA11" s="58" t="s">
        <v>42</v>
      </c>
      <c r="AB11" s="58" t="s">
        <v>42</v>
      </c>
      <c r="AC11" s="3"/>
    </row>
    <row r="12" spans="1:29" ht="31.8" thickBot="1" x14ac:dyDescent="0.35">
      <c r="A12" s="57" t="s">
        <v>44</v>
      </c>
      <c r="B12" s="56">
        <v>301</v>
      </c>
      <c r="C12" s="146">
        <v>302</v>
      </c>
      <c r="D12" s="138">
        <v>303</v>
      </c>
      <c r="E12" s="56">
        <v>304</v>
      </c>
      <c r="F12" s="56">
        <v>305</v>
      </c>
      <c r="G12" s="138">
        <v>306</v>
      </c>
      <c r="H12" s="138">
        <v>307</v>
      </c>
      <c r="I12" s="56">
        <v>308</v>
      </c>
      <c r="J12" s="56">
        <v>309</v>
      </c>
      <c r="K12" s="56">
        <v>310</v>
      </c>
      <c r="L12" s="56">
        <v>311</v>
      </c>
      <c r="M12" s="138">
        <v>312</v>
      </c>
      <c r="N12" s="138">
        <v>313</v>
      </c>
      <c r="O12" s="56">
        <v>314</v>
      </c>
      <c r="P12" s="146">
        <v>315</v>
      </c>
      <c r="Q12" s="56">
        <v>316</v>
      </c>
      <c r="R12" s="138">
        <v>317</v>
      </c>
      <c r="S12" s="56">
        <v>318</v>
      </c>
      <c r="T12" s="146">
        <v>319</v>
      </c>
      <c r="U12" s="138">
        <v>320</v>
      </c>
      <c r="V12" s="138">
        <v>321</v>
      </c>
      <c r="W12" s="56">
        <v>322</v>
      </c>
      <c r="X12" s="56">
        <v>323</v>
      </c>
      <c r="Y12" s="56">
        <v>324</v>
      </c>
      <c r="Z12" s="138">
        <v>325</v>
      </c>
      <c r="AA12" s="56">
        <v>326</v>
      </c>
      <c r="AB12" s="56">
        <v>327</v>
      </c>
      <c r="AC12" s="55"/>
    </row>
    <row r="13" spans="1:29" ht="16.8" thickTop="1" thickBot="1" x14ac:dyDescent="0.35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</row>
    <row r="14" spans="1:29" ht="31.8" thickTop="1" x14ac:dyDescent="0.3">
      <c r="A14" s="61" t="s">
        <v>1</v>
      </c>
      <c r="B14" s="135" t="s">
        <v>4</v>
      </c>
      <c r="C14" s="62" t="s">
        <v>9</v>
      </c>
      <c r="D14" s="143" t="s">
        <v>6</v>
      </c>
      <c r="E14" s="135" t="s">
        <v>7</v>
      </c>
      <c r="F14" s="62" t="s">
        <v>8</v>
      </c>
      <c r="G14" s="135" t="s">
        <v>5</v>
      </c>
      <c r="H14" s="62" t="s">
        <v>2</v>
      </c>
      <c r="I14" s="62" t="s">
        <v>10</v>
      </c>
      <c r="J14" s="62" t="s">
        <v>3</v>
      </c>
      <c r="K14" s="62" t="s">
        <v>15</v>
      </c>
      <c r="L14" s="62" t="s">
        <v>19</v>
      </c>
      <c r="M14" s="62" t="s">
        <v>18</v>
      </c>
      <c r="N14" s="143" t="s">
        <v>13</v>
      </c>
      <c r="O14" s="135" t="s">
        <v>12</v>
      </c>
      <c r="P14" s="135" t="s">
        <v>14</v>
      </c>
      <c r="Q14" s="62" t="s">
        <v>16</v>
      </c>
      <c r="R14" s="62" t="s">
        <v>17</v>
      </c>
      <c r="S14" s="135" t="s">
        <v>11</v>
      </c>
      <c r="T14" s="62" t="s">
        <v>25</v>
      </c>
      <c r="U14" s="62" t="s">
        <v>26</v>
      </c>
      <c r="V14" s="135" t="s">
        <v>28</v>
      </c>
      <c r="W14" s="135" t="s">
        <v>20</v>
      </c>
      <c r="X14" s="62" t="s">
        <v>23</v>
      </c>
      <c r="Y14" s="135" t="s">
        <v>22</v>
      </c>
      <c r="Z14" s="143" t="s">
        <v>24</v>
      </c>
      <c r="AA14" s="62" t="s">
        <v>21</v>
      </c>
      <c r="AB14" s="62" t="s">
        <v>27</v>
      </c>
      <c r="AC14" s="55"/>
    </row>
    <row r="15" spans="1:29" x14ac:dyDescent="0.3">
      <c r="A15" s="55" t="s">
        <v>29</v>
      </c>
      <c r="B15" s="136">
        <v>9</v>
      </c>
      <c r="C15" s="53">
        <v>8</v>
      </c>
      <c r="D15" s="144">
        <v>6</v>
      </c>
      <c r="E15" s="136">
        <v>4</v>
      </c>
      <c r="F15" s="53">
        <v>1</v>
      </c>
      <c r="G15" s="136">
        <v>7</v>
      </c>
      <c r="H15" s="53">
        <v>5</v>
      </c>
      <c r="I15" s="53">
        <v>3</v>
      </c>
      <c r="J15" s="53">
        <v>2</v>
      </c>
      <c r="K15" s="53">
        <v>8</v>
      </c>
      <c r="L15" s="53">
        <v>1</v>
      </c>
      <c r="M15" s="53">
        <v>2</v>
      </c>
      <c r="N15" s="144">
        <v>6</v>
      </c>
      <c r="O15" s="136">
        <v>9</v>
      </c>
      <c r="P15" s="136">
        <v>4</v>
      </c>
      <c r="Q15" s="53">
        <v>5</v>
      </c>
      <c r="R15" s="53">
        <v>3</v>
      </c>
      <c r="S15" s="136">
        <v>7</v>
      </c>
      <c r="T15" s="53">
        <v>3</v>
      </c>
      <c r="U15" s="53">
        <v>2</v>
      </c>
      <c r="V15" s="136">
        <v>9</v>
      </c>
      <c r="W15" s="136">
        <v>4</v>
      </c>
      <c r="X15" s="53">
        <v>5</v>
      </c>
      <c r="Y15" s="136">
        <v>7</v>
      </c>
      <c r="Z15" s="144">
        <v>6</v>
      </c>
      <c r="AA15" s="53">
        <v>1</v>
      </c>
      <c r="AB15" s="53">
        <v>8</v>
      </c>
      <c r="AC15" s="3"/>
    </row>
    <row r="16" spans="1:29" ht="62.4" x14ac:dyDescent="0.3">
      <c r="A16" s="55" t="s">
        <v>30</v>
      </c>
      <c r="B16" s="137" t="s">
        <v>33</v>
      </c>
      <c r="C16" s="54" t="s">
        <v>38</v>
      </c>
      <c r="D16" s="145" t="s">
        <v>35</v>
      </c>
      <c r="E16" s="137" t="s">
        <v>36</v>
      </c>
      <c r="F16" s="54" t="s">
        <v>37</v>
      </c>
      <c r="G16" s="137" t="s">
        <v>34</v>
      </c>
      <c r="H16" s="54" t="s">
        <v>31</v>
      </c>
      <c r="I16" s="54" t="s">
        <v>39</v>
      </c>
      <c r="J16" s="54" t="s">
        <v>32</v>
      </c>
      <c r="K16" s="54" t="s">
        <v>38</v>
      </c>
      <c r="L16" s="54" t="s">
        <v>37</v>
      </c>
      <c r="M16" s="54" t="s">
        <v>32</v>
      </c>
      <c r="N16" s="145" t="s">
        <v>35</v>
      </c>
      <c r="O16" s="137" t="s">
        <v>33</v>
      </c>
      <c r="P16" s="137" t="s">
        <v>36</v>
      </c>
      <c r="Q16" s="54" t="s">
        <v>31</v>
      </c>
      <c r="R16" s="54" t="s">
        <v>39</v>
      </c>
      <c r="S16" s="137" t="s">
        <v>34</v>
      </c>
      <c r="T16" s="54" t="s">
        <v>39</v>
      </c>
      <c r="U16" s="54" t="s">
        <v>32</v>
      </c>
      <c r="V16" s="137" t="s">
        <v>33</v>
      </c>
      <c r="W16" s="137" t="s">
        <v>36</v>
      </c>
      <c r="X16" s="54" t="s">
        <v>31</v>
      </c>
      <c r="Y16" s="137" t="s">
        <v>34</v>
      </c>
      <c r="Z16" s="145" t="s">
        <v>35</v>
      </c>
      <c r="AA16" s="54" t="s">
        <v>37</v>
      </c>
      <c r="AB16" s="54" t="s">
        <v>38</v>
      </c>
      <c r="AC16" s="3"/>
    </row>
    <row r="17" spans="1:29" x14ac:dyDescent="0.3">
      <c r="A17" s="55" t="s">
        <v>40</v>
      </c>
      <c r="B17" s="136" t="s">
        <v>41</v>
      </c>
      <c r="C17" s="60" t="s">
        <v>41</v>
      </c>
      <c r="D17" s="144" t="s">
        <v>41</v>
      </c>
      <c r="E17" s="136" t="s">
        <v>41</v>
      </c>
      <c r="F17" s="60" t="s">
        <v>41</v>
      </c>
      <c r="G17" s="136" t="s">
        <v>41</v>
      </c>
      <c r="H17" s="60" t="s">
        <v>41</v>
      </c>
      <c r="I17" s="60" t="s">
        <v>41</v>
      </c>
      <c r="J17" s="60" t="s">
        <v>41</v>
      </c>
      <c r="K17" s="58" t="s">
        <v>42</v>
      </c>
      <c r="L17" s="58" t="s">
        <v>42</v>
      </c>
      <c r="M17" s="58" t="s">
        <v>42</v>
      </c>
      <c r="N17" s="144" t="s">
        <v>42</v>
      </c>
      <c r="O17" s="136" t="s">
        <v>42</v>
      </c>
      <c r="P17" s="136" t="s">
        <v>42</v>
      </c>
      <c r="Q17" s="58" t="s">
        <v>42</v>
      </c>
      <c r="R17" s="58" t="s">
        <v>42</v>
      </c>
      <c r="S17" s="136" t="s">
        <v>42</v>
      </c>
      <c r="T17" s="59" t="s">
        <v>43</v>
      </c>
      <c r="U17" s="59" t="s">
        <v>43</v>
      </c>
      <c r="V17" s="136" t="s">
        <v>43</v>
      </c>
      <c r="W17" s="136" t="s">
        <v>43</v>
      </c>
      <c r="X17" s="59" t="s">
        <v>43</v>
      </c>
      <c r="Y17" s="136" t="s">
        <v>43</v>
      </c>
      <c r="Z17" s="144" t="s">
        <v>43</v>
      </c>
      <c r="AA17" s="59" t="s">
        <v>43</v>
      </c>
      <c r="AB17" s="59" t="s">
        <v>43</v>
      </c>
      <c r="AC17" s="3"/>
    </row>
    <row r="18" spans="1:29" ht="31.8" thickBot="1" x14ac:dyDescent="0.35">
      <c r="A18" s="57" t="s">
        <v>44</v>
      </c>
      <c r="B18" s="138">
        <v>201</v>
      </c>
      <c r="C18" s="56">
        <v>202</v>
      </c>
      <c r="D18" s="146">
        <v>203</v>
      </c>
      <c r="E18" s="138">
        <v>204</v>
      </c>
      <c r="F18" s="56">
        <v>205</v>
      </c>
      <c r="G18" s="138">
        <v>206</v>
      </c>
      <c r="H18" s="56">
        <v>207</v>
      </c>
      <c r="I18" s="56">
        <v>208</v>
      </c>
      <c r="J18" s="56">
        <v>209</v>
      </c>
      <c r="K18" s="56">
        <v>210</v>
      </c>
      <c r="L18" s="56">
        <v>211</v>
      </c>
      <c r="M18" s="56">
        <v>212</v>
      </c>
      <c r="N18" s="146">
        <v>213</v>
      </c>
      <c r="O18" s="138">
        <v>214</v>
      </c>
      <c r="P18" s="138">
        <v>215</v>
      </c>
      <c r="Q18" s="56">
        <v>216</v>
      </c>
      <c r="R18" s="56">
        <v>217</v>
      </c>
      <c r="S18" s="138">
        <v>218</v>
      </c>
      <c r="T18" s="56">
        <v>219</v>
      </c>
      <c r="U18" s="56">
        <v>220</v>
      </c>
      <c r="V18" s="138">
        <v>221</v>
      </c>
      <c r="W18" s="138">
        <v>222</v>
      </c>
      <c r="X18" s="56">
        <v>223</v>
      </c>
      <c r="Y18" s="138">
        <v>224</v>
      </c>
      <c r="Z18" s="146">
        <v>225</v>
      </c>
      <c r="AA18" s="56">
        <v>226</v>
      </c>
      <c r="AB18" s="56">
        <v>227</v>
      </c>
      <c r="AC18" s="55"/>
    </row>
    <row r="19" spans="1:29" ht="16.8" thickTop="1" thickBot="1" x14ac:dyDescent="0.35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1"/>
    </row>
    <row r="20" spans="1:29" ht="31.8" thickTop="1" x14ac:dyDescent="0.3">
      <c r="A20" s="61" t="s">
        <v>1</v>
      </c>
      <c r="B20" s="62" t="s">
        <v>19</v>
      </c>
      <c r="C20" s="62" t="s">
        <v>18</v>
      </c>
      <c r="D20" s="62" t="s">
        <v>17</v>
      </c>
      <c r="E20" s="135" t="s">
        <v>14</v>
      </c>
      <c r="F20" s="62" t="s">
        <v>16</v>
      </c>
      <c r="G20" s="143" t="s">
        <v>13</v>
      </c>
      <c r="H20" s="135" t="s">
        <v>11</v>
      </c>
      <c r="I20" s="62" t="s">
        <v>15</v>
      </c>
      <c r="J20" s="135" t="s">
        <v>12</v>
      </c>
      <c r="K20" s="62" t="s">
        <v>21</v>
      </c>
      <c r="L20" s="62" t="s">
        <v>26</v>
      </c>
      <c r="M20" s="62" t="s">
        <v>25</v>
      </c>
      <c r="N20" s="135" t="s">
        <v>20</v>
      </c>
      <c r="O20" s="62" t="s">
        <v>23</v>
      </c>
      <c r="P20" s="143" t="s">
        <v>24</v>
      </c>
      <c r="Q20" s="135" t="s">
        <v>22</v>
      </c>
      <c r="R20" s="62" t="s">
        <v>27</v>
      </c>
      <c r="S20" s="135" t="s">
        <v>28</v>
      </c>
      <c r="T20" s="62" t="s">
        <v>8</v>
      </c>
      <c r="U20" s="62" t="s">
        <v>3</v>
      </c>
      <c r="V20" s="62" t="s">
        <v>10</v>
      </c>
      <c r="W20" s="135" t="s">
        <v>7</v>
      </c>
      <c r="X20" s="62" t="s">
        <v>2</v>
      </c>
      <c r="Y20" s="143" t="s">
        <v>6</v>
      </c>
      <c r="Z20" s="135" t="s">
        <v>5</v>
      </c>
      <c r="AA20" s="62" t="s">
        <v>9</v>
      </c>
      <c r="AB20" s="135" t="s">
        <v>4</v>
      </c>
      <c r="AC20" s="55"/>
    </row>
    <row r="21" spans="1:29" x14ac:dyDescent="0.3">
      <c r="A21" s="55" t="s">
        <v>29</v>
      </c>
      <c r="B21" s="53">
        <v>1</v>
      </c>
      <c r="C21" s="53">
        <v>2</v>
      </c>
      <c r="D21" s="53">
        <v>3</v>
      </c>
      <c r="E21" s="136">
        <v>4</v>
      </c>
      <c r="F21" s="53">
        <v>5</v>
      </c>
      <c r="G21" s="144">
        <v>6</v>
      </c>
      <c r="H21" s="136">
        <v>7</v>
      </c>
      <c r="I21" s="53">
        <v>8</v>
      </c>
      <c r="J21" s="136">
        <v>9</v>
      </c>
      <c r="K21" s="53">
        <v>1</v>
      </c>
      <c r="L21" s="53">
        <v>2</v>
      </c>
      <c r="M21" s="53">
        <v>3</v>
      </c>
      <c r="N21" s="136">
        <v>4</v>
      </c>
      <c r="O21" s="53">
        <v>5</v>
      </c>
      <c r="P21" s="144">
        <v>6</v>
      </c>
      <c r="Q21" s="136">
        <v>7</v>
      </c>
      <c r="R21" s="53">
        <v>8</v>
      </c>
      <c r="S21" s="136">
        <v>9</v>
      </c>
      <c r="T21" s="53">
        <v>1</v>
      </c>
      <c r="U21" s="53">
        <v>2</v>
      </c>
      <c r="V21" s="53">
        <v>3</v>
      </c>
      <c r="W21" s="136">
        <v>4</v>
      </c>
      <c r="X21" s="53">
        <v>5</v>
      </c>
      <c r="Y21" s="144">
        <v>6</v>
      </c>
      <c r="Z21" s="136">
        <v>7</v>
      </c>
      <c r="AA21" s="53">
        <v>8</v>
      </c>
      <c r="AB21" s="136">
        <v>9</v>
      </c>
      <c r="AC21" s="3"/>
    </row>
    <row r="22" spans="1:29" ht="62.4" x14ac:dyDescent="0.3">
      <c r="A22" s="55" t="s">
        <v>30</v>
      </c>
      <c r="B22" s="54" t="s">
        <v>37</v>
      </c>
      <c r="C22" s="54" t="s">
        <v>32</v>
      </c>
      <c r="D22" s="54" t="s">
        <v>39</v>
      </c>
      <c r="E22" s="137" t="s">
        <v>36</v>
      </c>
      <c r="F22" s="54" t="s">
        <v>31</v>
      </c>
      <c r="G22" s="145" t="s">
        <v>35</v>
      </c>
      <c r="H22" s="137" t="s">
        <v>34</v>
      </c>
      <c r="I22" s="54" t="s">
        <v>38</v>
      </c>
      <c r="J22" s="137" t="s">
        <v>33</v>
      </c>
      <c r="K22" s="54" t="s">
        <v>37</v>
      </c>
      <c r="L22" s="54" t="s">
        <v>32</v>
      </c>
      <c r="M22" s="54" t="s">
        <v>39</v>
      </c>
      <c r="N22" s="137" t="s">
        <v>36</v>
      </c>
      <c r="O22" s="54" t="s">
        <v>31</v>
      </c>
      <c r="P22" s="145" t="s">
        <v>35</v>
      </c>
      <c r="Q22" s="137" t="s">
        <v>34</v>
      </c>
      <c r="R22" s="54" t="s">
        <v>38</v>
      </c>
      <c r="S22" s="137" t="s">
        <v>33</v>
      </c>
      <c r="T22" s="54" t="s">
        <v>37</v>
      </c>
      <c r="U22" s="54" t="s">
        <v>32</v>
      </c>
      <c r="V22" s="54" t="s">
        <v>39</v>
      </c>
      <c r="W22" s="137" t="s">
        <v>36</v>
      </c>
      <c r="X22" s="54" t="s">
        <v>31</v>
      </c>
      <c r="Y22" s="145" t="s">
        <v>35</v>
      </c>
      <c r="Z22" s="137" t="s">
        <v>34</v>
      </c>
      <c r="AA22" s="54" t="s">
        <v>38</v>
      </c>
      <c r="AB22" s="137" t="s">
        <v>33</v>
      </c>
      <c r="AC22" s="3"/>
    </row>
    <row r="23" spans="1:29" x14ac:dyDescent="0.3">
      <c r="A23" s="55" t="s">
        <v>40</v>
      </c>
      <c r="B23" s="58" t="s">
        <v>42</v>
      </c>
      <c r="C23" s="58" t="s">
        <v>42</v>
      </c>
      <c r="D23" s="58" t="s">
        <v>42</v>
      </c>
      <c r="E23" s="136" t="s">
        <v>42</v>
      </c>
      <c r="F23" s="58" t="s">
        <v>42</v>
      </c>
      <c r="G23" s="144" t="s">
        <v>42</v>
      </c>
      <c r="H23" s="136" t="s">
        <v>42</v>
      </c>
      <c r="I23" s="58" t="s">
        <v>42</v>
      </c>
      <c r="J23" s="136" t="s">
        <v>42</v>
      </c>
      <c r="K23" s="59" t="s">
        <v>43</v>
      </c>
      <c r="L23" s="59" t="s">
        <v>43</v>
      </c>
      <c r="M23" s="59" t="s">
        <v>43</v>
      </c>
      <c r="N23" s="136" t="s">
        <v>43</v>
      </c>
      <c r="O23" s="59" t="s">
        <v>43</v>
      </c>
      <c r="P23" s="144" t="s">
        <v>43</v>
      </c>
      <c r="Q23" s="136" t="s">
        <v>43</v>
      </c>
      <c r="R23" s="59" t="s">
        <v>43</v>
      </c>
      <c r="S23" s="136" t="s">
        <v>43</v>
      </c>
      <c r="T23" s="60" t="s">
        <v>41</v>
      </c>
      <c r="U23" s="60" t="s">
        <v>41</v>
      </c>
      <c r="V23" s="60" t="s">
        <v>41</v>
      </c>
      <c r="W23" s="136" t="s">
        <v>41</v>
      </c>
      <c r="X23" s="60" t="s">
        <v>41</v>
      </c>
      <c r="Y23" s="144" t="s">
        <v>41</v>
      </c>
      <c r="Z23" s="136" t="s">
        <v>41</v>
      </c>
      <c r="AA23" s="60" t="s">
        <v>41</v>
      </c>
      <c r="AB23" s="136" t="s">
        <v>41</v>
      </c>
      <c r="AC23" s="3"/>
    </row>
    <row r="24" spans="1:29" ht="31.8" thickBot="1" x14ac:dyDescent="0.35">
      <c r="A24" s="57" t="s">
        <v>44</v>
      </c>
      <c r="B24" s="56">
        <v>101</v>
      </c>
      <c r="C24" s="56">
        <v>102</v>
      </c>
      <c r="D24" s="56">
        <v>103</v>
      </c>
      <c r="E24" s="138">
        <v>104</v>
      </c>
      <c r="F24" s="56">
        <v>105</v>
      </c>
      <c r="G24" s="146">
        <v>106</v>
      </c>
      <c r="H24" s="138">
        <v>107</v>
      </c>
      <c r="I24" s="56">
        <v>108</v>
      </c>
      <c r="J24" s="138">
        <v>109</v>
      </c>
      <c r="K24" s="56">
        <v>110</v>
      </c>
      <c r="L24" s="56">
        <v>111</v>
      </c>
      <c r="M24" s="56">
        <v>112</v>
      </c>
      <c r="N24" s="138">
        <v>113</v>
      </c>
      <c r="O24" s="56">
        <v>114</v>
      </c>
      <c r="P24" s="146">
        <v>115</v>
      </c>
      <c r="Q24" s="138">
        <v>116</v>
      </c>
      <c r="R24" s="56">
        <v>117</v>
      </c>
      <c r="S24" s="138">
        <v>118</v>
      </c>
      <c r="T24" s="56">
        <v>119</v>
      </c>
      <c r="U24" s="56">
        <v>120</v>
      </c>
      <c r="V24" s="56">
        <v>121</v>
      </c>
      <c r="W24" s="138">
        <v>122</v>
      </c>
      <c r="X24" s="56">
        <v>123</v>
      </c>
      <c r="Y24" s="146">
        <v>124</v>
      </c>
      <c r="Z24" s="138">
        <v>125</v>
      </c>
      <c r="AA24" s="56">
        <v>126</v>
      </c>
      <c r="AB24" s="138">
        <v>127</v>
      </c>
      <c r="AC24" s="55"/>
    </row>
    <row r="25" spans="1:29" ht="16.2" thickTop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8" spans="1:29" x14ac:dyDescent="0.3">
      <c r="Z28" t="s">
        <v>265</v>
      </c>
    </row>
  </sheetData>
  <phoneticPr fontId="22" alignment="center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D560-93A6-4A88-95B8-666FA129384B}">
  <dimension ref="A1:AC25"/>
  <sheetViews>
    <sheetView zoomScale="59" zoomScaleNormal="59" workbookViewId="0">
      <selection activeCell="X20" sqref="X20:X24"/>
    </sheetView>
  </sheetViews>
  <sheetFormatPr defaultRowHeight="15.6" x14ac:dyDescent="0.3"/>
  <cols>
    <col min="1" max="1" width="15.19921875" bestFit="1" customWidth="1"/>
    <col min="2" max="2" width="14.69921875" customWidth="1"/>
    <col min="3" max="28" width="14" bestFit="1" customWidth="1"/>
  </cols>
  <sheetData>
    <row r="1" spans="1:29" ht="26.4" thickBot="1" x14ac:dyDescent="0.55000000000000004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16.2" thickTop="1" x14ac:dyDescent="0.3">
      <c r="A2" s="61" t="s">
        <v>1</v>
      </c>
      <c r="B2" s="139" t="s">
        <v>2</v>
      </c>
      <c r="C2" s="62" t="s">
        <v>3</v>
      </c>
      <c r="D2" s="135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135" t="s">
        <v>9</v>
      </c>
      <c r="J2" s="135" t="s">
        <v>10</v>
      </c>
      <c r="K2" s="62" t="s">
        <v>11</v>
      </c>
      <c r="L2" s="135" t="s">
        <v>12</v>
      </c>
      <c r="M2" s="62" t="s">
        <v>13</v>
      </c>
      <c r="N2" s="62" t="s">
        <v>14</v>
      </c>
      <c r="O2" s="135" t="s">
        <v>15</v>
      </c>
      <c r="P2" s="139" t="s">
        <v>16</v>
      </c>
      <c r="Q2" s="135" t="s">
        <v>17</v>
      </c>
      <c r="R2" s="62" t="s">
        <v>18</v>
      </c>
      <c r="S2" s="62" t="s">
        <v>19</v>
      </c>
      <c r="T2" s="62" t="s">
        <v>20</v>
      </c>
      <c r="U2" s="62" t="s">
        <v>21</v>
      </c>
      <c r="V2" s="62" t="s">
        <v>22</v>
      </c>
      <c r="W2" s="139" t="s">
        <v>23</v>
      </c>
      <c r="X2" s="62" t="s">
        <v>24</v>
      </c>
      <c r="Y2" s="135" t="s">
        <v>25</v>
      </c>
      <c r="Z2" s="62" t="s">
        <v>26</v>
      </c>
      <c r="AA2" s="135" t="s">
        <v>27</v>
      </c>
      <c r="AB2" s="135" t="s">
        <v>28</v>
      </c>
      <c r="AC2" s="55"/>
    </row>
    <row r="3" spans="1:29" x14ac:dyDescent="0.3">
      <c r="A3" s="55" t="s">
        <v>29</v>
      </c>
      <c r="B3" s="140">
        <v>5</v>
      </c>
      <c r="C3" s="53">
        <v>2</v>
      </c>
      <c r="D3" s="136">
        <v>9</v>
      </c>
      <c r="E3" s="53">
        <v>7</v>
      </c>
      <c r="F3" s="53">
        <v>6</v>
      </c>
      <c r="G3" s="53">
        <v>4</v>
      </c>
      <c r="H3" s="53">
        <v>1</v>
      </c>
      <c r="I3" s="136">
        <v>8</v>
      </c>
      <c r="J3" s="136">
        <v>3</v>
      </c>
      <c r="K3" s="53">
        <v>7</v>
      </c>
      <c r="L3" s="136">
        <v>9</v>
      </c>
      <c r="M3" s="53">
        <v>6</v>
      </c>
      <c r="N3" s="53">
        <v>4</v>
      </c>
      <c r="O3" s="136">
        <v>8</v>
      </c>
      <c r="P3" s="140">
        <v>5</v>
      </c>
      <c r="Q3" s="136">
        <v>3</v>
      </c>
      <c r="R3" s="53">
        <v>2</v>
      </c>
      <c r="S3" s="53">
        <v>1</v>
      </c>
      <c r="T3" s="53">
        <v>4</v>
      </c>
      <c r="U3" s="53">
        <v>1</v>
      </c>
      <c r="V3" s="53">
        <v>7</v>
      </c>
      <c r="W3" s="140">
        <v>5</v>
      </c>
      <c r="X3" s="53">
        <v>6</v>
      </c>
      <c r="Y3" s="136">
        <v>3</v>
      </c>
      <c r="Z3" s="53">
        <v>2</v>
      </c>
      <c r="AA3" s="136">
        <v>8</v>
      </c>
      <c r="AB3" s="136">
        <v>9</v>
      </c>
      <c r="AC3" s="3"/>
    </row>
    <row r="4" spans="1:29" ht="42.75" customHeight="1" x14ac:dyDescent="0.3">
      <c r="A4" s="55" t="s">
        <v>30</v>
      </c>
      <c r="B4" s="141" t="s">
        <v>31</v>
      </c>
      <c r="C4" s="54" t="s">
        <v>32</v>
      </c>
      <c r="D4" s="137" t="s">
        <v>33</v>
      </c>
      <c r="E4" s="54" t="s">
        <v>34</v>
      </c>
      <c r="F4" s="54" t="s">
        <v>35</v>
      </c>
      <c r="G4" s="54" t="s">
        <v>36</v>
      </c>
      <c r="H4" s="54" t="s">
        <v>37</v>
      </c>
      <c r="I4" s="137" t="s">
        <v>38</v>
      </c>
      <c r="J4" s="137" t="s">
        <v>39</v>
      </c>
      <c r="K4" s="54" t="s">
        <v>34</v>
      </c>
      <c r="L4" s="137" t="s">
        <v>33</v>
      </c>
      <c r="M4" s="54" t="s">
        <v>35</v>
      </c>
      <c r="N4" s="54" t="s">
        <v>36</v>
      </c>
      <c r="O4" s="137" t="s">
        <v>38</v>
      </c>
      <c r="P4" s="141" t="s">
        <v>31</v>
      </c>
      <c r="Q4" s="137" t="s">
        <v>39</v>
      </c>
      <c r="R4" s="54" t="s">
        <v>32</v>
      </c>
      <c r="S4" s="54" t="s">
        <v>37</v>
      </c>
      <c r="T4" s="54" t="s">
        <v>36</v>
      </c>
      <c r="U4" s="54" t="s">
        <v>37</v>
      </c>
      <c r="V4" s="54" t="s">
        <v>34</v>
      </c>
      <c r="W4" s="141" t="s">
        <v>31</v>
      </c>
      <c r="X4" s="54" t="s">
        <v>35</v>
      </c>
      <c r="Y4" s="137" t="s">
        <v>39</v>
      </c>
      <c r="Z4" s="54" t="s">
        <v>32</v>
      </c>
      <c r="AA4" s="137" t="s">
        <v>38</v>
      </c>
      <c r="AB4" s="137" t="s">
        <v>33</v>
      </c>
      <c r="AC4" s="3"/>
    </row>
    <row r="5" spans="1:29" x14ac:dyDescent="0.3">
      <c r="A5" s="55" t="s">
        <v>40</v>
      </c>
      <c r="B5" s="140" t="s">
        <v>41</v>
      </c>
      <c r="C5" s="60" t="s">
        <v>41</v>
      </c>
      <c r="D5" s="136" t="s">
        <v>41</v>
      </c>
      <c r="E5" s="60" t="s">
        <v>41</v>
      </c>
      <c r="F5" s="60" t="s">
        <v>41</v>
      </c>
      <c r="G5" s="60" t="s">
        <v>41</v>
      </c>
      <c r="H5" s="60" t="s">
        <v>41</v>
      </c>
      <c r="I5" s="136" t="s">
        <v>41</v>
      </c>
      <c r="J5" s="136" t="s">
        <v>41</v>
      </c>
      <c r="K5" s="58" t="s">
        <v>42</v>
      </c>
      <c r="L5" s="136" t="s">
        <v>42</v>
      </c>
      <c r="M5" s="58" t="s">
        <v>42</v>
      </c>
      <c r="N5" s="58" t="s">
        <v>42</v>
      </c>
      <c r="O5" s="136" t="s">
        <v>42</v>
      </c>
      <c r="P5" s="140" t="s">
        <v>42</v>
      </c>
      <c r="Q5" s="136" t="s">
        <v>42</v>
      </c>
      <c r="R5" s="58" t="s">
        <v>42</v>
      </c>
      <c r="S5" s="58" t="s">
        <v>42</v>
      </c>
      <c r="T5" s="59" t="s">
        <v>43</v>
      </c>
      <c r="U5" s="59" t="s">
        <v>43</v>
      </c>
      <c r="V5" s="59" t="s">
        <v>43</v>
      </c>
      <c r="W5" s="140" t="s">
        <v>43</v>
      </c>
      <c r="X5" s="59" t="s">
        <v>43</v>
      </c>
      <c r="Y5" s="136" t="s">
        <v>43</v>
      </c>
      <c r="Z5" s="59" t="s">
        <v>43</v>
      </c>
      <c r="AA5" s="136" t="s">
        <v>43</v>
      </c>
      <c r="AB5" s="136" t="s">
        <v>43</v>
      </c>
      <c r="AC5" s="3"/>
    </row>
    <row r="6" spans="1:29" ht="16.2" thickBot="1" x14ac:dyDescent="0.35">
      <c r="A6" s="57" t="s">
        <v>44</v>
      </c>
      <c r="B6" s="142">
        <v>401</v>
      </c>
      <c r="C6" s="56">
        <v>402</v>
      </c>
      <c r="D6" s="138">
        <v>403</v>
      </c>
      <c r="E6" s="56">
        <v>404</v>
      </c>
      <c r="F6" s="56">
        <v>405</v>
      </c>
      <c r="G6" s="56">
        <v>406</v>
      </c>
      <c r="H6" s="56">
        <v>407</v>
      </c>
      <c r="I6" s="138">
        <v>408</v>
      </c>
      <c r="J6" s="138">
        <v>409</v>
      </c>
      <c r="K6" s="56">
        <v>410</v>
      </c>
      <c r="L6" s="138">
        <v>411</v>
      </c>
      <c r="M6" s="56">
        <v>412</v>
      </c>
      <c r="N6" s="56">
        <v>413</v>
      </c>
      <c r="O6" s="138">
        <v>414</v>
      </c>
      <c r="P6" s="142">
        <v>415</v>
      </c>
      <c r="Q6" s="138">
        <v>416</v>
      </c>
      <c r="R6" s="56">
        <v>417</v>
      </c>
      <c r="S6" s="56">
        <v>418</v>
      </c>
      <c r="T6" s="56">
        <v>419</v>
      </c>
      <c r="U6" s="56">
        <v>420</v>
      </c>
      <c r="V6" s="56">
        <v>421</v>
      </c>
      <c r="W6" s="142">
        <v>422</v>
      </c>
      <c r="X6" s="56">
        <v>423</v>
      </c>
      <c r="Y6" s="138">
        <v>424</v>
      </c>
      <c r="Z6" s="56">
        <v>425</v>
      </c>
      <c r="AA6" s="138">
        <v>426</v>
      </c>
      <c r="AB6" s="138">
        <v>427</v>
      </c>
      <c r="AC6" s="55"/>
    </row>
    <row r="7" spans="1:29" ht="16.8" thickTop="1" thickBot="1" x14ac:dyDescent="0.3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1"/>
    </row>
    <row r="8" spans="1:29" ht="16.2" thickTop="1" x14ac:dyDescent="0.3">
      <c r="A8" s="61" t="s">
        <v>1</v>
      </c>
      <c r="B8" s="62" t="s">
        <v>26</v>
      </c>
      <c r="C8" s="62" t="s">
        <v>24</v>
      </c>
      <c r="D8" s="135" t="s">
        <v>28</v>
      </c>
      <c r="E8" s="139" t="s">
        <v>23</v>
      </c>
      <c r="F8" s="62" t="s">
        <v>21</v>
      </c>
      <c r="G8" s="62" t="s">
        <v>20</v>
      </c>
      <c r="H8" s="62" t="s">
        <v>22</v>
      </c>
      <c r="I8" s="135" t="s">
        <v>27</v>
      </c>
      <c r="J8" s="135" t="s">
        <v>25</v>
      </c>
      <c r="K8" s="135" t="s">
        <v>9</v>
      </c>
      <c r="L8" s="62" t="s">
        <v>8</v>
      </c>
      <c r="M8" s="62" t="s">
        <v>5</v>
      </c>
      <c r="N8" s="135" t="s">
        <v>4</v>
      </c>
      <c r="O8" s="62" t="s">
        <v>3</v>
      </c>
      <c r="P8" s="62" t="s">
        <v>6</v>
      </c>
      <c r="Q8" s="135" t="s">
        <v>10</v>
      </c>
      <c r="R8" s="62" t="s">
        <v>7</v>
      </c>
      <c r="S8" s="139" t="s">
        <v>2</v>
      </c>
      <c r="T8" s="62" t="s">
        <v>13</v>
      </c>
      <c r="U8" s="62" t="s">
        <v>14</v>
      </c>
      <c r="V8" s="135" t="s">
        <v>12</v>
      </c>
      <c r="W8" s="135" t="s">
        <v>17</v>
      </c>
      <c r="X8" s="139" t="s">
        <v>16</v>
      </c>
      <c r="Y8" s="62" t="s">
        <v>19</v>
      </c>
      <c r="Z8" s="62" t="s">
        <v>11</v>
      </c>
      <c r="AA8" s="62" t="s">
        <v>18</v>
      </c>
      <c r="AB8" s="135" t="s">
        <v>15</v>
      </c>
      <c r="AC8" s="55"/>
    </row>
    <row r="9" spans="1:29" x14ac:dyDescent="0.3">
      <c r="A9" s="55" t="s">
        <v>29</v>
      </c>
      <c r="B9" s="53">
        <v>2</v>
      </c>
      <c r="C9" s="53">
        <v>6</v>
      </c>
      <c r="D9" s="136">
        <v>9</v>
      </c>
      <c r="E9" s="140">
        <v>5</v>
      </c>
      <c r="F9" s="53">
        <v>1</v>
      </c>
      <c r="G9" s="53">
        <v>4</v>
      </c>
      <c r="H9" s="53">
        <v>7</v>
      </c>
      <c r="I9" s="136">
        <v>8</v>
      </c>
      <c r="J9" s="136">
        <v>3</v>
      </c>
      <c r="K9" s="136">
        <v>8</v>
      </c>
      <c r="L9" s="53">
        <v>1</v>
      </c>
      <c r="M9" s="53">
        <v>7</v>
      </c>
      <c r="N9" s="136">
        <v>9</v>
      </c>
      <c r="O9" s="53">
        <v>2</v>
      </c>
      <c r="P9" s="53">
        <v>6</v>
      </c>
      <c r="Q9" s="136">
        <v>3</v>
      </c>
      <c r="R9" s="53">
        <v>4</v>
      </c>
      <c r="S9" s="140">
        <v>5</v>
      </c>
      <c r="T9" s="53">
        <v>6</v>
      </c>
      <c r="U9" s="53">
        <v>4</v>
      </c>
      <c r="V9" s="136">
        <v>9</v>
      </c>
      <c r="W9" s="136">
        <v>3</v>
      </c>
      <c r="X9" s="140">
        <v>5</v>
      </c>
      <c r="Y9" s="53">
        <v>1</v>
      </c>
      <c r="Z9" s="53">
        <v>7</v>
      </c>
      <c r="AA9" s="53">
        <v>2</v>
      </c>
      <c r="AB9" s="136">
        <v>8</v>
      </c>
      <c r="AC9" s="3"/>
    </row>
    <row r="10" spans="1:29" ht="33" customHeight="1" x14ac:dyDescent="0.3">
      <c r="A10" s="55" t="s">
        <v>30</v>
      </c>
      <c r="B10" s="54" t="s">
        <v>32</v>
      </c>
      <c r="C10" s="54" t="s">
        <v>35</v>
      </c>
      <c r="D10" s="137" t="s">
        <v>33</v>
      </c>
      <c r="E10" s="141" t="s">
        <v>31</v>
      </c>
      <c r="F10" s="54" t="s">
        <v>37</v>
      </c>
      <c r="G10" s="54" t="s">
        <v>36</v>
      </c>
      <c r="H10" s="54" t="s">
        <v>34</v>
      </c>
      <c r="I10" s="137" t="s">
        <v>38</v>
      </c>
      <c r="J10" s="137" t="s">
        <v>39</v>
      </c>
      <c r="K10" s="137" t="s">
        <v>38</v>
      </c>
      <c r="L10" s="54" t="s">
        <v>37</v>
      </c>
      <c r="M10" s="54" t="s">
        <v>34</v>
      </c>
      <c r="N10" s="137" t="s">
        <v>33</v>
      </c>
      <c r="O10" s="54" t="s">
        <v>32</v>
      </c>
      <c r="P10" s="54" t="s">
        <v>35</v>
      </c>
      <c r="Q10" s="137" t="s">
        <v>39</v>
      </c>
      <c r="R10" s="54" t="s">
        <v>36</v>
      </c>
      <c r="S10" s="141" t="s">
        <v>31</v>
      </c>
      <c r="T10" s="54" t="s">
        <v>35</v>
      </c>
      <c r="U10" s="54" t="s">
        <v>36</v>
      </c>
      <c r="V10" s="137" t="s">
        <v>33</v>
      </c>
      <c r="W10" s="137" t="s">
        <v>39</v>
      </c>
      <c r="X10" s="141" t="s">
        <v>31</v>
      </c>
      <c r="Y10" s="54" t="s">
        <v>37</v>
      </c>
      <c r="Z10" s="54" t="s">
        <v>34</v>
      </c>
      <c r="AA10" s="54" t="s">
        <v>32</v>
      </c>
      <c r="AB10" s="137" t="s">
        <v>38</v>
      </c>
      <c r="AC10" s="3"/>
    </row>
    <row r="11" spans="1:29" x14ac:dyDescent="0.3">
      <c r="A11" s="55" t="s">
        <v>40</v>
      </c>
      <c r="B11" s="59" t="s">
        <v>43</v>
      </c>
      <c r="C11" s="59" t="s">
        <v>43</v>
      </c>
      <c r="D11" s="136" t="s">
        <v>43</v>
      </c>
      <c r="E11" s="140" t="s">
        <v>43</v>
      </c>
      <c r="F11" s="59" t="s">
        <v>43</v>
      </c>
      <c r="G11" s="59" t="s">
        <v>43</v>
      </c>
      <c r="H11" s="59" t="s">
        <v>43</v>
      </c>
      <c r="I11" s="136" t="s">
        <v>43</v>
      </c>
      <c r="J11" s="136" t="s">
        <v>43</v>
      </c>
      <c r="K11" s="136" t="s">
        <v>41</v>
      </c>
      <c r="L11" s="60" t="s">
        <v>41</v>
      </c>
      <c r="M11" s="60" t="s">
        <v>41</v>
      </c>
      <c r="N11" s="136" t="s">
        <v>41</v>
      </c>
      <c r="O11" s="60" t="s">
        <v>41</v>
      </c>
      <c r="P11" s="60" t="s">
        <v>41</v>
      </c>
      <c r="Q11" s="136" t="s">
        <v>41</v>
      </c>
      <c r="R11" s="60" t="s">
        <v>41</v>
      </c>
      <c r="S11" s="140" t="s">
        <v>41</v>
      </c>
      <c r="T11" s="58" t="s">
        <v>42</v>
      </c>
      <c r="U11" s="58" t="s">
        <v>42</v>
      </c>
      <c r="V11" s="136" t="s">
        <v>42</v>
      </c>
      <c r="W11" s="136" t="s">
        <v>42</v>
      </c>
      <c r="X11" s="140" t="s">
        <v>42</v>
      </c>
      <c r="Y11" s="58" t="s">
        <v>42</v>
      </c>
      <c r="Z11" s="58" t="s">
        <v>42</v>
      </c>
      <c r="AA11" s="58" t="s">
        <v>42</v>
      </c>
      <c r="AB11" s="136" t="s">
        <v>42</v>
      </c>
      <c r="AC11" s="3"/>
    </row>
    <row r="12" spans="1:29" ht="16.2" thickBot="1" x14ac:dyDescent="0.35">
      <c r="A12" s="57" t="s">
        <v>44</v>
      </c>
      <c r="B12" s="56">
        <v>301</v>
      </c>
      <c r="C12" s="56">
        <v>302</v>
      </c>
      <c r="D12" s="138">
        <v>303</v>
      </c>
      <c r="E12" s="142">
        <v>304</v>
      </c>
      <c r="F12" s="56">
        <v>305</v>
      </c>
      <c r="G12" s="56">
        <v>306</v>
      </c>
      <c r="H12" s="56">
        <v>307</v>
      </c>
      <c r="I12" s="138">
        <v>308</v>
      </c>
      <c r="J12" s="138">
        <v>309</v>
      </c>
      <c r="K12" s="138">
        <v>310</v>
      </c>
      <c r="L12" s="56">
        <v>311</v>
      </c>
      <c r="M12" s="56">
        <v>312</v>
      </c>
      <c r="N12" s="138">
        <v>313</v>
      </c>
      <c r="O12" s="56">
        <v>314</v>
      </c>
      <c r="P12" s="56">
        <v>315</v>
      </c>
      <c r="Q12" s="138">
        <v>316</v>
      </c>
      <c r="R12" s="56">
        <v>317</v>
      </c>
      <c r="S12" s="142">
        <v>318</v>
      </c>
      <c r="T12" s="56">
        <v>319</v>
      </c>
      <c r="U12" s="56">
        <v>320</v>
      </c>
      <c r="V12" s="138">
        <v>321</v>
      </c>
      <c r="W12" s="138">
        <v>322</v>
      </c>
      <c r="X12" s="142">
        <v>323</v>
      </c>
      <c r="Y12" s="56">
        <v>324</v>
      </c>
      <c r="Z12" s="56">
        <v>325</v>
      </c>
      <c r="AA12" s="56">
        <v>326</v>
      </c>
      <c r="AB12" s="138">
        <v>327</v>
      </c>
      <c r="AC12" s="55"/>
    </row>
    <row r="13" spans="1:29" ht="16.8" thickTop="1" thickBot="1" x14ac:dyDescent="0.35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</row>
    <row r="14" spans="1:29" ht="16.2" thickTop="1" x14ac:dyDescent="0.3">
      <c r="A14" s="61" t="s">
        <v>1</v>
      </c>
      <c r="B14" s="135" t="s">
        <v>4</v>
      </c>
      <c r="C14" s="135" t="s">
        <v>9</v>
      </c>
      <c r="D14" s="62" t="s">
        <v>6</v>
      </c>
      <c r="E14" s="62" t="s">
        <v>7</v>
      </c>
      <c r="F14" s="62" t="s">
        <v>8</v>
      </c>
      <c r="G14" s="62" t="s">
        <v>5</v>
      </c>
      <c r="H14" s="139" t="s">
        <v>2</v>
      </c>
      <c r="I14" s="135" t="s">
        <v>10</v>
      </c>
      <c r="J14" s="62" t="s">
        <v>3</v>
      </c>
      <c r="K14" s="135" t="s">
        <v>15</v>
      </c>
      <c r="L14" s="62" t="s">
        <v>19</v>
      </c>
      <c r="M14" s="62" t="s">
        <v>18</v>
      </c>
      <c r="N14" s="62" t="s">
        <v>13</v>
      </c>
      <c r="O14" s="135" t="s">
        <v>12</v>
      </c>
      <c r="P14" s="62" t="s">
        <v>14</v>
      </c>
      <c r="Q14" s="139" t="s">
        <v>16</v>
      </c>
      <c r="R14" s="135" t="s">
        <v>17</v>
      </c>
      <c r="S14" s="62" t="s">
        <v>11</v>
      </c>
      <c r="T14" s="135" t="s">
        <v>25</v>
      </c>
      <c r="U14" s="62" t="s">
        <v>26</v>
      </c>
      <c r="V14" s="135" t="s">
        <v>28</v>
      </c>
      <c r="W14" s="62" t="s">
        <v>20</v>
      </c>
      <c r="X14" s="139" t="s">
        <v>23</v>
      </c>
      <c r="Y14" s="62" t="s">
        <v>22</v>
      </c>
      <c r="Z14" s="62" t="s">
        <v>24</v>
      </c>
      <c r="AA14" s="62" t="s">
        <v>21</v>
      </c>
      <c r="AB14" s="135" t="s">
        <v>27</v>
      </c>
      <c r="AC14" s="55"/>
    </row>
    <row r="15" spans="1:29" x14ac:dyDescent="0.3">
      <c r="A15" s="55" t="s">
        <v>29</v>
      </c>
      <c r="B15" s="136">
        <v>9</v>
      </c>
      <c r="C15" s="136">
        <v>8</v>
      </c>
      <c r="D15" s="53">
        <v>6</v>
      </c>
      <c r="E15" s="53">
        <v>4</v>
      </c>
      <c r="F15" s="53">
        <v>1</v>
      </c>
      <c r="G15" s="53">
        <v>7</v>
      </c>
      <c r="H15" s="140">
        <v>5</v>
      </c>
      <c r="I15" s="136">
        <v>3</v>
      </c>
      <c r="J15" s="53">
        <v>2</v>
      </c>
      <c r="K15" s="136">
        <v>8</v>
      </c>
      <c r="L15" s="53">
        <v>1</v>
      </c>
      <c r="M15" s="53">
        <v>2</v>
      </c>
      <c r="N15" s="53">
        <v>6</v>
      </c>
      <c r="O15" s="136">
        <v>9</v>
      </c>
      <c r="P15" s="53">
        <v>4</v>
      </c>
      <c r="Q15" s="140">
        <v>5</v>
      </c>
      <c r="R15" s="136">
        <v>3</v>
      </c>
      <c r="S15" s="53">
        <v>7</v>
      </c>
      <c r="T15" s="136">
        <v>3</v>
      </c>
      <c r="U15" s="53">
        <v>2</v>
      </c>
      <c r="V15" s="136">
        <v>9</v>
      </c>
      <c r="W15" s="53">
        <v>4</v>
      </c>
      <c r="X15" s="140">
        <v>5</v>
      </c>
      <c r="Y15" s="53">
        <v>7</v>
      </c>
      <c r="Z15" s="53">
        <v>6</v>
      </c>
      <c r="AA15" s="53">
        <v>1</v>
      </c>
      <c r="AB15" s="136">
        <v>8</v>
      </c>
      <c r="AC15" s="3"/>
    </row>
    <row r="16" spans="1:29" ht="37.5" customHeight="1" x14ac:dyDescent="0.3">
      <c r="A16" s="55" t="s">
        <v>30</v>
      </c>
      <c r="B16" s="137" t="s">
        <v>33</v>
      </c>
      <c r="C16" s="137" t="s">
        <v>38</v>
      </c>
      <c r="D16" s="54" t="s">
        <v>35</v>
      </c>
      <c r="E16" s="54" t="s">
        <v>36</v>
      </c>
      <c r="F16" s="54" t="s">
        <v>37</v>
      </c>
      <c r="G16" s="54" t="s">
        <v>34</v>
      </c>
      <c r="H16" s="141" t="s">
        <v>31</v>
      </c>
      <c r="I16" s="137" t="s">
        <v>39</v>
      </c>
      <c r="J16" s="54" t="s">
        <v>32</v>
      </c>
      <c r="K16" s="137" t="s">
        <v>38</v>
      </c>
      <c r="L16" s="54" t="s">
        <v>37</v>
      </c>
      <c r="M16" s="54" t="s">
        <v>32</v>
      </c>
      <c r="N16" s="54" t="s">
        <v>35</v>
      </c>
      <c r="O16" s="137" t="s">
        <v>33</v>
      </c>
      <c r="P16" s="54" t="s">
        <v>36</v>
      </c>
      <c r="Q16" s="141" t="s">
        <v>31</v>
      </c>
      <c r="R16" s="137" t="s">
        <v>39</v>
      </c>
      <c r="S16" s="54" t="s">
        <v>34</v>
      </c>
      <c r="T16" s="137" t="s">
        <v>39</v>
      </c>
      <c r="U16" s="54" t="s">
        <v>32</v>
      </c>
      <c r="V16" s="137" t="s">
        <v>33</v>
      </c>
      <c r="W16" s="54" t="s">
        <v>36</v>
      </c>
      <c r="X16" s="141" t="s">
        <v>31</v>
      </c>
      <c r="Y16" s="54" t="s">
        <v>34</v>
      </c>
      <c r="Z16" s="54" t="s">
        <v>35</v>
      </c>
      <c r="AA16" s="54" t="s">
        <v>37</v>
      </c>
      <c r="AB16" s="137" t="s">
        <v>38</v>
      </c>
      <c r="AC16" s="3"/>
    </row>
    <row r="17" spans="1:29" x14ac:dyDescent="0.3">
      <c r="A17" s="55" t="s">
        <v>40</v>
      </c>
      <c r="B17" s="136" t="s">
        <v>41</v>
      </c>
      <c r="C17" s="136" t="s">
        <v>41</v>
      </c>
      <c r="D17" s="60" t="s">
        <v>41</v>
      </c>
      <c r="E17" s="60" t="s">
        <v>41</v>
      </c>
      <c r="F17" s="60" t="s">
        <v>41</v>
      </c>
      <c r="G17" s="60" t="s">
        <v>41</v>
      </c>
      <c r="H17" s="140" t="s">
        <v>41</v>
      </c>
      <c r="I17" s="136" t="s">
        <v>41</v>
      </c>
      <c r="J17" s="60" t="s">
        <v>41</v>
      </c>
      <c r="K17" s="136" t="s">
        <v>42</v>
      </c>
      <c r="L17" s="58" t="s">
        <v>42</v>
      </c>
      <c r="M17" s="58" t="s">
        <v>42</v>
      </c>
      <c r="N17" s="58" t="s">
        <v>42</v>
      </c>
      <c r="O17" s="136" t="s">
        <v>42</v>
      </c>
      <c r="P17" s="58" t="s">
        <v>42</v>
      </c>
      <c r="Q17" s="140" t="s">
        <v>42</v>
      </c>
      <c r="R17" s="136" t="s">
        <v>42</v>
      </c>
      <c r="S17" s="58" t="s">
        <v>42</v>
      </c>
      <c r="T17" s="136" t="s">
        <v>43</v>
      </c>
      <c r="U17" s="59" t="s">
        <v>43</v>
      </c>
      <c r="V17" s="136" t="s">
        <v>43</v>
      </c>
      <c r="W17" s="59" t="s">
        <v>43</v>
      </c>
      <c r="X17" s="140" t="s">
        <v>43</v>
      </c>
      <c r="Y17" s="59" t="s">
        <v>43</v>
      </c>
      <c r="Z17" s="59" t="s">
        <v>43</v>
      </c>
      <c r="AA17" s="59" t="s">
        <v>43</v>
      </c>
      <c r="AB17" s="136" t="s">
        <v>43</v>
      </c>
      <c r="AC17" s="3"/>
    </row>
    <row r="18" spans="1:29" ht="16.2" thickBot="1" x14ac:dyDescent="0.35">
      <c r="A18" s="57" t="s">
        <v>44</v>
      </c>
      <c r="B18" s="138">
        <v>201</v>
      </c>
      <c r="C18" s="138">
        <v>202</v>
      </c>
      <c r="D18" s="56">
        <v>203</v>
      </c>
      <c r="E18" s="56">
        <v>204</v>
      </c>
      <c r="F18" s="56">
        <v>205</v>
      </c>
      <c r="G18" s="56">
        <v>206</v>
      </c>
      <c r="H18" s="142">
        <v>207</v>
      </c>
      <c r="I18" s="138">
        <v>208</v>
      </c>
      <c r="J18" s="56">
        <v>209</v>
      </c>
      <c r="K18" s="138">
        <v>210</v>
      </c>
      <c r="L18" s="56">
        <v>211</v>
      </c>
      <c r="M18" s="56">
        <v>212</v>
      </c>
      <c r="N18" s="56">
        <v>213</v>
      </c>
      <c r="O18" s="138">
        <v>214</v>
      </c>
      <c r="P18" s="56">
        <v>215</v>
      </c>
      <c r="Q18" s="142">
        <v>216</v>
      </c>
      <c r="R18" s="138">
        <v>217</v>
      </c>
      <c r="S18" s="56">
        <v>218</v>
      </c>
      <c r="T18" s="138">
        <v>219</v>
      </c>
      <c r="U18" s="56">
        <v>220</v>
      </c>
      <c r="V18" s="138">
        <v>221</v>
      </c>
      <c r="W18" s="56">
        <v>222</v>
      </c>
      <c r="X18" s="142">
        <v>223</v>
      </c>
      <c r="Y18" s="56">
        <v>224</v>
      </c>
      <c r="Z18" s="56">
        <v>225</v>
      </c>
      <c r="AA18" s="56">
        <v>226</v>
      </c>
      <c r="AB18" s="138">
        <v>227</v>
      </c>
      <c r="AC18" s="55"/>
    </row>
    <row r="19" spans="1:29" ht="16.8" thickTop="1" thickBot="1" x14ac:dyDescent="0.35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1"/>
    </row>
    <row r="20" spans="1:29" ht="16.2" thickTop="1" x14ac:dyDescent="0.3">
      <c r="A20" s="61" t="s">
        <v>1</v>
      </c>
      <c r="B20" s="62" t="s">
        <v>19</v>
      </c>
      <c r="C20" s="62" t="s">
        <v>18</v>
      </c>
      <c r="D20" s="135" t="s">
        <v>17</v>
      </c>
      <c r="E20" s="62" t="s">
        <v>14</v>
      </c>
      <c r="F20" s="139" t="s">
        <v>16</v>
      </c>
      <c r="G20" s="62" t="s">
        <v>13</v>
      </c>
      <c r="H20" s="62" t="s">
        <v>11</v>
      </c>
      <c r="I20" s="135" t="s">
        <v>15</v>
      </c>
      <c r="J20" s="135" t="s">
        <v>12</v>
      </c>
      <c r="K20" s="62" t="s">
        <v>21</v>
      </c>
      <c r="L20" s="62" t="s">
        <v>26</v>
      </c>
      <c r="M20" s="135" t="s">
        <v>25</v>
      </c>
      <c r="N20" s="62" t="s">
        <v>20</v>
      </c>
      <c r="O20" s="139" t="s">
        <v>23</v>
      </c>
      <c r="P20" s="62" t="s">
        <v>24</v>
      </c>
      <c r="Q20" s="62" t="s">
        <v>22</v>
      </c>
      <c r="R20" s="135" t="s">
        <v>27</v>
      </c>
      <c r="S20" s="135" t="s">
        <v>28</v>
      </c>
      <c r="T20" s="62" t="s">
        <v>8</v>
      </c>
      <c r="U20" s="62" t="s">
        <v>3</v>
      </c>
      <c r="V20" s="135" t="s">
        <v>10</v>
      </c>
      <c r="W20" s="62" t="s">
        <v>7</v>
      </c>
      <c r="X20" s="139" t="s">
        <v>2</v>
      </c>
      <c r="Y20" s="62" t="s">
        <v>6</v>
      </c>
      <c r="Z20" s="62" t="s">
        <v>5</v>
      </c>
      <c r="AA20" s="135" t="s">
        <v>9</v>
      </c>
      <c r="AB20" s="135" t="s">
        <v>4</v>
      </c>
      <c r="AC20" s="55"/>
    </row>
    <row r="21" spans="1:29" x14ac:dyDescent="0.3">
      <c r="A21" s="55" t="s">
        <v>29</v>
      </c>
      <c r="B21" s="53">
        <v>1</v>
      </c>
      <c r="C21" s="53">
        <v>2</v>
      </c>
      <c r="D21" s="136">
        <v>3</v>
      </c>
      <c r="E21" s="53">
        <v>4</v>
      </c>
      <c r="F21" s="140">
        <v>5</v>
      </c>
      <c r="G21" s="53">
        <v>6</v>
      </c>
      <c r="H21" s="53">
        <v>7</v>
      </c>
      <c r="I21" s="136">
        <v>8</v>
      </c>
      <c r="J21" s="136">
        <v>9</v>
      </c>
      <c r="K21" s="53">
        <v>1</v>
      </c>
      <c r="L21" s="53">
        <v>2</v>
      </c>
      <c r="M21" s="136">
        <v>3</v>
      </c>
      <c r="N21" s="53">
        <v>4</v>
      </c>
      <c r="O21" s="140">
        <v>5</v>
      </c>
      <c r="P21" s="53">
        <v>6</v>
      </c>
      <c r="Q21" s="53">
        <v>7</v>
      </c>
      <c r="R21" s="136">
        <v>8</v>
      </c>
      <c r="S21" s="136">
        <v>9</v>
      </c>
      <c r="T21" s="53">
        <v>1</v>
      </c>
      <c r="U21" s="53">
        <v>2</v>
      </c>
      <c r="V21" s="136">
        <v>3</v>
      </c>
      <c r="W21" s="53">
        <v>4</v>
      </c>
      <c r="X21" s="140">
        <v>5</v>
      </c>
      <c r="Y21" s="53">
        <v>6</v>
      </c>
      <c r="Z21" s="53">
        <v>7</v>
      </c>
      <c r="AA21" s="136">
        <v>8</v>
      </c>
      <c r="AB21" s="136">
        <v>9</v>
      </c>
      <c r="AC21" s="3"/>
    </row>
    <row r="22" spans="1:29" ht="34.5" customHeight="1" x14ac:dyDescent="0.3">
      <c r="A22" s="55" t="s">
        <v>30</v>
      </c>
      <c r="B22" s="54" t="s">
        <v>37</v>
      </c>
      <c r="C22" s="54" t="s">
        <v>32</v>
      </c>
      <c r="D22" s="137" t="s">
        <v>39</v>
      </c>
      <c r="E22" s="54" t="s">
        <v>36</v>
      </c>
      <c r="F22" s="141" t="s">
        <v>31</v>
      </c>
      <c r="G22" s="54" t="s">
        <v>35</v>
      </c>
      <c r="H22" s="54" t="s">
        <v>34</v>
      </c>
      <c r="I22" s="137" t="s">
        <v>38</v>
      </c>
      <c r="J22" s="137" t="s">
        <v>33</v>
      </c>
      <c r="K22" s="54" t="s">
        <v>37</v>
      </c>
      <c r="L22" s="54" t="s">
        <v>32</v>
      </c>
      <c r="M22" s="137" t="s">
        <v>39</v>
      </c>
      <c r="N22" s="54" t="s">
        <v>36</v>
      </c>
      <c r="O22" s="141" t="s">
        <v>31</v>
      </c>
      <c r="P22" s="54" t="s">
        <v>35</v>
      </c>
      <c r="Q22" s="54" t="s">
        <v>34</v>
      </c>
      <c r="R22" s="137" t="s">
        <v>38</v>
      </c>
      <c r="S22" s="137" t="s">
        <v>33</v>
      </c>
      <c r="T22" s="54" t="s">
        <v>37</v>
      </c>
      <c r="U22" s="54" t="s">
        <v>32</v>
      </c>
      <c r="V22" s="137" t="s">
        <v>39</v>
      </c>
      <c r="W22" s="54" t="s">
        <v>36</v>
      </c>
      <c r="X22" s="141" t="s">
        <v>31</v>
      </c>
      <c r="Y22" s="54" t="s">
        <v>35</v>
      </c>
      <c r="Z22" s="54" t="s">
        <v>34</v>
      </c>
      <c r="AA22" s="137" t="s">
        <v>38</v>
      </c>
      <c r="AB22" s="137" t="s">
        <v>33</v>
      </c>
      <c r="AC22" s="3"/>
    </row>
    <row r="23" spans="1:29" x14ac:dyDescent="0.3">
      <c r="A23" s="55" t="s">
        <v>40</v>
      </c>
      <c r="B23" s="58" t="s">
        <v>42</v>
      </c>
      <c r="C23" s="58" t="s">
        <v>42</v>
      </c>
      <c r="D23" s="136" t="s">
        <v>42</v>
      </c>
      <c r="E23" s="58" t="s">
        <v>42</v>
      </c>
      <c r="F23" s="140" t="s">
        <v>42</v>
      </c>
      <c r="G23" s="58" t="s">
        <v>42</v>
      </c>
      <c r="H23" s="58" t="s">
        <v>42</v>
      </c>
      <c r="I23" s="136" t="s">
        <v>42</v>
      </c>
      <c r="J23" s="136" t="s">
        <v>42</v>
      </c>
      <c r="K23" s="59" t="s">
        <v>43</v>
      </c>
      <c r="L23" s="59" t="s">
        <v>43</v>
      </c>
      <c r="M23" s="136" t="s">
        <v>43</v>
      </c>
      <c r="N23" s="59" t="s">
        <v>43</v>
      </c>
      <c r="O23" s="140" t="s">
        <v>43</v>
      </c>
      <c r="P23" s="59" t="s">
        <v>43</v>
      </c>
      <c r="Q23" s="59" t="s">
        <v>43</v>
      </c>
      <c r="R23" s="136" t="s">
        <v>43</v>
      </c>
      <c r="S23" s="136" t="s">
        <v>43</v>
      </c>
      <c r="T23" s="60" t="s">
        <v>41</v>
      </c>
      <c r="U23" s="60" t="s">
        <v>41</v>
      </c>
      <c r="V23" s="136" t="s">
        <v>41</v>
      </c>
      <c r="W23" s="60" t="s">
        <v>41</v>
      </c>
      <c r="X23" s="140" t="s">
        <v>41</v>
      </c>
      <c r="Y23" s="60" t="s">
        <v>41</v>
      </c>
      <c r="Z23" s="60" t="s">
        <v>41</v>
      </c>
      <c r="AA23" s="136" t="s">
        <v>41</v>
      </c>
      <c r="AB23" s="136" t="s">
        <v>41</v>
      </c>
      <c r="AC23" s="3"/>
    </row>
    <row r="24" spans="1:29" ht="16.2" thickBot="1" x14ac:dyDescent="0.35">
      <c r="A24" s="57" t="s">
        <v>44</v>
      </c>
      <c r="B24" s="56">
        <v>101</v>
      </c>
      <c r="C24" s="56">
        <v>102</v>
      </c>
      <c r="D24" s="138">
        <v>103</v>
      </c>
      <c r="E24" s="56">
        <v>104</v>
      </c>
      <c r="F24" s="142">
        <v>105</v>
      </c>
      <c r="G24" s="56">
        <v>106</v>
      </c>
      <c r="H24" s="56">
        <v>107</v>
      </c>
      <c r="I24" s="138">
        <v>108</v>
      </c>
      <c r="J24" s="138">
        <v>109</v>
      </c>
      <c r="K24" s="56">
        <v>110</v>
      </c>
      <c r="L24" s="56">
        <v>111</v>
      </c>
      <c r="M24" s="138">
        <v>112</v>
      </c>
      <c r="N24" s="56">
        <v>113</v>
      </c>
      <c r="O24" s="142">
        <v>114</v>
      </c>
      <c r="P24" s="56">
        <v>115</v>
      </c>
      <c r="Q24" s="56">
        <v>116</v>
      </c>
      <c r="R24" s="138">
        <v>117</v>
      </c>
      <c r="S24" s="138">
        <v>118</v>
      </c>
      <c r="T24" s="56">
        <v>119</v>
      </c>
      <c r="U24" s="56">
        <v>120</v>
      </c>
      <c r="V24" s="138">
        <v>121</v>
      </c>
      <c r="W24" s="56">
        <v>122</v>
      </c>
      <c r="X24" s="142">
        <v>123</v>
      </c>
      <c r="Y24" s="56">
        <v>124</v>
      </c>
      <c r="Z24" s="56">
        <v>125</v>
      </c>
      <c r="AA24" s="138">
        <v>126</v>
      </c>
      <c r="AB24" s="138">
        <v>127</v>
      </c>
      <c r="AC24" s="55"/>
    </row>
    <row r="25" spans="1:29" ht="16.2" thickTop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</sheetData>
  <phoneticPr fontId="22" alignment="center"/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CE11-EB88-4F73-AE55-561F780EA8F3}">
  <dimension ref="A2:G12"/>
  <sheetViews>
    <sheetView workbookViewId="0">
      <selection activeCell="G20" sqref="G20"/>
    </sheetView>
  </sheetViews>
  <sheetFormatPr defaultRowHeight="15.6" x14ac:dyDescent="0.3"/>
  <cols>
    <col min="1" max="1" width="25.09765625" bestFit="1" customWidth="1"/>
    <col min="2" max="2" width="11.09765625" customWidth="1"/>
    <col min="3" max="3" width="15.19921875" customWidth="1"/>
    <col min="4" max="4" width="15.3984375" customWidth="1"/>
    <col min="5" max="5" width="11.69921875" customWidth="1"/>
    <col min="6" max="6" width="13.09765625" customWidth="1"/>
    <col min="7" max="7" width="44.5" bestFit="1" customWidth="1"/>
    <col min="8" max="9" width="2" bestFit="1" customWidth="1"/>
    <col min="10" max="10" width="10.69921875" bestFit="1" customWidth="1"/>
  </cols>
  <sheetData>
    <row r="2" spans="1:7" x14ac:dyDescent="0.3">
      <c r="A2" s="160" t="s">
        <v>67</v>
      </c>
      <c r="B2" t="s">
        <v>273</v>
      </c>
      <c r="C2" t="s">
        <v>274</v>
      </c>
      <c r="D2" t="s">
        <v>275</v>
      </c>
      <c r="E2" t="s">
        <v>276</v>
      </c>
      <c r="F2" t="s">
        <v>270</v>
      </c>
      <c r="G2" t="s">
        <v>277</v>
      </c>
    </row>
    <row r="3" spans="1:7" x14ac:dyDescent="0.3">
      <c r="A3" t="s">
        <v>31</v>
      </c>
      <c r="B3" s="20">
        <v>96.145833333333329</v>
      </c>
      <c r="C3" s="20">
        <v>15.833333333333334</v>
      </c>
      <c r="D3" s="20">
        <v>12.722222222222223</v>
      </c>
      <c r="E3" s="20">
        <v>4.2037484499918207</v>
      </c>
      <c r="F3">
        <v>195.50723968084932</v>
      </c>
      <c r="G3">
        <v>49.510423892100192</v>
      </c>
    </row>
    <row r="4" spans="1:7" x14ac:dyDescent="0.3">
      <c r="A4" t="s">
        <v>35</v>
      </c>
      <c r="B4" s="20">
        <v>88.354166666666671</v>
      </c>
      <c r="C4" s="20">
        <v>4.7222222222222223</v>
      </c>
      <c r="D4" s="20">
        <v>6.4444444444444455</v>
      </c>
      <c r="E4" s="20">
        <v>3.4437431255745157</v>
      </c>
      <c r="F4">
        <v>191.35043681455338</v>
      </c>
      <c r="G4">
        <v>51.936883429672456</v>
      </c>
    </row>
    <row r="5" spans="1:7" x14ac:dyDescent="0.3">
      <c r="A5" t="s">
        <v>32</v>
      </c>
      <c r="B5" s="20">
        <v>98.25</v>
      </c>
      <c r="C5" s="20">
        <v>19.722222222222221</v>
      </c>
      <c r="D5" s="20">
        <v>14.444444444444445</v>
      </c>
      <c r="E5" s="20">
        <v>3.8907504203769556</v>
      </c>
      <c r="F5">
        <v>193.9756147475733</v>
      </c>
      <c r="G5" t="e">
        <v>#DIV/0!</v>
      </c>
    </row>
    <row r="6" spans="1:7" x14ac:dyDescent="0.3">
      <c r="A6" t="s">
        <v>38</v>
      </c>
      <c r="B6" s="20">
        <v>96.6875</v>
      </c>
      <c r="C6" s="20">
        <v>18.472222222222225</v>
      </c>
      <c r="D6" s="20">
        <v>16.5</v>
      </c>
      <c r="E6" s="20">
        <v>3.8536486943760333</v>
      </c>
      <c r="F6">
        <v>195.32824669824439</v>
      </c>
      <c r="G6">
        <v>50.589614643545275</v>
      </c>
    </row>
    <row r="7" spans="1:7" x14ac:dyDescent="0.3">
      <c r="A7" t="s">
        <v>34</v>
      </c>
      <c r="B7" s="20">
        <v>91.729166666666671</v>
      </c>
      <c r="C7" s="20">
        <v>10</v>
      </c>
      <c r="D7" s="20">
        <v>16.944444444444443</v>
      </c>
      <c r="E7" s="20">
        <v>3.3616476235223911</v>
      </c>
      <c r="F7">
        <v>199.32603215531191</v>
      </c>
      <c r="G7" t="e">
        <v>#DIV/0!</v>
      </c>
    </row>
    <row r="8" spans="1:7" x14ac:dyDescent="0.3">
      <c r="A8" t="s">
        <v>39</v>
      </c>
      <c r="B8" s="20">
        <v>98.5625</v>
      </c>
      <c r="C8" s="20">
        <v>12.083333333333336</v>
      </c>
      <c r="D8" s="20">
        <v>16.777777777777782</v>
      </c>
      <c r="E8" s="20">
        <v>3.0945930402180859</v>
      </c>
      <c r="F8">
        <v>192.38877866393841</v>
      </c>
      <c r="G8">
        <v>50.624898843930644</v>
      </c>
    </row>
    <row r="9" spans="1:7" x14ac:dyDescent="0.3">
      <c r="A9" t="s">
        <v>33</v>
      </c>
      <c r="B9" s="20">
        <v>93.333333333333329</v>
      </c>
      <c r="C9" s="20">
        <v>6.9444444444444455</v>
      </c>
      <c r="D9" s="20">
        <v>13.611111111111112</v>
      </c>
      <c r="E9" s="20">
        <v>3.8829607412507223</v>
      </c>
      <c r="F9">
        <v>194.35588721522456</v>
      </c>
      <c r="G9">
        <v>49.829609826589596</v>
      </c>
    </row>
    <row r="10" spans="1:7" x14ac:dyDescent="0.3">
      <c r="A10" t="s">
        <v>36</v>
      </c>
      <c r="B10" s="20">
        <v>93.25</v>
      </c>
      <c r="C10" s="20">
        <v>6.9444444444444438</v>
      </c>
      <c r="D10" s="20">
        <v>13.833333333333334</v>
      </c>
      <c r="E10" s="20">
        <v>3.7743525879266961</v>
      </c>
      <c r="F10">
        <v>190.12019414114442</v>
      </c>
      <c r="G10">
        <v>52.462027938342963</v>
      </c>
    </row>
    <row r="11" spans="1:7" x14ac:dyDescent="0.3">
      <c r="A11" t="s">
        <v>37</v>
      </c>
      <c r="B11" s="20">
        <v>99.0625</v>
      </c>
      <c r="C11" s="20">
        <v>15.972222222222223</v>
      </c>
      <c r="D11" s="20">
        <v>8.5555555555555554</v>
      </c>
      <c r="E11" s="20">
        <v>2.5822705969076485</v>
      </c>
      <c r="F11">
        <v>198.21953382949258</v>
      </c>
      <c r="G11">
        <v>53.551040462427743</v>
      </c>
    </row>
    <row r="12" spans="1:7" x14ac:dyDescent="0.3">
      <c r="A12" t="s">
        <v>272</v>
      </c>
      <c r="B12" s="20">
        <v>95.041666666666671</v>
      </c>
      <c r="C12" s="20">
        <v>12.299382716049378</v>
      </c>
      <c r="D12" s="20">
        <v>13.314814814814815</v>
      </c>
      <c r="E12" s="20">
        <v>3.5653016977938754</v>
      </c>
      <c r="F12">
        <v>194.49233111685024</v>
      </c>
      <c r="G12" t="e">
        <v>#DIV/0!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9E032-9B6E-418D-BE17-7874347B3A74}">
  <dimension ref="B2:AB112"/>
  <sheetViews>
    <sheetView topLeftCell="C99" workbookViewId="0">
      <pane xSplit="2" topLeftCell="E1" activePane="topRight" state="frozen"/>
      <selection activeCell="BA112" sqref="BA112"/>
      <selection pane="topRight" activeCell="O5" sqref="O5:O112"/>
    </sheetView>
  </sheetViews>
  <sheetFormatPr defaultColWidth="11" defaultRowHeight="15.6" x14ac:dyDescent="0.3"/>
  <cols>
    <col min="2" max="2" width="8.5" customWidth="1"/>
    <col min="3" max="3" width="12.5" hidden="1" customWidth="1"/>
    <col min="4" max="4" width="9.19921875" customWidth="1"/>
    <col min="5" max="5" width="7.69921875" customWidth="1"/>
    <col min="6" max="6" width="7.5" customWidth="1"/>
    <col min="7" max="7" width="13.69921875" customWidth="1"/>
    <col min="9" max="9" width="26.3984375" customWidth="1"/>
    <col min="17" max="17" width="14.19921875" bestFit="1" customWidth="1"/>
    <col min="18" max="18" width="13.19921875" bestFit="1" customWidth="1"/>
  </cols>
  <sheetData>
    <row r="2" spans="2:28" x14ac:dyDescent="0.3">
      <c r="H2" t="s">
        <v>46</v>
      </c>
      <c r="I2" t="s">
        <v>47</v>
      </c>
    </row>
    <row r="3" spans="2:28" ht="30" customHeight="1" x14ac:dyDescent="0.3">
      <c r="D3" s="11"/>
    </row>
    <row r="4" spans="2:28" ht="31.2" x14ac:dyDescent="0.3">
      <c r="B4" s="9" t="s">
        <v>62</v>
      </c>
      <c r="C4" s="9" t="s">
        <v>63</v>
      </c>
      <c r="D4" s="15" t="s">
        <v>64</v>
      </c>
      <c r="E4" s="16" t="s">
        <v>65</v>
      </c>
      <c r="F4" s="16" t="s">
        <v>1</v>
      </c>
      <c r="G4" s="16" t="s">
        <v>40</v>
      </c>
      <c r="H4" s="16" t="s">
        <v>66</v>
      </c>
      <c r="I4" s="12" t="s">
        <v>67</v>
      </c>
      <c r="J4" t="s">
        <v>278</v>
      </c>
      <c r="K4" t="s">
        <v>279</v>
      </c>
      <c r="L4" t="s">
        <v>280</v>
      </c>
      <c r="M4" t="s">
        <v>281</v>
      </c>
      <c r="N4" t="s">
        <v>282</v>
      </c>
      <c r="O4" t="s">
        <v>283</v>
      </c>
      <c r="P4" t="s">
        <v>284</v>
      </c>
      <c r="Q4" t="s">
        <v>285</v>
      </c>
      <c r="R4" t="s">
        <v>286</v>
      </c>
      <c r="S4" t="s">
        <v>287</v>
      </c>
      <c r="T4" t="s">
        <v>288</v>
      </c>
      <c r="U4" t="s">
        <v>289</v>
      </c>
      <c r="V4" t="s">
        <v>290</v>
      </c>
    </row>
    <row r="5" spans="2:28" x14ac:dyDescent="0.3">
      <c r="B5" s="63">
        <v>2024</v>
      </c>
      <c r="C5" t="s">
        <v>105</v>
      </c>
      <c r="D5">
        <v>101</v>
      </c>
      <c r="E5">
        <v>1</v>
      </c>
      <c r="F5">
        <v>1</v>
      </c>
      <c r="G5" t="s">
        <v>42</v>
      </c>
      <c r="H5">
        <v>1</v>
      </c>
      <c r="I5" t="s">
        <v>37</v>
      </c>
      <c r="J5" t="s">
        <v>291</v>
      </c>
      <c r="K5">
        <v>1</v>
      </c>
      <c r="L5">
        <v>1</v>
      </c>
      <c r="M5">
        <v>8.65</v>
      </c>
      <c r="N5">
        <v>13.9</v>
      </c>
      <c r="O5">
        <v>68.400000000000006</v>
      </c>
      <c r="P5" t="s">
        <v>292</v>
      </c>
      <c r="Q5" s="148">
        <v>45525</v>
      </c>
      <c r="R5" s="148">
        <v>0.5323190162037037</v>
      </c>
      <c r="S5">
        <v>8</v>
      </c>
      <c r="T5" t="s">
        <v>293</v>
      </c>
      <c r="U5">
        <v>0</v>
      </c>
      <c r="V5">
        <v>0</v>
      </c>
      <c r="Z5" s="150"/>
      <c r="AA5" s="151"/>
      <c r="AB5" s="152"/>
    </row>
    <row r="6" spans="2:28" x14ac:dyDescent="0.3">
      <c r="B6" s="63">
        <v>2024</v>
      </c>
      <c r="C6" t="s">
        <v>105</v>
      </c>
      <c r="D6">
        <v>102</v>
      </c>
      <c r="E6">
        <v>1</v>
      </c>
      <c r="F6">
        <v>2</v>
      </c>
      <c r="G6" t="s">
        <v>42</v>
      </c>
      <c r="H6">
        <v>2</v>
      </c>
      <c r="I6" t="s">
        <v>32</v>
      </c>
      <c r="J6" t="s">
        <v>291</v>
      </c>
      <c r="K6">
        <v>1</v>
      </c>
      <c r="L6">
        <v>2</v>
      </c>
      <c r="M6">
        <v>8.7799999999999994</v>
      </c>
      <c r="N6">
        <v>7.2</v>
      </c>
      <c r="O6">
        <v>35.200000000000003</v>
      </c>
      <c r="P6" t="s">
        <v>292</v>
      </c>
      <c r="Q6" s="148">
        <v>45525</v>
      </c>
      <c r="R6" s="148">
        <v>0.5332764699074074</v>
      </c>
      <c r="S6">
        <v>9</v>
      </c>
      <c r="T6" t="s">
        <v>293</v>
      </c>
      <c r="U6">
        <v>0</v>
      </c>
      <c r="V6">
        <v>0</v>
      </c>
      <c r="Z6" s="153"/>
      <c r="AA6" s="154"/>
      <c r="AB6" s="155"/>
    </row>
    <row r="7" spans="2:28" x14ac:dyDescent="0.3">
      <c r="B7" s="63">
        <v>2024</v>
      </c>
      <c r="C7" t="s">
        <v>105</v>
      </c>
      <c r="D7">
        <v>103</v>
      </c>
      <c r="E7">
        <v>1</v>
      </c>
      <c r="F7">
        <v>3</v>
      </c>
      <c r="G7" t="s">
        <v>42</v>
      </c>
      <c r="H7">
        <v>3</v>
      </c>
      <c r="I7" t="s">
        <v>39</v>
      </c>
      <c r="J7" t="s">
        <v>291</v>
      </c>
      <c r="K7">
        <v>1</v>
      </c>
      <c r="L7">
        <v>3</v>
      </c>
      <c r="M7">
        <v>9.01</v>
      </c>
      <c r="N7">
        <v>7.5</v>
      </c>
      <c r="O7">
        <v>39.9</v>
      </c>
      <c r="P7" t="s">
        <v>292</v>
      </c>
      <c r="Q7" s="148">
        <v>45525</v>
      </c>
      <c r="R7" s="148">
        <v>0.5370562152777778</v>
      </c>
      <c r="S7">
        <v>16</v>
      </c>
      <c r="T7" t="s">
        <v>293</v>
      </c>
      <c r="U7">
        <v>0</v>
      </c>
      <c r="V7">
        <v>0</v>
      </c>
      <c r="Z7" s="153"/>
      <c r="AA7" s="154"/>
      <c r="AB7" s="155"/>
    </row>
    <row r="8" spans="2:28" x14ac:dyDescent="0.3">
      <c r="B8" s="63">
        <v>2024</v>
      </c>
      <c r="C8" t="s">
        <v>105</v>
      </c>
      <c r="D8">
        <v>104</v>
      </c>
      <c r="E8">
        <v>1</v>
      </c>
      <c r="F8">
        <v>4</v>
      </c>
      <c r="G8" t="s">
        <v>42</v>
      </c>
      <c r="H8">
        <v>4</v>
      </c>
      <c r="I8" t="s">
        <v>36</v>
      </c>
      <c r="J8" t="s">
        <v>291</v>
      </c>
      <c r="K8">
        <v>1</v>
      </c>
      <c r="L8">
        <v>4</v>
      </c>
      <c r="M8">
        <v>8.77</v>
      </c>
      <c r="N8">
        <v>8.4</v>
      </c>
      <c r="O8">
        <v>34.6</v>
      </c>
      <c r="P8" t="s">
        <v>292</v>
      </c>
      <c r="Q8" s="148">
        <v>45525</v>
      </c>
      <c r="R8" s="148">
        <v>0.53791982638888891</v>
      </c>
      <c r="S8">
        <v>17</v>
      </c>
      <c r="T8" t="s">
        <v>293</v>
      </c>
      <c r="U8">
        <v>0</v>
      </c>
      <c r="V8">
        <v>0</v>
      </c>
      <c r="Z8" s="153"/>
      <c r="AA8" s="154"/>
      <c r="AB8" s="155"/>
    </row>
    <row r="9" spans="2:28" x14ac:dyDescent="0.3">
      <c r="B9" s="63">
        <v>2024</v>
      </c>
      <c r="C9" t="s">
        <v>105</v>
      </c>
      <c r="D9">
        <v>105</v>
      </c>
      <c r="E9">
        <v>1</v>
      </c>
      <c r="F9">
        <v>5</v>
      </c>
      <c r="G9" t="s">
        <v>42</v>
      </c>
      <c r="H9">
        <v>5</v>
      </c>
      <c r="I9" t="s">
        <v>31</v>
      </c>
      <c r="J9" t="s">
        <v>291</v>
      </c>
      <c r="K9">
        <v>1</v>
      </c>
      <c r="L9">
        <v>5</v>
      </c>
      <c r="M9">
        <v>8.7100000000000009</v>
      </c>
      <c r="N9">
        <v>7.3</v>
      </c>
      <c r="O9">
        <v>41.3</v>
      </c>
      <c r="P9" t="s">
        <v>292</v>
      </c>
      <c r="Q9" s="148">
        <v>45525</v>
      </c>
      <c r="R9" s="148">
        <v>0.54180567129629631</v>
      </c>
      <c r="S9">
        <v>24</v>
      </c>
      <c r="T9" t="s">
        <v>293</v>
      </c>
      <c r="U9">
        <v>0</v>
      </c>
      <c r="V9">
        <v>0</v>
      </c>
      <c r="Z9" s="153"/>
      <c r="AA9" s="154"/>
      <c r="AB9" s="155"/>
    </row>
    <row r="10" spans="2:28" x14ac:dyDescent="0.3">
      <c r="B10" s="63">
        <v>2024</v>
      </c>
      <c r="C10" t="s">
        <v>105</v>
      </c>
      <c r="D10">
        <v>106</v>
      </c>
      <c r="E10">
        <v>1</v>
      </c>
      <c r="F10">
        <v>6</v>
      </c>
      <c r="G10" t="s">
        <v>42</v>
      </c>
      <c r="H10">
        <v>6</v>
      </c>
      <c r="I10" t="s">
        <v>35</v>
      </c>
      <c r="J10" t="s">
        <v>291</v>
      </c>
      <c r="K10">
        <v>1</v>
      </c>
      <c r="L10">
        <v>6</v>
      </c>
      <c r="M10">
        <v>16.739999999999998</v>
      </c>
      <c r="N10">
        <v>16.399999999999999</v>
      </c>
      <c r="O10">
        <v>66.099999999999994</v>
      </c>
      <c r="P10" t="s">
        <v>292</v>
      </c>
      <c r="Q10" s="148">
        <v>45525</v>
      </c>
      <c r="R10" s="148">
        <v>0.54282060185185188</v>
      </c>
      <c r="S10">
        <v>25</v>
      </c>
      <c r="T10" t="s">
        <v>293</v>
      </c>
      <c r="U10">
        <v>0</v>
      </c>
      <c r="V10">
        <v>0</v>
      </c>
      <c r="Z10" s="153"/>
      <c r="AA10" s="154"/>
      <c r="AB10" s="155"/>
    </row>
    <row r="11" spans="2:28" x14ac:dyDescent="0.3">
      <c r="B11" s="63">
        <v>2024</v>
      </c>
      <c r="C11" t="s">
        <v>105</v>
      </c>
      <c r="D11">
        <v>107</v>
      </c>
      <c r="E11">
        <v>1</v>
      </c>
      <c r="F11">
        <v>7</v>
      </c>
      <c r="G11" t="s">
        <v>42</v>
      </c>
      <c r="H11">
        <v>7</v>
      </c>
      <c r="I11" t="s">
        <v>34</v>
      </c>
      <c r="J11" t="s">
        <v>291</v>
      </c>
      <c r="K11">
        <v>1</v>
      </c>
      <c r="L11">
        <v>7</v>
      </c>
      <c r="M11">
        <v>9.41</v>
      </c>
      <c r="N11">
        <v>12.6</v>
      </c>
      <c r="O11">
        <v>47.6</v>
      </c>
      <c r="P11" t="s">
        <v>292</v>
      </c>
      <c r="Q11" s="148">
        <v>45525</v>
      </c>
      <c r="R11" s="148">
        <v>0.54802280092592592</v>
      </c>
      <c r="S11">
        <v>32</v>
      </c>
      <c r="T11" t="s">
        <v>293</v>
      </c>
      <c r="U11">
        <v>0</v>
      </c>
      <c r="V11">
        <v>0</v>
      </c>
      <c r="Z11" s="153"/>
      <c r="AA11" s="154"/>
      <c r="AB11" s="155"/>
    </row>
    <row r="12" spans="2:28" x14ac:dyDescent="0.3">
      <c r="B12" s="63">
        <v>2024</v>
      </c>
      <c r="C12" t="s">
        <v>105</v>
      </c>
      <c r="D12">
        <v>108</v>
      </c>
      <c r="E12">
        <v>1</v>
      </c>
      <c r="F12">
        <v>8</v>
      </c>
      <c r="G12" t="s">
        <v>42</v>
      </c>
      <c r="H12">
        <v>8</v>
      </c>
      <c r="I12" t="s">
        <v>38</v>
      </c>
      <c r="J12" t="s">
        <v>291</v>
      </c>
      <c r="K12">
        <v>1</v>
      </c>
      <c r="L12">
        <v>8</v>
      </c>
      <c r="M12">
        <v>8.9600000000000009</v>
      </c>
      <c r="N12">
        <v>8.3000000000000007</v>
      </c>
      <c r="O12">
        <v>40.1</v>
      </c>
      <c r="P12" t="s">
        <v>292</v>
      </c>
      <c r="Q12" s="148">
        <v>45525</v>
      </c>
      <c r="R12" s="148">
        <v>0.54885524305555555</v>
      </c>
      <c r="S12">
        <v>33</v>
      </c>
      <c r="T12" t="s">
        <v>293</v>
      </c>
      <c r="U12">
        <v>0</v>
      </c>
      <c r="V12">
        <v>0</v>
      </c>
      <c r="Z12" s="153"/>
      <c r="AA12" s="154"/>
      <c r="AB12" s="155"/>
    </row>
    <row r="13" spans="2:28" x14ac:dyDescent="0.3">
      <c r="B13" s="63">
        <v>2024</v>
      </c>
      <c r="C13" t="s">
        <v>105</v>
      </c>
      <c r="D13">
        <v>109</v>
      </c>
      <c r="E13">
        <v>1</v>
      </c>
      <c r="F13">
        <v>9</v>
      </c>
      <c r="G13" t="s">
        <v>42</v>
      </c>
      <c r="H13">
        <v>9</v>
      </c>
      <c r="I13" t="s">
        <v>33</v>
      </c>
      <c r="J13" t="s">
        <v>291</v>
      </c>
      <c r="K13">
        <v>1</v>
      </c>
      <c r="L13">
        <v>9</v>
      </c>
      <c r="M13">
        <v>9.4</v>
      </c>
      <c r="N13">
        <v>19.2</v>
      </c>
      <c r="O13">
        <v>62.7</v>
      </c>
      <c r="P13" t="s">
        <v>292</v>
      </c>
      <c r="Q13" s="148">
        <v>45525</v>
      </c>
      <c r="R13" s="148">
        <v>0.55248603009259256</v>
      </c>
      <c r="S13">
        <v>40</v>
      </c>
      <c r="T13" t="s">
        <v>293</v>
      </c>
      <c r="U13">
        <v>0</v>
      </c>
      <c r="V13">
        <v>0</v>
      </c>
      <c r="Z13" s="153"/>
      <c r="AA13" s="154"/>
      <c r="AB13" s="155"/>
    </row>
    <row r="14" spans="2:28" x14ac:dyDescent="0.3">
      <c r="B14" s="63">
        <v>2024</v>
      </c>
      <c r="C14" t="s">
        <v>105</v>
      </c>
      <c r="D14">
        <v>110</v>
      </c>
      <c r="E14">
        <v>1</v>
      </c>
      <c r="F14">
        <v>10</v>
      </c>
      <c r="G14" t="s">
        <v>106</v>
      </c>
      <c r="H14">
        <v>1</v>
      </c>
      <c r="I14" t="s">
        <v>37</v>
      </c>
      <c r="J14" t="s">
        <v>291</v>
      </c>
      <c r="K14">
        <v>1</v>
      </c>
      <c r="L14">
        <v>10</v>
      </c>
      <c r="M14">
        <v>8.77</v>
      </c>
      <c r="N14">
        <v>7.9</v>
      </c>
      <c r="O14">
        <v>35.5</v>
      </c>
      <c r="P14" t="s">
        <v>292</v>
      </c>
      <c r="Q14" s="148">
        <v>45525</v>
      </c>
      <c r="R14" s="148">
        <v>0.55331917824074073</v>
      </c>
      <c r="S14">
        <v>41</v>
      </c>
      <c r="T14" t="s">
        <v>293</v>
      </c>
      <c r="U14">
        <v>0</v>
      </c>
      <c r="V14">
        <v>0</v>
      </c>
      <c r="Z14" s="153"/>
      <c r="AA14" s="154"/>
      <c r="AB14" s="155"/>
    </row>
    <row r="15" spans="2:28" x14ac:dyDescent="0.3">
      <c r="B15" s="63">
        <v>2024</v>
      </c>
      <c r="C15" t="s">
        <v>105</v>
      </c>
      <c r="D15">
        <v>111</v>
      </c>
      <c r="E15">
        <v>1</v>
      </c>
      <c r="F15">
        <v>11</v>
      </c>
      <c r="G15" t="s">
        <v>106</v>
      </c>
      <c r="H15">
        <v>2</v>
      </c>
      <c r="I15" t="s">
        <v>32</v>
      </c>
      <c r="J15" t="s">
        <v>291</v>
      </c>
      <c r="K15">
        <v>1</v>
      </c>
      <c r="L15">
        <v>11</v>
      </c>
      <c r="M15">
        <v>8.5</v>
      </c>
      <c r="N15">
        <v>12.5</v>
      </c>
      <c r="O15">
        <v>64.8</v>
      </c>
      <c r="P15" t="s">
        <v>292</v>
      </c>
      <c r="Q15" s="148">
        <v>45525</v>
      </c>
      <c r="R15" s="148">
        <v>0.55721450231481484</v>
      </c>
      <c r="S15">
        <v>48</v>
      </c>
      <c r="T15" t="s">
        <v>293</v>
      </c>
      <c r="U15">
        <v>0</v>
      </c>
      <c r="V15">
        <v>0</v>
      </c>
      <c r="Z15" s="153"/>
      <c r="AA15" s="154"/>
      <c r="AB15" s="155"/>
    </row>
    <row r="16" spans="2:28" x14ac:dyDescent="0.3">
      <c r="B16" s="63">
        <v>2024</v>
      </c>
      <c r="C16" t="s">
        <v>105</v>
      </c>
      <c r="D16">
        <v>112</v>
      </c>
      <c r="E16">
        <v>1</v>
      </c>
      <c r="F16">
        <v>12</v>
      </c>
      <c r="G16" t="s">
        <v>106</v>
      </c>
      <c r="H16">
        <v>3</v>
      </c>
      <c r="I16" t="s">
        <v>39</v>
      </c>
      <c r="J16" t="s">
        <v>291</v>
      </c>
      <c r="K16">
        <v>1</v>
      </c>
      <c r="L16">
        <v>12</v>
      </c>
      <c r="M16">
        <v>8.81</v>
      </c>
      <c r="N16">
        <v>8.1</v>
      </c>
      <c r="O16">
        <v>35.6</v>
      </c>
      <c r="P16" t="s">
        <v>292</v>
      </c>
      <c r="Q16" s="148">
        <v>45525</v>
      </c>
      <c r="R16" s="148">
        <v>0.55813452546296294</v>
      </c>
      <c r="S16">
        <v>49</v>
      </c>
      <c r="T16" t="s">
        <v>293</v>
      </c>
      <c r="U16">
        <v>0</v>
      </c>
      <c r="V16">
        <v>0</v>
      </c>
      <c r="Z16" s="153"/>
      <c r="AA16" s="154"/>
      <c r="AB16" s="155"/>
    </row>
    <row r="17" spans="2:28" x14ac:dyDescent="0.3">
      <c r="B17" s="63">
        <v>2024</v>
      </c>
      <c r="C17" t="s">
        <v>105</v>
      </c>
      <c r="D17">
        <v>113</v>
      </c>
      <c r="E17">
        <v>1</v>
      </c>
      <c r="F17">
        <v>13</v>
      </c>
      <c r="G17" t="s">
        <v>106</v>
      </c>
      <c r="H17">
        <v>4</v>
      </c>
      <c r="I17" t="s">
        <v>36</v>
      </c>
      <c r="J17" t="s">
        <v>291</v>
      </c>
      <c r="K17">
        <v>1</v>
      </c>
      <c r="L17">
        <v>13</v>
      </c>
      <c r="M17">
        <v>9.48</v>
      </c>
      <c r="N17">
        <v>16.2</v>
      </c>
      <c r="O17">
        <v>48.1</v>
      </c>
      <c r="P17" t="s">
        <v>292</v>
      </c>
      <c r="Q17" s="148">
        <v>45525</v>
      </c>
      <c r="R17" s="148">
        <v>0.56211678240740737</v>
      </c>
      <c r="S17">
        <v>56</v>
      </c>
      <c r="T17" t="s">
        <v>293</v>
      </c>
      <c r="U17">
        <v>0</v>
      </c>
      <c r="V17">
        <v>0</v>
      </c>
      <c r="Z17" s="153"/>
      <c r="AA17" s="154"/>
      <c r="AB17" s="155"/>
    </row>
    <row r="18" spans="2:28" x14ac:dyDescent="0.3">
      <c r="B18" s="63">
        <v>2024</v>
      </c>
      <c r="C18" t="s">
        <v>105</v>
      </c>
      <c r="D18">
        <v>114</v>
      </c>
      <c r="E18">
        <v>1</v>
      </c>
      <c r="F18">
        <v>14</v>
      </c>
      <c r="G18" t="s">
        <v>106</v>
      </c>
      <c r="H18">
        <v>5</v>
      </c>
      <c r="I18" t="s">
        <v>31</v>
      </c>
      <c r="J18" t="s">
        <v>291</v>
      </c>
      <c r="K18">
        <v>1</v>
      </c>
      <c r="L18">
        <v>14</v>
      </c>
      <c r="M18">
        <v>8.8800000000000008</v>
      </c>
      <c r="N18">
        <v>8.8000000000000007</v>
      </c>
      <c r="O18">
        <v>38.1</v>
      </c>
      <c r="P18" t="s">
        <v>292</v>
      </c>
      <c r="Q18" s="148">
        <v>45525</v>
      </c>
      <c r="R18" s="148">
        <v>0.56291924768518509</v>
      </c>
      <c r="S18">
        <v>57</v>
      </c>
      <c r="T18" t="s">
        <v>293</v>
      </c>
      <c r="U18">
        <v>0</v>
      </c>
      <c r="V18">
        <v>0</v>
      </c>
      <c r="Z18" s="153"/>
      <c r="AA18" s="154"/>
      <c r="AB18" s="155"/>
    </row>
    <row r="19" spans="2:28" x14ac:dyDescent="0.3">
      <c r="B19" s="63">
        <v>2024</v>
      </c>
      <c r="C19" t="s">
        <v>105</v>
      </c>
      <c r="D19">
        <v>115</v>
      </c>
      <c r="E19">
        <v>1</v>
      </c>
      <c r="F19">
        <v>15</v>
      </c>
      <c r="G19" t="s">
        <v>106</v>
      </c>
      <c r="H19">
        <v>6</v>
      </c>
      <c r="I19" t="s">
        <v>35</v>
      </c>
      <c r="J19" t="s">
        <v>291</v>
      </c>
      <c r="K19">
        <v>1</v>
      </c>
      <c r="L19">
        <v>15</v>
      </c>
      <c r="M19">
        <v>9.18</v>
      </c>
      <c r="N19">
        <v>3.1</v>
      </c>
      <c r="O19">
        <v>19.5</v>
      </c>
      <c r="P19" t="s">
        <v>292</v>
      </c>
      <c r="Q19" s="148">
        <v>45525</v>
      </c>
      <c r="R19" s="148">
        <v>0.57954945601851848</v>
      </c>
      <c r="S19">
        <v>64</v>
      </c>
      <c r="T19" t="s">
        <v>293</v>
      </c>
      <c r="U19">
        <v>0</v>
      </c>
      <c r="V19">
        <v>0</v>
      </c>
      <c r="Z19" s="153"/>
      <c r="AA19" s="154"/>
      <c r="AB19" s="155"/>
    </row>
    <row r="20" spans="2:28" x14ac:dyDescent="0.3">
      <c r="B20" s="63">
        <v>2024</v>
      </c>
      <c r="C20" t="s">
        <v>105</v>
      </c>
      <c r="D20">
        <v>116</v>
      </c>
      <c r="E20">
        <v>1</v>
      </c>
      <c r="F20">
        <v>16</v>
      </c>
      <c r="G20" t="s">
        <v>106</v>
      </c>
      <c r="H20">
        <v>7</v>
      </c>
      <c r="I20" t="s">
        <v>34</v>
      </c>
      <c r="J20" t="s">
        <v>291</v>
      </c>
      <c r="K20">
        <v>1</v>
      </c>
      <c r="L20">
        <v>16</v>
      </c>
      <c r="M20">
        <v>9.5399999999999991</v>
      </c>
      <c r="N20">
        <v>15.4</v>
      </c>
      <c r="O20">
        <v>50.5</v>
      </c>
      <c r="P20" t="s">
        <v>292</v>
      </c>
      <c r="Q20" s="148">
        <v>45525</v>
      </c>
      <c r="R20" s="148">
        <v>0.58033850694444444</v>
      </c>
      <c r="S20">
        <v>65</v>
      </c>
      <c r="T20" t="s">
        <v>293</v>
      </c>
      <c r="U20">
        <v>0</v>
      </c>
      <c r="V20">
        <v>0</v>
      </c>
      <c r="Z20" s="153"/>
      <c r="AA20" s="154"/>
      <c r="AB20" s="155"/>
    </row>
    <row r="21" spans="2:28" x14ac:dyDescent="0.3">
      <c r="B21" s="63">
        <v>2024</v>
      </c>
      <c r="C21" t="s">
        <v>105</v>
      </c>
      <c r="D21">
        <v>117</v>
      </c>
      <c r="E21">
        <v>1</v>
      </c>
      <c r="F21">
        <v>17</v>
      </c>
      <c r="G21" t="s">
        <v>106</v>
      </c>
      <c r="H21">
        <v>8</v>
      </c>
      <c r="I21" t="s">
        <v>38</v>
      </c>
      <c r="J21" t="s">
        <v>291</v>
      </c>
      <c r="K21">
        <v>1</v>
      </c>
      <c r="L21">
        <v>17</v>
      </c>
      <c r="M21">
        <v>9.31</v>
      </c>
      <c r="N21">
        <v>12.6</v>
      </c>
      <c r="O21">
        <v>47.9</v>
      </c>
      <c r="P21" t="s">
        <v>292</v>
      </c>
      <c r="Q21" s="148">
        <v>45525</v>
      </c>
      <c r="R21" s="148">
        <v>0.58396315972222224</v>
      </c>
      <c r="S21">
        <v>72</v>
      </c>
      <c r="T21" t="s">
        <v>293</v>
      </c>
      <c r="U21">
        <v>0</v>
      </c>
      <c r="V21">
        <v>0</v>
      </c>
      <c r="Z21" s="153"/>
      <c r="AA21" s="154"/>
      <c r="AB21" s="155"/>
    </row>
    <row r="22" spans="2:28" x14ac:dyDescent="0.3">
      <c r="B22" s="63">
        <v>2024</v>
      </c>
      <c r="C22" t="s">
        <v>105</v>
      </c>
      <c r="D22">
        <v>118</v>
      </c>
      <c r="E22">
        <v>1</v>
      </c>
      <c r="F22">
        <v>18</v>
      </c>
      <c r="G22" t="s">
        <v>106</v>
      </c>
      <c r="H22">
        <v>9</v>
      </c>
      <c r="I22" t="s">
        <v>33</v>
      </c>
      <c r="J22" t="s">
        <v>291</v>
      </c>
      <c r="K22">
        <v>1</v>
      </c>
      <c r="L22">
        <v>18</v>
      </c>
      <c r="M22">
        <v>9.24</v>
      </c>
      <c r="N22">
        <v>14.1</v>
      </c>
      <c r="O22">
        <v>48.8</v>
      </c>
      <c r="P22" t="s">
        <v>292</v>
      </c>
      <c r="Q22" s="148">
        <v>45525</v>
      </c>
      <c r="R22" s="148">
        <v>0.58458422453703707</v>
      </c>
      <c r="S22">
        <v>73</v>
      </c>
      <c r="T22" t="s">
        <v>293</v>
      </c>
      <c r="U22">
        <v>0</v>
      </c>
      <c r="V22">
        <v>0</v>
      </c>
      <c r="Z22" s="156"/>
      <c r="AA22" s="157"/>
      <c r="AB22" s="158"/>
    </row>
    <row r="23" spans="2:28" x14ac:dyDescent="0.3">
      <c r="B23" s="63">
        <v>2024</v>
      </c>
      <c r="C23" t="s">
        <v>105</v>
      </c>
      <c r="D23">
        <v>119</v>
      </c>
      <c r="E23">
        <v>1</v>
      </c>
      <c r="F23">
        <v>19</v>
      </c>
      <c r="G23" t="s">
        <v>41</v>
      </c>
      <c r="H23">
        <v>1</v>
      </c>
      <c r="I23" t="s">
        <v>37</v>
      </c>
      <c r="J23" t="s">
        <v>291</v>
      </c>
      <c r="K23">
        <v>1</v>
      </c>
      <c r="L23">
        <v>19</v>
      </c>
      <c r="M23">
        <v>8.66</v>
      </c>
      <c r="N23">
        <v>7</v>
      </c>
      <c r="O23">
        <v>34.299999999999997</v>
      </c>
      <c r="P23" t="s">
        <v>292</v>
      </c>
      <c r="Q23" s="148">
        <v>45525</v>
      </c>
      <c r="R23" s="148">
        <v>0.5879434375</v>
      </c>
      <c r="S23">
        <v>80</v>
      </c>
      <c r="T23" t="s">
        <v>293</v>
      </c>
      <c r="U23">
        <v>0</v>
      </c>
      <c r="V23">
        <v>0</v>
      </c>
    </row>
    <row r="24" spans="2:28" x14ac:dyDescent="0.3">
      <c r="B24" s="63">
        <v>2024</v>
      </c>
      <c r="C24" t="s">
        <v>105</v>
      </c>
      <c r="D24">
        <v>120</v>
      </c>
      <c r="E24">
        <v>1</v>
      </c>
      <c r="F24">
        <v>20</v>
      </c>
      <c r="G24" t="s">
        <v>41</v>
      </c>
      <c r="H24">
        <v>2</v>
      </c>
      <c r="I24" t="s">
        <v>32</v>
      </c>
      <c r="J24" t="s">
        <v>291</v>
      </c>
      <c r="K24">
        <v>1</v>
      </c>
      <c r="L24">
        <v>20</v>
      </c>
      <c r="M24">
        <v>9.7799999999999994</v>
      </c>
      <c r="N24">
        <v>14.6</v>
      </c>
      <c r="O24">
        <v>55.9</v>
      </c>
      <c r="P24" t="s">
        <v>292</v>
      </c>
      <c r="Q24" s="148">
        <v>45525</v>
      </c>
      <c r="R24" s="148">
        <v>0.58845031250000002</v>
      </c>
      <c r="S24">
        <v>81</v>
      </c>
      <c r="T24" t="s">
        <v>293</v>
      </c>
      <c r="U24">
        <v>0</v>
      </c>
      <c r="V24">
        <v>0</v>
      </c>
    </row>
    <row r="25" spans="2:28" x14ac:dyDescent="0.3">
      <c r="B25" s="63">
        <v>2024</v>
      </c>
      <c r="C25" t="s">
        <v>105</v>
      </c>
      <c r="D25">
        <v>121</v>
      </c>
      <c r="E25">
        <v>1</v>
      </c>
      <c r="F25">
        <v>21</v>
      </c>
      <c r="G25" t="s">
        <v>41</v>
      </c>
      <c r="H25">
        <v>3</v>
      </c>
      <c r="I25" t="s">
        <v>39</v>
      </c>
      <c r="J25" t="s">
        <v>291</v>
      </c>
      <c r="K25">
        <v>1</v>
      </c>
      <c r="L25">
        <v>21</v>
      </c>
      <c r="M25">
        <v>10.039999999999999</v>
      </c>
      <c r="N25">
        <v>16.600000000000001</v>
      </c>
      <c r="O25">
        <v>62.1</v>
      </c>
      <c r="P25" t="s">
        <v>292</v>
      </c>
      <c r="Q25" s="148">
        <v>45525</v>
      </c>
      <c r="R25" s="148">
        <v>0.59196493055555555</v>
      </c>
      <c r="S25">
        <v>88</v>
      </c>
      <c r="T25" t="s">
        <v>293</v>
      </c>
      <c r="U25">
        <v>0</v>
      </c>
      <c r="V25">
        <v>0</v>
      </c>
    </row>
    <row r="26" spans="2:28" x14ac:dyDescent="0.3">
      <c r="B26" s="63">
        <v>2024</v>
      </c>
      <c r="C26" t="s">
        <v>105</v>
      </c>
      <c r="D26">
        <v>122</v>
      </c>
      <c r="E26">
        <v>1</v>
      </c>
      <c r="F26">
        <v>22</v>
      </c>
      <c r="G26" t="s">
        <v>41</v>
      </c>
      <c r="H26">
        <v>4</v>
      </c>
      <c r="I26" t="s">
        <v>36</v>
      </c>
      <c r="J26" t="s">
        <v>291</v>
      </c>
      <c r="K26">
        <v>1</v>
      </c>
      <c r="L26">
        <v>22</v>
      </c>
      <c r="M26">
        <v>9.15</v>
      </c>
      <c r="N26">
        <v>7.2</v>
      </c>
      <c r="O26">
        <v>43.8</v>
      </c>
      <c r="P26" t="s">
        <v>292</v>
      </c>
      <c r="Q26" s="148">
        <v>45525</v>
      </c>
      <c r="R26" s="148">
        <v>0.59250254629629628</v>
      </c>
      <c r="S26">
        <v>89</v>
      </c>
      <c r="T26" t="s">
        <v>293</v>
      </c>
      <c r="U26">
        <v>0</v>
      </c>
      <c r="V26">
        <v>0</v>
      </c>
    </row>
    <row r="27" spans="2:28" x14ac:dyDescent="0.3">
      <c r="B27" s="63">
        <v>2024</v>
      </c>
      <c r="C27" t="s">
        <v>105</v>
      </c>
      <c r="D27">
        <v>123</v>
      </c>
      <c r="E27">
        <v>1</v>
      </c>
      <c r="F27">
        <v>23</v>
      </c>
      <c r="G27" t="s">
        <v>41</v>
      </c>
      <c r="H27">
        <v>5</v>
      </c>
      <c r="I27" t="s">
        <v>31</v>
      </c>
      <c r="J27" t="s">
        <v>291</v>
      </c>
      <c r="K27">
        <v>1</v>
      </c>
      <c r="L27">
        <v>23</v>
      </c>
      <c r="M27">
        <v>9.68</v>
      </c>
      <c r="N27">
        <v>14.1</v>
      </c>
      <c r="O27">
        <v>54.4</v>
      </c>
      <c r="P27" t="s">
        <v>292</v>
      </c>
      <c r="Q27" s="148">
        <v>45525</v>
      </c>
      <c r="R27" s="148">
        <v>0.5959571759259259</v>
      </c>
      <c r="S27">
        <v>96</v>
      </c>
      <c r="T27" t="s">
        <v>293</v>
      </c>
      <c r="U27">
        <v>0</v>
      </c>
      <c r="V27">
        <v>0</v>
      </c>
    </row>
    <row r="28" spans="2:28" x14ac:dyDescent="0.3">
      <c r="B28" s="63">
        <v>2024</v>
      </c>
      <c r="C28" t="s">
        <v>105</v>
      </c>
      <c r="D28">
        <v>124</v>
      </c>
      <c r="E28">
        <v>1</v>
      </c>
      <c r="F28">
        <v>24</v>
      </c>
      <c r="G28" t="s">
        <v>41</v>
      </c>
      <c r="H28">
        <v>6</v>
      </c>
      <c r="I28" t="s">
        <v>35</v>
      </c>
      <c r="J28" t="s">
        <v>291</v>
      </c>
      <c r="K28">
        <v>1</v>
      </c>
      <c r="L28">
        <v>24</v>
      </c>
      <c r="M28">
        <v>9.43</v>
      </c>
      <c r="N28">
        <v>11.3</v>
      </c>
      <c r="O28">
        <v>52.1</v>
      </c>
      <c r="P28" t="s">
        <v>292</v>
      </c>
      <c r="Q28" s="148">
        <v>45525</v>
      </c>
      <c r="R28" s="148">
        <v>0.59652716435185182</v>
      </c>
      <c r="S28">
        <v>97</v>
      </c>
      <c r="T28" t="s">
        <v>293</v>
      </c>
      <c r="U28">
        <v>0</v>
      </c>
      <c r="V28">
        <v>0</v>
      </c>
    </row>
    <row r="29" spans="2:28" x14ac:dyDescent="0.3">
      <c r="B29" s="63">
        <v>2024</v>
      </c>
      <c r="C29" t="s">
        <v>105</v>
      </c>
      <c r="D29">
        <v>125</v>
      </c>
      <c r="E29">
        <v>1</v>
      </c>
      <c r="F29">
        <v>25</v>
      </c>
      <c r="G29" t="s">
        <v>41</v>
      </c>
      <c r="H29">
        <v>7</v>
      </c>
      <c r="I29" t="s">
        <v>34</v>
      </c>
      <c r="J29" t="s">
        <v>291</v>
      </c>
      <c r="K29">
        <v>1</v>
      </c>
      <c r="L29">
        <v>25</v>
      </c>
      <c r="M29">
        <v>9.9</v>
      </c>
      <c r="N29">
        <v>14.5</v>
      </c>
      <c r="O29">
        <v>61.2</v>
      </c>
      <c r="P29" t="s">
        <v>292</v>
      </c>
      <c r="Q29" s="148">
        <v>45525</v>
      </c>
      <c r="R29" s="148">
        <v>0.60054614583333332</v>
      </c>
      <c r="S29">
        <v>104</v>
      </c>
      <c r="T29" t="s">
        <v>293</v>
      </c>
      <c r="U29">
        <v>0</v>
      </c>
      <c r="V29">
        <v>0</v>
      </c>
    </row>
    <row r="30" spans="2:28" x14ac:dyDescent="0.3">
      <c r="B30" s="63">
        <v>2024</v>
      </c>
      <c r="C30" t="s">
        <v>105</v>
      </c>
      <c r="D30">
        <v>126</v>
      </c>
      <c r="E30">
        <v>1</v>
      </c>
      <c r="F30">
        <v>26</v>
      </c>
      <c r="G30" t="s">
        <v>41</v>
      </c>
      <c r="H30">
        <v>8</v>
      </c>
      <c r="I30" t="s">
        <v>38</v>
      </c>
      <c r="J30" t="s">
        <v>291</v>
      </c>
      <c r="K30">
        <v>1</v>
      </c>
      <c r="L30">
        <v>26</v>
      </c>
      <c r="M30">
        <v>9.4600000000000009</v>
      </c>
      <c r="N30">
        <v>11.6</v>
      </c>
      <c r="O30">
        <v>49.9</v>
      </c>
      <c r="P30" t="s">
        <v>292</v>
      </c>
      <c r="Q30" s="148">
        <v>45525</v>
      </c>
      <c r="R30" s="148">
        <v>0.60106947916666664</v>
      </c>
      <c r="S30">
        <v>105</v>
      </c>
      <c r="T30" t="s">
        <v>293</v>
      </c>
      <c r="U30">
        <v>0</v>
      </c>
      <c r="V30">
        <v>0</v>
      </c>
    </row>
    <row r="31" spans="2:28" x14ac:dyDescent="0.3">
      <c r="B31" s="63">
        <v>2024</v>
      </c>
      <c r="C31" t="s">
        <v>105</v>
      </c>
      <c r="D31">
        <v>127</v>
      </c>
      <c r="E31">
        <v>1</v>
      </c>
      <c r="F31">
        <v>27</v>
      </c>
      <c r="G31" t="s">
        <v>41</v>
      </c>
      <c r="H31">
        <v>9</v>
      </c>
      <c r="I31" t="s">
        <v>33</v>
      </c>
      <c r="J31" t="s">
        <v>291</v>
      </c>
      <c r="K31">
        <v>1</v>
      </c>
      <c r="L31">
        <v>27</v>
      </c>
      <c r="M31">
        <v>10.26</v>
      </c>
      <c r="N31">
        <v>14.4</v>
      </c>
      <c r="O31">
        <v>63.8</v>
      </c>
      <c r="P31" t="s">
        <v>292</v>
      </c>
      <c r="Q31" s="148">
        <v>45525</v>
      </c>
      <c r="R31" s="148">
        <v>0.60480624999999999</v>
      </c>
      <c r="S31">
        <v>112</v>
      </c>
      <c r="T31" t="s">
        <v>293</v>
      </c>
      <c r="U31">
        <v>0</v>
      </c>
      <c r="V31">
        <v>0</v>
      </c>
    </row>
    <row r="32" spans="2:28" x14ac:dyDescent="0.3">
      <c r="B32" s="63">
        <v>2024</v>
      </c>
      <c r="C32" t="s">
        <v>105</v>
      </c>
      <c r="D32">
        <v>201</v>
      </c>
      <c r="E32">
        <v>2</v>
      </c>
      <c r="F32">
        <v>27</v>
      </c>
      <c r="G32" t="s">
        <v>41</v>
      </c>
      <c r="H32">
        <v>9</v>
      </c>
      <c r="I32" s="23" t="s">
        <v>33</v>
      </c>
      <c r="J32" t="s">
        <v>291</v>
      </c>
      <c r="K32">
        <v>2</v>
      </c>
      <c r="L32">
        <v>1</v>
      </c>
      <c r="M32">
        <v>8.48</v>
      </c>
      <c r="N32">
        <v>14.3</v>
      </c>
      <c r="O32">
        <v>64.5</v>
      </c>
      <c r="P32" t="s">
        <v>292</v>
      </c>
      <c r="Q32" s="148">
        <v>45525</v>
      </c>
      <c r="R32" s="148">
        <v>0.52697954861111107</v>
      </c>
      <c r="S32">
        <v>7</v>
      </c>
      <c r="T32" t="s">
        <v>293</v>
      </c>
      <c r="U32">
        <v>0</v>
      </c>
      <c r="V32">
        <v>0</v>
      </c>
    </row>
    <row r="33" spans="2:22" x14ac:dyDescent="0.3">
      <c r="B33" s="63">
        <v>2024</v>
      </c>
      <c r="C33" t="s">
        <v>105</v>
      </c>
      <c r="D33">
        <v>202</v>
      </c>
      <c r="E33">
        <v>2</v>
      </c>
      <c r="F33">
        <v>26</v>
      </c>
      <c r="G33" t="s">
        <v>41</v>
      </c>
      <c r="H33">
        <v>8</v>
      </c>
      <c r="I33" s="23" t="s">
        <v>38</v>
      </c>
      <c r="J33" t="s">
        <v>291</v>
      </c>
      <c r="K33">
        <v>2</v>
      </c>
      <c r="L33">
        <v>2</v>
      </c>
      <c r="M33">
        <v>8.2200000000000006</v>
      </c>
      <c r="N33">
        <v>13.9</v>
      </c>
      <c r="O33">
        <v>65.7</v>
      </c>
      <c r="P33" t="s">
        <v>292</v>
      </c>
      <c r="Q33" s="148">
        <v>45525</v>
      </c>
      <c r="R33" s="148">
        <v>0.53374487268518511</v>
      </c>
      <c r="S33">
        <v>10</v>
      </c>
      <c r="T33" t="s">
        <v>293</v>
      </c>
      <c r="U33">
        <v>0</v>
      </c>
      <c r="V33">
        <v>0</v>
      </c>
    </row>
    <row r="34" spans="2:22" x14ac:dyDescent="0.3">
      <c r="B34" s="63">
        <v>2024</v>
      </c>
      <c r="C34" t="s">
        <v>105</v>
      </c>
      <c r="D34">
        <v>203</v>
      </c>
      <c r="E34">
        <v>2</v>
      </c>
      <c r="F34">
        <v>24</v>
      </c>
      <c r="G34" t="s">
        <v>41</v>
      </c>
      <c r="H34">
        <v>6</v>
      </c>
      <c r="I34" s="23" t="s">
        <v>35</v>
      </c>
      <c r="J34" t="s">
        <v>291</v>
      </c>
      <c r="K34">
        <v>2</v>
      </c>
      <c r="L34">
        <v>3</v>
      </c>
      <c r="M34">
        <v>8.18</v>
      </c>
      <c r="N34">
        <v>14.4</v>
      </c>
      <c r="O34">
        <v>64.400000000000006</v>
      </c>
      <c r="P34" t="s">
        <v>292</v>
      </c>
      <c r="Q34" s="148">
        <v>45525</v>
      </c>
      <c r="R34" s="148">
        <v>0.53635744212962966</v>
      </c>
      <c r="S34">
        <v>15</v>
      </c>
      <c r="T34" t="s">
        <v>293</v>
      </c>
      <c r="U34">
        <v>0</v>
      </c>
      <c r="V34">
        <v>0</v>
      </c>
    </row>
    <row r="35" spans="2:22" x14ac:dyDescent="0.3">
      <c r="B35" s="63">
        <v>2024</v>
      </c>
      <c r="C35" t="s">
        <v>105</v>
      </c>
      <c r="D35">
        <v>204</v>
      </c>
      <c r="E35">
        <v>2</v>
      </c>
      <c r="F35">
        <v>22</v>
      </c>
      <c r="G35" t="s">
        <v>41</v>
      </c>
      <c r="H35">
        <v>4</v>
      </c>
      <c r="I35" s="23" t="s">
        <v>36</v>
      </c>
      <c r="J35" t="s">
        <v>291</v>
      </c>
      <c r="K35">
        <v>2</v>
      </c>
      <c r="L35">
        <v>4</v>
      </c>
      <c r="M35">
        <v>7.98</v>
      </c>
      <c r="N35">
        <v>16.2</v>
      </c>
      <c r="O35">
        <v>65.5</v>
      </c>
      <c r="P35" t="s">
        <v>292</v>
      </c>
      <c r="Q35" s="148">
        <v>45525</v>
      </c>
      <c r="R35" s="148">
        <v>0.53830046296296297</v>
      </c>
      <c r="S35">
        <v>18</v>
      </c>
      <c r="T35" t="s">
        <v>293</v>
      </c>
      <c r="U35">
        <v>0</v>
      </c>
      <c r="V35">
        <v>0</v>
      </c>
    </row>
    <row r="36" spans="2:22" x14ac:dyDescent="0.3">
      <c r="B36" s="63">
        <v>2024</v>
      </c>
      <c r="C36" t="s">
        <v>105</v>
      </c>
      <c r="D36">
        <v>205</v>
      </c>
      <c r="E36">
        <v>2</v>
      </c>
      <c r="F36">
        <v>19</v>
      </c>
      <c r="G36" t="s">
        <v>41</v>
      </c>
      <c r="H36">
        <v>1</v>
      </c>
      <c r="I36" s="23" t="s">
        <v>37</v>
      </c>
      <c r="J36" t="s">
        <v>291</v>
      </c>
      <c r="K36">
        <v>2</v>
      </c>
      <c r="L36">
        <v>5</v>
      </c>
      <c r="M36">
        <v>8.8000000000000007</v>
      </c>
      <c r="N36">
        <v>8</v>
      </c>
      <c r="O36">
        <v>36.299999999999997</v>
      </c>
      <c r="P36" t="s">
        <v>292</v>
      </c>
      <c r="Q36" s="148">
        <v>45525</v>
      </c>
      <c r="R36" s="148">
        <v>0.54118040509259258</v>
      </c>
      <c r="S36">
        <v>23</v>
      </c>
      <c r="T36" t="s">
        <v>293</v>
      </c>
      <c r="U36">
        <v>0</v>
      </c>
      <c r="V36">
        <v>0</v>
      </c>
    </row>
    <row r="37" spans="2:22" ht="109.2" x14ac:dyDescent="0.3">
      <c r="B37" s="63">
        <v>2024</v>
      </c>
      <c r="C37" t="s">
        <v>105</v>
      </c>
      <c r="D37">
        <v>206</v>
      </c>
      <c r="E37">
        <v>2</v>
      </c>
      <c r="F37">
        <v>25</v>
      </c>
      <c r="G37" t="s">
        <v>41</v>
      </c>
      <c r="H37">
        <v>7</v>
      </c>
      <c r="I37" s="23" t="s">
        <v>34</v>
      </c>
      <c r="J37" t="s">
        <v>291</v>
      </c>
      <c r="K37">
        <v>2</v>
      </c>
      <c r="L37">
        <v>6</v>
      </c>
      <c r="P37" t="s">
        <v>292</v>
      </c>
      <c r="Q37" s="148">
        <v>45525</v>
      </c>
      <c r="R37" s="148">
        <v>0.54327569444444435</v>
      </c>
      <c r="S37">
        <v>26</v>
      </c>
      <c r="T37" s="149" t="s">
        <v>294</v>
      </c>
      <c r="U37">
        <v>0</v>
      </c>
      <c r="V37">
        <v>0</v>
      </c>
    </row>
    <row r="38" spans="2:22" x14ac:dyDescent="0.3">
      <c r="B38" s="63">
        <v>2024</v>
      </c>
      <c r="C38" t="s">
        <v>105</v>
      </c>
      <c r="D38">
        <v>207</v>
      </c>
      <c r="E38">
        <v>2</v>
      </c>
      <c r="F38">
        <v>23</v>
      </c>
      <c r="G38" t="s">
        <v>41</v>
      </c>
      <c r="H38">
        <v>5</v>
      </c>
      <c r="I38" s="23" t="s">
        <v>31</v>
      </c>
      <c r="J38" t="s">
        <v>291</v>
      </c>
      <c r="K38">
        <v>2</v>
      </c>
      <c r="L38">
        <v>7</v>
      </c>
      <c r="M38">
        <v>9.32</v>
      </c>
      <c r="N38">
        <v>9.8000000000000007</v>
      </c>
      <c r="O38">
        <v>42.8</v>
      </c>
      <c r="P38" t="s">
        <v>292</v>
      </c>
      <c r="Q38" s="148">
        <v>45525</v>
      </c>
      <c r="R38" s="148">
        <v>0.54747129629629632</v>
      </c>
      <c r="S38">
        <v>31</v>
      </c>
      <c r="T38" t="s">
        <v>293</v>
      </c>
      <c r="U38">
        <v>0</v>
      </c>
      <c r="V38">
        <v>0</v>
      </c>
    </row>
    <row r="39" spans="2:22" x14ac:dyDescent="0.3">
      <c r="B39" s="63">
        <v>2024</v>
      </c>
      <c r="C39" t="s">
        <v>105</v>
      </c>
      <c r="D39">
        <v>208</v>
      </c>
      <c r="E39">
        <v>2</v>
      </c>
      <c r="F39">
        <v>21</v>
      </c>
      <c r="G39" t="s">
        <v>41</v>
      </c>
      <c r="H39">
        <v>3</v>
      </c>
      <c r="I39" s="23" t="s">
        <v>39</v>
      </c>
      <c r="J39" t="s">
        <v>291</v>
      </c>
      <c r="K39">
        <v>2</v>
      </c>
      <c r="L39">
        <v>8</v>
      </c>
      <c r="M39">
        <v>8.44</v>
      </c>
      <c r="N39">
        <v>16.5</v>
      </c>
      <c r="O39">
        <v>65.900000000000006</v>
      </c>
      <c r="P39" t="s">
        <v>292</v>
      </c>
      <c r="Q39" s="148">
        <v>45525</v>
      </c>
      <c r="R39" s="148">
        <v>0.54926273148148141</v>
      </c>
      <c r="S39">
        <v>34</v>
      </c>
      <c r="T39" t="s">
        <v>293</v>
      </c>
      <c r="U39">
        <v>0</v>
      </c>
      <c r="V39">
        <v>0</v>
      </c>
    </row>
    <row r="40" spans="2:22" x14ac:dyDescent="0.3">
      <c r="B40" s="63">
        <v>2024</v>
      </c>
      <c r="C40" t="s">
        <v>105</v>
      </c>
      <c r="D40">
        <v>209</v>
      </c>
      <c r="E40">
        <v>2</v>
      </c>
      <c r="F40">
        <v>20</v>
      </c>
      <c r="G40" t="s">
        <v>41</v>
      </c>
      <c r="H40">
        <v>2</v>
      </c>
      <c r="I40" s="23" t="s">
        <v>32</v>
      </c>
      <c r="J40" t="s">
        <v>291</v>
      </c>
      <c r="K40">
        <v>2</v>
      </c>
      <c r="L40">
        <v>9</v>
      </c>
      <c r="M40">
        <v>8.6199999999999992</v>
      </c>
      <c r="N40">
        <v>15.5</v>
      </c>
      <c r="O40">
        <v>65.8</v>
      </c>
      <c r="P40" t="s">
        <v>292</v>
      </c>
      <c r="Q40" s="148">
        <v>45525</v>
      </c>
      <c r="R40" s="148">
        <v>0.55190578703703708</v>
      </c>
      <c r="S40">
        <v>39</v>
      </c>
      <c r="T40" t="s">
        <v>293</v>
      </c>
      <c r="U40">
        <v>0</v>
      </c>
      <c r="V40">
        <v>0</v>
      </c>
    </row>
    <row r="41" spans="2:22" x14ac:dyDescent="0.3">
      <c r="B41" s="63">
        <v>2024</v>
      </c>
      <c r="C41" t="s">
        <v>105</v>
      </c>
      <c r="D41">
        <v>210</v>
      </c>
      <c r="E41">
        <v>2</v>
      </c>
      <c r="F41">
        <v>8</v>
      </c>
      <c r="G41" t="s">
        <v>42</v>
      </c>
      <c r="H41">
        <v>8</v>
      </c>
      <c r="I41" s="23" t="s">
        <v>38</v>
      </c>
      <c r="J41" t="s">
        <v>291</v>
      </c>
      <c r="K41">
        <v>2</v>
      </c>
      <c r="L41">
        <v>10</v>
      </c>
      <c r="M41">
        <v>8.6</v>
      </c>
      <c r="N41">
        <v>14.9</v>
      </c>
      <c r="O41">
        <v>68.400000000000006</v>
      </c>
      <c r="P41" t="s">
        <v>292</v>
      </c>
      <c r="Q41" s="148">
        <v>45525</v>
      </c>
      <c r="R41" s="148">
        <v>0.55369479166666669</v>
      </c>
      <c r="S41">
        <v>42</v>
      </c>
      <c r="T41" t="s">
        <v>293</v>
      </c>
      <c r="U41">
        <v>0</v>
      </c>
      <c r="V41">
        <v>0</v>
      </c>
    </row>
    <row r="42" spans="2:22" x14ac:dyDescent="0.3">
      <c r="B42" s="63">
        <v>2024</v>
      </c>
      <c r="C42" t="s">
        <v>105</v>
      </c>
      <c r="D42">
        <v>211</v>
      </c>
      <c r="E42">
        <v>2</v>
      </c>
      <c r="F42">
        <v>1</v>
      </c>
      <c r="G42" t="s">
        <v>42</v>
      </c>
      <c r="H42">
        <v>1</v>
      </c>
      <c r="I42" s="23" t="s">
        <v>37</v>
      </c>
      <c r="J42" t="s">
        <v>291</v>
      </c>
      <c r="K42">
        <v>2</v>
      </c>
      <c r="L42">
        <v>11</v>
      </c>
      <c r="M42">
        <v>8.98</v>
      </c>
      <c r="N42">
        <v>7.8</v>
      </c>
      <c r="O42">
        <v>40.4</v>
      </c>
      <c r="P42" t="s">
        <v>292</v>
      </c>
      <c r="Q42" s="148">
        <v>45525</v>
      </c>
      <c r="R42" s="148">
        <v>0.55676215277777785</v>
      </c>
      <c r="S42">
        <v>47</v>
      </c>
      <c r="T42" t="s">
        <v>293</v>
      </c>
      <c r="U42">
        <v>0</v>
      </c>
      <c r="V42">
        <v>0</v>
      </c>
    </row>
    <row r="43" spans="2:22" x14ac:dyDescent="0.3">
      <c r="B43" s="63">
        <v>2024</v>
      </c>
      <c r="C43" t="s">
        <v>105</v>
      </c>
      <c r="D43">
        <v>212</v>
      </c>
      <c r="E43">
        <v>2</v>
      </c>
      <c r="F43">
        <v>2</v>
      </c>
      <c r="G43" t="s">
        <v>42</v>
      </c>
      <c r="H43">
        <v>2</v>
      </c>
      <c r="I43" s="23" t="s">
        <v>32</v>
      </c>
      <c r="J43" t="s">
        <v>291</v>
      </c>
      <c r="K43">
        <v>2</v>
      </c>
      <c r="L43">
        <v>12</v>
      </c>
      <c r="M43">
        <v>8.6</v>
      </c>
      <c r="N43">
        <v>15.7</v>
      </c>
      <c r="O43">
        <v>69.400000000000006</v>
      </c>
      <c r="P43" t="s">
        <v>292</v>
      </c>
      <c r="Q43" s="148">
        <v>45525</v>
      </c>
      <c r="R43" s="148">
        <v>0.55850690972222217</v>
      </c>
      <c r="S43">
        <v>50</v>
      </c>
      <c r="T43" t="s">
        <v>293</v>
      </c>
      <c r="U43">
        <v>0</v>
      </c>
      <c r="V43">
        <v>0</v>
      </c>
    </row>
    <row r="44" spans="2:22" x14ac:dyDescent="0.3">
      <c r="B44" s="63">
        <v>2024</v>
      </c>
      <c r="C44" t="s">
        <v>105</v>
      </c>
      <c r="D44">
        <v>213</v>
      </c>
      <c r="E44">
        <v>2</v>
      </c>
      <c r="F44">
        <v>6</v>
      </c>
      <c r="G44" t="s">
        <v>42</v>
      </c>
      <c r="H44">
        <v>6</v>
      </c>
      <c r="I44" s="23" t="s">
        <v>35</v>
      </c>
      <c r="J44" t="s">
        <v>291</v>
      </c>
      <c r="K44">
        <v>2</v>
      </c>
      <c r="L44">
        <v>13</v>
      </c>
      <c r="M44">
        <v>8.75</v>
      </c>
      <c r="N44">
        <v>7.9</v>
      </c>
      <c r="O44">
        <v>35.9</v>
      </c>
      <c r="P44" t="s">
        <v>292</v>
      </c>
      <c r="Q44" s="148">
        <v>45525</v>
      </c>
      <c r="R44" s="148">
        <v>0.56148121527777783</v>
      </c>
      <c r="S44">
        <v>55</v>
      </c>
      <c r="T44" t="s">
        <v>293</v>
      </c>
      <c r="U44">
        <v>0</v>
      </c>
      <c r="V44">
        <v>0</v>
      </c>
    </row>
    <row r="45" spans="2:22" x14ac:dyDescent="0.3">
      <c r="B45" s="63">
        <v>2024</v>
      </c>
      <c r="C45" t="s">
        <v>105</v>
      </c>
      <c r="D45">
        <v>214</v>
      </c>
      <c r="E45">
        <v>2</v>
      </c>
      <c r="F45">
        <v>9</v>
      </c>
      <c r="G45" t="s">
        <v>42</v>
      </c>
      <c r="H45">
        <v>9</v>
      </c>
      <c r="I45" s="23" t="s">
        <v>33</v>
      </c>
      <c r="J45" t="s">
        <v>291</v>
      </c>
      <c r="K45">
        <v>2</v>
      </c>
      <c r="L45">
        <v>14</v>
      </c>
      <c r="M45">
        <v>8.74</v>
      </c>
      <c r="N45">
        <v>7.5</v>
      </c>
      <c r="O45">
        <v>37.1</v>
      </c>
      <c r="P45" t="s">
        <v>292</v>
      </c>
      <c r="Q45" s="148">
        <v>45525</v>
      </c>
      <c r="R45" s="148">
        <v>0.56347488425925929</v>
      </c>
      <c r="S45">
        <v>58</v>
      </c>
      <c r="T45" t="s">
        <v>293</v>
      </c>
      <c r="U45">
        <v>0</v>
      </c>
      <c r="V45">
        <v>0</v>
      </c>
    </row>
    <row r="46" spans="2:22" x14ac:dyDescent="0.3">
      <c r="B46" s="63">
        <v>2024</v>
      </c>
      <c r="C46" t="s">
        <v>105</v>
      </c>
      <c r="D46">
        <v>215</v>
      </c>
      <c r="E46">
        <v>2</v>
      </c>
      <c r="F46">
        <v>4</v>
      </c>
      <c r="G46" t="s">
        <v>42</v>
      </c>
      <c r="H46">
        <v>4</v>
      </c>
      <c r="I46" s="23" t="s">
        <v>36</v>
      </c>
      <c r="J46" t="s">
        <v>291</v>
      </c>
      <c r="K46">
        <v>2</v>
      </c>
      <c r="L46">
        <v>15</v>
      </c>
      <c r="M46">
        <v>8.16</v>
      </c>
      <c r="N46">
        <v>15.7</v>
      </c>
      <c r="O46">
        <v>68.5</v>
      </c>
      <c r="P46" t="s">
        <v>292</v>
      </c>
      <c r="Q46" s="148">
        <v>45525</v>
      </c>
      <c r="R46" s="148">
        <v>0.56868078703703695</v>
      </c>
      <c r="S46">
        <v>63</v>
      </c>
      <c r="T46" t="s">
        <v>293</v>
      </c>
      <c r="U46">
        <v>0</v>
      </c>
      <c r="V46">
        <v>0</v>
      </c>
    </row>
    <row r="47" spans="2:22" x14ac:dyDescent="0.3">
      <c r="B47" s="63">
        <v>2024</v>
      </c>
      <c r="C47" t="s">
        <v>105</v>
      </c>
      <c r="D47">
        <v>216</v>
      </c>
      <c r="E47">
        <v>2</v>
      </c>
      <c r="F47">
        <v>5</v>
      </c>
      <c r="G47" t="s">
        <v>42</v>
      </c>
      <c r="H47">
        <v>5</v>
      </c>
      <c r="I47" s="23" t="s">
        <v>31</v>
      </c>
      <c r="J47" t="s">
        <v>291</v>
      </c>
      <c r="K47">
        <v>2</v>
      </c>
      <c r="L47">
        <v>16</v>
      </c>
      <c r="M47">
        <v>8.52</v>
      </c>
      <c r="N47">
        <v>14.9</v>
      </c>
      <c r="O47">
        <v>69.3</v>
      </c>
      <c r="P47" t="s">
        <v>292</v>
      </c>
      <c r="Q47" s="148">
        <v>45525</v>
      </c>
      <c r="R47" s="148">
        <v>0.58085447916666677</v>
      </c>
      <c r="S47">
        <v>66</v>
      </c>
      <c r="T47" t="s">
        <v>293</v>
      </c>
      <c r="U47">
        <v>0</v>
      </c>
      <c r="V47">
        <v>0</v>
      </c>
    </row>
    <row r="48" spans="2:22" x14ac:dyDescent="0.3">
      <c r="B48" s="63">
        <v>2024</v>
      </c>
      <c r="C48" t="s">
        <v>105</v>
      </c>
      <c r="D48">
        <v>217</v>
      </c>
      <c r="E48">
        <v>2</v>
      </c>
      <c r="F48">
        <v>3</v>
      </c>
      <c r="G48" t="s">
        <v>42</v>
      </c>
      <c r="H48">
        <v>3</v>
      </c>
      <c r="I48" s="23" t="s">
        <v>39</v>
      </c>
      <c r="J48" t="s">
        <v>291</v>
      </c>
      <c r="K48">
        <v>2</v>
      </c>
      <c r="L48">
        <v>17</v>
      </c>
      <c r="M48">
        <v>8.7100000000000009</v>
      </c>
      <c r="N48">
        <v>7.6</v>
      </c>
      <c r="O48">
        <v>36.200000000000003</v>
      </c>
      <c r="P48" t="s">
        <v>292</v>
      </c>
      <c r="Q48" s="148">
        <v>45525</v>
      </c>
      <c r="R48" s="148">
        <v>0.58344413194444444</v>
      </c>
      <c r="S48">
        <v>71</v>
      </c>
      <c r="T48" t="s">
        <v>293</v>
      </c>
      <c r="U48">
        <v>0</v>
      </c>
      <c r="V48">
        <v>0</v>
      </c>
    </row>
    <row r="49" spans="2:22" x14ac:dyDescent="0.3">
      <c r="B49" s="63">
        <v>2024</v>
      </c>
      <c r="C49" t="s">
        <v>105</v>
      </c>
      <c r="D49">
        <v>218</v>
      </c>
      <c r="E49">
        <v>2</v>
      </c>
      <c r="F49">
        <v>7</v>
      </c>
      <c r="G49" t="s">
        <v>42</v>
      </c>
      <c r="H49">
        <v>7</v>
      </c>
      <c r="I49" s="23" t="s">
        <v>34</v>
      </c>
      <c r="J49" t="s">
        <v>291</v>
      </c>
      <c r="K49">
        <v>2</v>
      </c>
      <c r="L49">
        <v>18</v>
      </c>
      <c r="M49">
        <v>8.64</v>
      </c>
      <c r="N49">
        <v>7.5</v>
      </c>
      <c r="O49">
        <v>35</v>
      </c>
      <c r="P49" t="s">
        <v>292</v>
      </c>
      <c r="Q49" s="148">
        <v>45525</v>
      </c>
      <c r="R49" s="148">
        <v>0.58510740740740741</v>
      </c>
      <c r="S49">
        <v>74</v>
      </c>
      <c r="T49" t="s">
        <v>293</v>
      </c>
      <c r="U49">
        <v>0</v>
      </c>
      <c r="V49">
        <v>0</v>
      </c>
    </row>
    <row r="50" spans="2:22" x14ac:dyDescent="0.3">
      <c r="B50" s="63">
        <v>2024</v>
      </c>
      <c r="C50" t="s">
        <v>105</v>
      </c>
      <c r="D50">
        <v>219</v>
      </c>
      <c r="E50">
        <v>2</v>
      </c>
      <c r="F50">
        <v>12</v>
      </c>
      <c r="G50" t="s">
        <v>106</v>
      </c>
      <c r="H50">
        <v>3</v>
      </c>
      <c r="I50" s="23" t="s">
        <v>39</v>
      </c>
      <c r="J50" t="s">
        <v>291</v>
      </c>
      <c r="K50">
        <v>2</v>
      </c>
      <c r="L50">
        <v>19</v>
      </c>
      <c r="M50">
        <v>8.4600000000000009</v>
      </c>
      <c r="N50">
        <v>14.3</v>
      </c>
      <c r="O50">
        <v>66.7</v>
      </c>
      <c r="P50" t="s">
        <v>292</v>
      </c>
      <c r="Q50" s="148">
        <v>45525</v>
      </c>
      <c r="R50" s="148">
        <v>0.58729383101851851</v>
      </c>
      <c r="S50">
        <v>79</v>
      </c>
      <c r="T50" t="s">
        <v>293</v>
      </c>
      <c r="U50">
        <v>0</v>
      </c>
      <c r="V50">
        <v>0</v>
      </c>
    </row>
    <row r="51" spans="2:22" x14ac:dyDescent="0.3">
      <c r="B51" s="63">
        <v>2024</v>
      </c>
      <c r="C51" t="s">
        <v>105</v>
      </c>
      <c r="D51">
        <v>220</v>
      </c>
      <c r="E51">
        <v>2</v>
      </c>
      <c r="F51">
        <v>11</v>
      </c>
      <c r="G51" t="s">
        <v>106</v>
      </c>
      <c r="H51">
        <v>2</v>
      </c>
      <c r="I51" s="23" t="s">
        <v>32</v>
      </c>
      <c r="J51" t="s">
        <v>291</v>
      </c>
      <c r="K51">
        <v>2</v>
      </c>
      <c r="L51">
        <v>20</v>
      </c>
      <c r="M51">
        <v>8.57</v>
      </c>
      <c r="N51">
        <v>14.3</v>
      </c>
      <c r="O51">
        <v>67.599999999999994</v>
      </c>
      <c r="P51" t="s">
        <v>292</v>
      </c>
      <c r="Q51" s="148">
        <v>45525</v>
      </c>
      <c r="R51" s="148">
        <v>0.58886901620370369</v>
      </c>
      <c r="S51">
        <v>82</v>
      </c>
      <c r="T51" t="s">
        <v>293</v>
      </c>
      <c r="U51">
        <v>0</v>
      </c>
      <c r="V51">
        <v>0</v>
      </c>
    </row>
    <row r="52" spans="2:22" x14ac:dyDescent="0.3">
      <c r="B52" s="63">
        <v>2024</v>
      </c>
      <c r="C52" t="s">
        <v>105</v>
      </c>
      <c r="D52">
        <v>221</v>
      </c>
      <c r="E52">
        <v>2</v>
      </c>
      <c r="F52">
        <v>18</v>
      </c>
      <c r="G52" t="s">
        <v>106</v>
      </c>
      <c r="H52">
        <v>9</v>
      </c>
      <c r="I52" s="23" t="s">
        <v>33</v>
      </c>
      <c r="J52" t="s">
        <v>291</v>
      </c>
      <c r="K52">
        <v>2</v>
      </c>
      <c r="L52">
        <v>21</v>
      </c>
      <c r="M52">
        <v>8.48</v>
      </c>
      <c r="N52">
        <v>15.9</v>
      </c>
      <c r="O52">
        <v>66.7</v>
      </c>
      <c r="P52" t="s">
        <v>292</v>
      </c>
      <c r="Q52" s="148">
        <v>45525</v>
      </c>
      <c r="R52" s="148">
        <v>0.59129328703703699</v>
      </c>
      <c r="S52">
        <v>87</v>
      </c>
      <c r="T52" t="s">
        <v>293</v>
      </c>
      <c r="U52">
        <v>0</v>
      </c>
      <c r="V52">
        <v>0</v>
      </c>
    </row>
    <row r="53" spans="2:22" x14ac:dyDescent="0.3">
      <c r="B53" s="63">
        <v>2024</v>
      </c>
      <c r="C53" t="s">
        <v>105</v>
      </c>
      <c r="D53">
        <v>222</v>
      </c>
      <c r="E53">
        <v>2</v>
      </c>
      <c r="F53">
        <v>13</v>
      </c>
      <c r="G53" t="s">
        <v>106</v>
      </c>
      <c r="H53">
        <v>4</v>
      </c>
      <c r="I53" s="23" t="s">
        <v>36</v>
      </c>
      <c r="J53" t="s">
        <v>291</v>
      </c>
      <c r="K53">
        <v>2</v>
      </c>
      <c r="L53">
        <v>22</v>
      </c>
      <c r="M53">
        <v>8.93</v>
      </c>
      <c r="N53">
        <v>7.3</v>
      </c>
      <c r="O53">
        <v>40.1</v>
      </c>
      <c r="P53" t="s">
        <v>292</v>
      </c>
      <c r="Q53" s="148">
        <v>45525</v>
      </c>
      <c r="R53" s="148">
        <v>0.59304771990740746</v>
      </c>
      <c r="S53">
        <v>90</v>
      </c>
      <c r="T53" t="s">
        <v>293</v>
      </c>
      <c r="U53">
        <v>0</v>
      </c>
      <c r="V53">
        <v>0</v>
      </c>
    </row>
    <row r="54" spans="2:22" x14ac:dyDescent="0.3">
      <c r="B54" s="63">
        <v>2024</v>
      </c>
      <c r="C54" t="s">
        <v>105</v>
      </c>
      <c r="D54">
        <v>223</v>
      </c>
      <c r="E54">
        <v>2</v>
      </c>
      <c r="F54">
        <v>14</v>
      </c>
      <c r="G54" t="s">
        <v>106</v>
      </c>
      <c r="H54">
        <v>5</v>
      </c>
      <c r="I54" s="23" t="s">
        <v>31</v>
      </c>
      <c r="J54" t="s">
        <v>291</v>
      </c>
      <c r="K54">
        <v>2</v>
      </c>
      <c r="L54">
        <v>23</v>
      </c>
      <c r="M54">
        <v>9.41</v>
      </c>
      <c r="N54">
        <v>13.7</v>
      </c>
      <c r="O54">
        <v>50.8</v>
      </c>
      <c r="P54" t="s">
        <v>292</v>
      </c>
      <c r="Q54" s="148">
        <v>45525</v>
      </c>
      <c r="R54" s="148">
        <v>0.59544267361111103</v>
      </c>
      <c r="S54">
        <v>95</v>
      </c>
      <c r="T54" t="s">
        <v>293</v>
      </c>
      <c r="U54">
        <v>0</v>
      </c>
      <c r="V54">
        <v>0</v>
      </c>
    </row>
    <row r="55" spans="2:22" x14ac:dyDescent="0.3">
      <c r="B55" s="63">
        <v>2024</v>
      </c>
      <c r="C55" t="s">
        <v>105</v>
      </c>
      <c r="D55">
        <v>224</v>
      </c>
      <c r="E55">
        <v>2</v>
      </c>
      <c r="F55">
        <v>16</v>
      </c>
      <c r="G55" t="s">
        <v>106</v>
      </c>
      <c r="H55">
        <v>7</v>
      </c>
      <c r="I55" s="23" t="s">
        <v>34</v>
      </c>
      <c r="J55" t="s">
        <v>291</v>
      </c>
      <c r="K55">
        <v>2</v>
      </c>
      <c r="L55">
        <v>24</v>
      </c>
      <c r="M55">
        <v>8.94</v>
      </c>
      <c r="N55">
        <v>7.6</v>
      </c>
      <c r="O55">
        <v>40.9</v>
      </c>
      <c r="P55" t="s">
        <v>292</v>
      </c>
      <c r="Q55" s="148">
        <v>45525</v>
      </c>
      <c r="R55" s="148">
        <v>0.59708572916666658</v>
      </c>
      <c r="S55">
        <v>98</v>
      </c>
      <c r="T55" t="s">
        <v>293</v>
      </c>
      <c r="U55">
        <v>0</v>
      </c>
      <c r="V55">
        <v>0</v>
      </c>
    </row>
    <row r="56" spans="2:22" x14ac:dyDescent="0.3">
      <c r="B56" s="63">
        <v>2024</v>
      </c>
      <c r="C56" t="s">
        <v>105</v>
      </c>
      <c r="D56">
        <v>225</v>
      </c>
      <c r="E56">
        <v>2</v>
      </c>
      <c r="F56">
        <v>15</v>
      </c>
      <c r="G56" t="s">
        <v>106</v>
      </c>
      <c r="H56">
        <v>6</v>
      </c>
      <c r="I56" s="23" t="s">
        <v>35</v>
      </c>
      <c r="J56" t="s">
        <v>291</v>
      </c>
      <c r="K56">
        <v>2</v>
      </c>
      <c r="L56">
        <v>25</v>
      </c>
      <c r="M56">
        <v>9.01</v>
      </c>
      <c r="N56">
        <v>8</v>
      </c>
      <c r="O56">
        <v>41.7</v>
      </c>
      <c r="P56" t="s">
        <v>292</v>
      </c>
      <c r="Q56" s="148">
        <v>45525</v>
      </c>
      <c r="R56" s="148">
        <v>0.59996230324074074</v>
      </c>
      <c r="S56">
        <v>103</v>
      </c>
      <c r="T56" t="s">
        <v>293</v>
      </c>
      <c r="U56">
        <v>0</v>
      </c>
      <c r="V56">
        <v>0</v>
      </c>
    </row>
    <row r="57" spans="2:22" x14ac:dyDescent="0.3">
      <c r="B57" s="63">
        <v>2024</v>
      </c>
      <c r="C57" t="s">
        <v>105</v>
      </c>
      <c r="D57">
        <v>226</v>
      </c>
      <c r="E57">
        <v>2</v>
      </c>
      <c r="F57">
        <v>10</v>
      </c>
      <c r="G57" t="s">
        <v>106</v>
      </c>
      <c r="H57">
        <v>1</v>
      </c>
      <c r="I57" s="23" t="s">
        <v>37</v>
      </c>
      <c r="J57" t="s">
        <v>291</v>
      </c>
      <c r="K57">
        <v>2</v>
      </c>
      <c r="L57">
        <v>26</v>
      </c>
      <c r="M57">
        <v>9.23</v>
      </c>
      <c r="N57">
        <v>10.4</v>
      </c>
      <c r="O57">
        <v>47.6</v>
      </c>
      <c r="P57" t="s">
        <v>292</v>
      </c>
      <c r="Q57" s="148">
        <v>45525</v>
      </c>
      <c r="R57" s="148">
        <v>0.60173391203703697</v>
      </c>
      <c r="S57">
        <v>106</v>
      </c>
      <c r="T57" t="s">
        <v>293</v>
      </c>
      <c r="U57">
        <v>0</v>
      </c>
      <c r="V57">
        <v>0</v>
      </c>
    </row>
    <row r="58" spans="2:22" x14ac:dyDescent="0.3">
      <c r="B58" s="63">
        <v>2024</v>
      </c>
      <c r="C58" t="s">
        <v>105</v>
      </c>
      <c r="D58">
        <v>227</v>
      </c>
      <c r="E58">
        <v>2</v>
      </c>
      <c r="F58">
        <v>17</v>
      </c>
      <c r="G58" t="s">
        <v>106</v>
      </c>
      <c r="H58">
        <v>8</v>
      </c>
      <c r="I58" s="23" t="s">
        <v>38</v>
      </c>
      <c r="J58" t="s">
        <v>291</v>
      </c>
      <c r="K58">
        <v>2</v>
      </c>
      <c r="L58">
        <v>27</v>
      </c>
      <c r="M58">
        <v>9.44</v>
      </c>
      <c r="N58">
        <v>9.9</v>
      </c>
      <c r="O58">
        <v>48.2</v>
      </c>
      <c r="P58" t="s">
        <v>292</v>
      </c>
      <c r="Q58" s="148">
        <v>45525</v>
      </c>
      <c r="R58" s="148">
        <v>0.60420026620370371</v>
      </c>
      <c r="S58">
        <v>111</v>
      </c>
      <c r="T58" t="s">
        <v>293</v>
      </c>
      <c r="U58">
        <v>0</v>
      </c>
      <c r="V58">
        <v>0</v>
      </c>
    </row>
    <row r="59" spans="2:22" x14ac:dyDescent="0.3">
      <c r="B59" s="63">
        <v>2024</v>
      </c>
      <c r="C59" t="s">
        <v>105</v>
      </c>
      <c r="D59">
        <v>301</v>
      </c>
      <c r="E59">
        <v>3</v>
      </c>
      <c r="F59">
        <v>11</v>
      </c>
      <c r="G59" t="s">
        <v>106</v>
      </c>
      <c r="H59">
        <v>2</v>
      </c>
      <c r="I59" s="23" t="s">
        <v>32</v>
      </c>
      <c r="J59" t="s">
        <v>291</v>
      </c>
      <c r="K59">
        <v>3</v>
      </c>
      <c r="L59">
        <v>1</v>
      </c>
      <c r="M59">
        <v>8.65</v>
      </c>
      <c r="N59">
        <v>10.1</v>
      </c>
      <c r="O59">
        <v>65.099999999999994</v>
      </c>
      <c r="P59" t="s">
        <v>292</v>
      </c>
      <c r="Q59" s="148">
        <v>45525</v>
      </c>
      <c r="R59" s="148">
        <v>0.52443495370370363</v>
      </c>
      <c r="S59">
        <v>5</v>
      </c>
      <c r="T59" t="s">
        <v>293</v>
      </c>
      <c r="U59">
        <v>0</v>
      </c>
      <c r="V59">
        <v>0</v>
      </c>
    </row>
    <row r="60" spans="2:22" x14ac:dyDescent="0.3">
      <c r="B60" s="63">
        <v>2024</v>
      </c>
      <c r="C60" t="s">
        <v>105</v>
      </c>
      <c r="D60">
        <v>302</v>
      </c>
      <c r="E60">
        <v>3</v>
      </c>
      <c r="F60">
        <v>15</v>
      </c>
      <c r="G60" t="s">
        <v>106</v>
      </c>
      <c r="H60">
        <v>6</v>
      </c>
      <c r="I60" s="23" t="s">
        <v>35</v>
      </c>
      <c r="J60" t="s">
        <v>291</v>
      </c>
      <c r="K60">
        <v>3</v>
      </c>
      <c r="L60">
        <v>2</v>
      </c>
      <c r="M60">
        <v>8.4</v>
      </c>
      <c r="N60">
        <v>12.9</v>
      </c>
      <c r="O60">
        <v>65.599999999999994</v>
      </c>
      <c r="P60" t="s">
        <v>292</v>
      </c>
      <c r="Q60" s="148">
        <v>45525</v>
      </c>
      <c r="R60" s="148">
        <v>0.53419618055555562</v>
      </c>
      <c r="S60">
        <v>11</v>
      </c>
      <c r="T60" t="s">
        <v>293</v>
      </c>
      <c r="U60">
        <v>0</v>
      </c>
      <c r="V60">
        <v>0</v>
      </c>
    </row>
    <row r="61" spans="2:22" x14ac:dyDescent="0.3">
      <c r="B61" s="63">
        <v>2024</v>
      </c>
      <c r="C61" t="s">
        <v>105</v>
      </c>
      <c r="D61">
        <v>303</v>
      </c>
      <c r="E61">
        <v>3</v>
      </c>
      <c r="F61">
        <v>18</v>
      </c>
      <c r="G61" t="s">
        <v>106</v>
      </c>
      <c r="H61">
        <v>9</v>
      </c>
      <c r="I61" s="23" t="s">
        <v>33</v>
      </c>
      <c r="J61" t="s">
        <v>291</v>
      </c>
      <c r="K61">
        <v>3</v>
      </c>
      <c r="L61">
        <v>3</v>
      </c>
      <c r="M61">
        <v>8.5500000000000007</v>
      </c>
      <c r="N61">
        <v>9.9</v>
      </c>
      <c r="O61">
        <v>65.8</v>
      </c>
      <c r="P61" t="s">
        <v>292</v>
      </c>
      <c r="Q61" s="148">
        <v>45525</v>
      </c>
      <c r="R61" s="148">
        <v>0.53598028935185182</v>
      </c>
      <c r="S61">
        <v>14</v>
      </c>
      <c r="T61" t="s">
        <v>293</v>
      </c>
      <c r="U61">
        <v>0</v>
      </c>
      <c r="V61">
        <v>0</v>
      </c>
    </row>
    <row r="62" spans="2:22" x14ac:dyDescent="0.3">
      <c r="B62" s="63">
        <v>2024</v>
      </c>
      <c r="C62" t="s">
        <v>105</v>
      </c>
      <c r="D62">
        <v>304</v>
      </c>
      <c r="E62">
        <v>3</v>
      </c>
      <c r="F62">
        <v>14</v>
      </c>
      <c r="G62" t="s">
        <v>106</v>
      </c>
      <c r="H62">
        <v>5</v>
      </c>
      <c r="I62" s="23" t="s">
        <v>31</v>
      </c>
      <c r="J62" t="s">
        <v>291</v>
      </c>
      <c r="K62">
        <v>3</v>
      </c>
      <c r="L62">
        <v>4</v>
      </c>
      <c r="M62">
        <v>8.41</v>
      </c>
      <c r="N62">
        <v>6.4</v>
      </c>
      <c r="O62">
        <v>47.9</v>
      </c>
      <c r="P62" t="s">
        <v>292</v>
      </c>
      <c r="Q62" s="148">
        <v>45525</v>
      </c>
      <c r="R62" s="148">
        <v>0.53887623842592602</v>
      </c>
      <c r="S62">
        <v>19</v>
      </c>
      <c r="T62" t="s">
        <v>293</v>
      </c>
      <c r="U62">
        <v>0</v>
      </c>
      <c r="V62">
        <v>0</v>
      </c>
    </row>
    <row r="63" spans="2:22" x14ac:dyDescent="0.3">
      <c r="B63" s="63">
        <v>2024</v>
      </c>
      <c r="C63" t="s">
        <v>105</v>
      </c>
      <c r="D63">
        <v>305</v>
      </c>
      <c r="E63">
        <v>3</v>
      </c>
      <c r="F63">
        <v>10</v>
      </c>
      <c r="G63" t="s">
        <v>106</v>
      </c>
      <c r="H63">
        <v>1</v>
      </c>
      <c r="I63" s="23" t="s">
        <v>37</v>
      </c>
      <c r="J63" t="s">
        <v>291</v>
      </c>
      <c r="K63">
        <v>3</v>
      </c>
      <c r="L63">
        <v>5</v>
      </c>
      <c r="M63">
        <v>8.4</v>
      </c>
      <c r="N63">
        <v>6.2</v>
      </c>
      <c r="O63">
        <v>47.1</v>
      </c>
      <c r="P63" t="s">
        <v>292</v>
      </c>
      <c r="Q63" s="148">
        <v>45525</v>
      </c>
      <c r="R63" s="148">
        <v>0.54056982638888884</v>
      </c>
      <c r="S63">
        <v>22</v>
      </c>
      <c r="T63" t="s">
        <v>293</v>
      </c>
      <c r="U63">
        <v>0</v>
      </c>
      <c r="V63">
        <v>0</v>
      </c>
    </row>
    <row r="64" spans="2:22" x14ac:dyDescent="0.3">
      <c r="B64" s="63">
        <v>2024</v>
      </c>
      <c r="C64" t="s">
        <v>105</v>
      </c>
      <c r="D64">
        <v>306</v>
      </c>
      <c r="E64">
        <v>3</v>
      </c>
      <c r="F64">
        <v>13</v>
      </c>
      <c r="G64" t="s">
        <v>106</v>
      </c>
      <c r="H64">
        <v>4</v>
      </c>
      <c r="I64" s="23" t="s">
        <v>36</v>
      </c>
      <c r="J64" t="s">
        <v>291</v>
      </c>
      <c r="K64">
        <v>3</v>
      </c>
      <c r="L64">
        <v>6</v>
      </c>
      <c r="M64">
        <v>8.27</v>
      </c>
      <c r="N64">
        <v>10.3</v>
      </c>
      <c r="O64">
        <v>66.400000000000006</v>
      </c>
      <c r="P64" t="s">
        <v>292</v>
      </c>
      <c r="Q64" s="148">
        <v>45525</v>
      </c>
      <c r="R64" s="148">
        <v>0.54500135416666673</v>
      </c>
      <c r="S64">
        <v>27</v>
      </c>
      <c r="T64" t="s">
        <v>293</v>
      </c>
      <c r="U64">
        <v>0</v>
      </c>
      <c r="V64">
        <v>0</v>
      </c>
    </row>
    <row r="65" spans="2:22" x14ac:dyDescent="0.3">
      <c r="B65" s="63">
        <v>2024</v>
      </c>
      <c r="C65" t="s">
        <v>105</v>
      </c>
      <c r="D65">
        <v>307</v>
      </c>
      <c r="E65">
        <v>3</v>
      </c>
      <c r="F65">
        <v>16</v>
      </c>
      <c r="G65" t="s">
        <v>106</v>
      </c>
      <c r="H65">
        <v>7</v>
      </c>
      <c r="I65" s="23" t="s">
        <v>34</v>
      </c>
      <c r="J65" t="s">
        <v>291</v>
      </c>
      <c r="K65">
        <v>3</v>
      </c>
      <c r="L65">
        <v>7</v>
      </c>
      <c r="M65">
        <v>8.5399999999999991</v>
      </c>
      <c r="N65">
        <v>10.8</v>
      </c>
      <c r="O65">
        <v>66</v>
      </c>
      <c r="P65" t="s">
        <v>292</v>
      </c>
      <c r="Q65" s="148">
        <v>45525</v>
      </c>
      <c r="R65" s="148">
        <v>0.54678541666666658</v>
      </c>
      <c r="S65">
        <v>30</v>
      </c>
      <c r="T65" t="s">
        <v>293</v>
      </c>
      <c r="U65">
        <v>0</v>
      </c>
      <c r="V65">
        <v>0</v>
      </c>
    </row>
    <row r="66" spans="2:22" x14ac:dyDescent="0.3">
      <c r="B66" s="63">
        <v>2024</v>
      </c>
      <c r="C66" t="s">
        <v>105</v>
      </c>
      <c r="D66">
        <v>308</v>
      </c>
      <c r="E66">
        <v>3</v>
      </c>
      <c r="F66">
        <v>17</v>
      </c>
      <c r="G66" t="s">
        <v>106</v>
      </c>
      <c r="H66">
        <v>8</v>
      </c>
      <c r="I66" s="23" t="s">
        <v>38</v>
      </c>
      <c r="J66" t="s">
        <v>291</v>
      </c>
      <c r="K66">
        <v>3</v>
      </c>
      <c r="L66">
        <v>8</v>
      </c>
      <c r="M66">
        <v>8.49</v>
      </c>
      <c r="N66">
        <v>10.7</v>
      </c>
      <c r="O66">
        <v>65.900000000000006</v>
      </c>
      <c r="P66" t="s">
        <v>292</v>
      </c>
      <c r="Q66" s="148">
        <v>45525</v>
      </c>
      <c r="R66" s="148">
        <v>0.54972144675925927</v>
      </c>
      <c r="S66">
        <v>35</v>
      </c>
      <c r="T66" t="s">
        <v>293</v>
      </c>
      <c r="U66">
        <v>0</v>
      </c>
      <c r="V66">
        <v>0</v>
      </c>
    </row>
    <row r="67" spans="2:22" x14ac:dyDescent="0.3">
      <c r="B67" s="63">
        <v>2024</v>
      </c>
      <c r="C67" t="s">
        <v>105</v>
      </c>
      <c r="D67">
        <v>309</v>
      </c>
      <c r="E67">
        <v>3</v>
      </c>
      <c r="F67">
        <v>12</v>
      </c>
      <c r="G67" t="s">
        <v>106</v>
      </c>
      <c r="H67">
        <v>3</v>
      </c>
      <c r="I67" s="23" t="s">
        <v>39</v>
      </c>
      <c r="J67" t="s">
        <v>291</v>
      </c>
      <c r="K67">
        <v>3</v>
      </c>
      <c r="L67">
        <v>9</v>
      </c>
      <c r="M67">
        <v>8.64</v>
      </c>
      <c r="N67">
        <v>5.3</v>
      </c>
      <c r="O67">
        <v>35.4</v>
      </c>
      <c r="P67" t="s">
        <v>292</v>
      </c>
      <c r="Q67" s="148">
        <v>45525</v>
      </c>
      <c r="R67" s="148">
        <v>0.55146045138888899</v>
      </c>
      <c r="S67">
        <v>38</v>
      </c>
      <c r="T67" t="s">
        <v>293</v>
      </c>
      <c r="U67">
        <v>0</v>
      </c>
      <c r="V67">
        <v>0</v>
      </c>
    </row>
    <row r="68" spans="2:22" x14ac:dyDescent="0.3">
      <c r="B68" s="63">
        <v>2024</v>
      </c>
      <c r="C68" t="s">
        <v>105</v>
      </c>
      <c r="D68">
        <v>310</v>
      </c>
      <c r="E68">
        <v>3</v>
      </c>
      <c r="F68">
        <v>26</v>
      </c>
      <c r="G68" t="s">
        <v>41</v>
      </c>
      <c r="H68">
        <v>8</v>
      </c>
      <c r="I68" s="23" t="s">
        <v>38</v>
      </c>
      <c r="J68" t="s">
        <v>291</v>
      </c>
      <c r="K68">
        <v>3</v>
      </c>
      <c r="L68">
        <v>10</v>
      </c>
      <c r="M68">
        <v>8.9499999999999993</v>
      </c>
      <c r="N68">
        <v>6.1</v>
      </c>
      <c r="O68">
        <v>38.9</v>
      </c>
      <c r="P68" t="s">
        <v>292</v>
      </c>
      <c r="Q68" s="148">
        <v>45525</v>
      </c>
      <c r="R68" s="148">
        <v>0.55432037037037041</v>
      </c>
      <c r="S68">
        <v>43</v>
      </c>
      <c r="T68" t="s">
        <v>293</v>
      </c>
      <c r="U68">
        <v>0</v>
      </c>
      <c r="V68">
        <v>0</v>
      </c>
    </row>
    <row r="69" spans="2:22" x14ac:dyDescent="0.3">
      <c r="B69" s="63">
        <v>2024</v>
      </c>
      <c r="C69" t="s">
        <v>105</v>
      </c>
      <c r="D69">
        <v>311</v>
      </c>
      <c r="E69">
        <v>3</v>
      </c>
      <c r="F69">
        <v>19</v>
      </c>
      <c r="G69" t="s">
        <v>41</v>
      </c>
      <c r="H69">
        <v>1</v>
      </c>
      <c r="I69" s="23" t="s">
        <v>37</v>
      </c>
      <c r="J69" t="s">
        <v>291</v>
      </c>
      <c r="K69">
        <v>3</v>
      </c>
      <c r="L69">
        <v>11</v>
      </c>
      <c r="M69">
        <v>9.2799999999999994</v>
      </c>
      <c r="N69">
        <v>7.1</v>
      </c>
      <c r="O69">
        <v>44.9</v>
      </c>
      <c r="P69" t="s">
        <v>292</v>
      </c>
      <c r="Q69" s="148">
        <v>45525</v>
      </c>
      <c r="R69" s="148">
        <v>0.55622048611111108</v>
      </c>
      <c r="S69">
        <v>46</v>
      </c>
      <c r="T69" t="s">
        <v>293</v>
      </c>
      <c r="U69">
        <v>0</v>
      </c>
      <c r="V69">
        <v>0</v>
      </c>
    </row>
    <row r="70" spans="2:22" x14ac:dyDescent="0.3">
      <c r="B70" s="63">
        <v>2024</v>
      </c>
      <c r="C70" t="s">
        <v>105</v>
      </c>
      <c r="D70">
        <v>312</v>
      </c>
      <c r="E70">
        <v>3</v>
      </c>
      <c r="F70">
        <v>25</v>
      </c>
      <c r="G70" t="s">
        <v>41</v>
      </c>
      <c r="H70">
        <v>7</v>
      </c>
      <c r="I70" s="23" t="s">
        <v>34</v>
      </c>
      <c r="J70" t="s">
        <v>291</v>
      </c>
      <c r="K70">
        <v>3</v>
      </c>
      <c r="L70">
        <v>12</v>
      </c>
      <c r="M70">
        <v>9.42</v>
      </c>
      <c r="N70">
        <v>9.5</v>
      </c>
      <c r="O70">
        <v>46.7</v>
      </c>
      <c r="P70" t="s">
        <v>292</v>
      </c>
      <c r="Q70" s="148">
        <v>45525</v>
      </c>
      <c r="R70" s="148">
        <v>0.55908556712962965</v>
      </c>
      <c r="S70">
        <v>51</v>
      </c>
      <c r="T70" t="s">
        <v>293</v>
      </c>
      <c r="U70">
        <v>0</v>
      </c>
      <c r="V70">
        <v>0</v>
      </c>
    </row>
    <row r="71" spans="2:22" x14ac:dyDescent="0.3">
      <c r="B71" s="63">
        <v>2024</v>
      </c>
      <c r="C71" t="s">
        <v>105</v>
      </c>
      <c r="D71">
        <v>313</v>
      </c>
      <c r="E71">
        <v>3</v>
      </c>
      <c r="F71">
        <v>27</v>
      </c>
      <c r="G71" t="s">
        <v>41</v>
      </c>
      <c r="H71">
        <v>9</v>
      </c>
      <c r="I71" s="23" t="s">
        <v>33</v>
      </c>
      <c r="J71" t="s">
        <v>291</v>
      </c>
      <c r="K71">
        <v>3</v>
      </c>
      <c r="L71">
        <v>13</v>
      </c>
      <c r="M71">
        <v>9.18</v>
      </c>
      <c r="N71">
        <v>6.4</v>
      </c>
      <c r="O71">
        <v>43</v>
      </c>
      <c r="P71" t="s">
        <v>292</v>
      </c>
      <c r="Q71" s="148">
        <v>45525</v>
      </c>
      <c r="R71" s="148">
        <v>0.56089001157407414</v>
      </c>
      <c r="S71">
        <v>54</v>
      </c>
      <c r="T71" t="s">
        <v>293</v>
      </c>
      <c r="U71">
        <v>0</v>
      </c>
      <c r="V71">
        <v>0</v>
      </c>
    </row>
    <row r="72" spans="2:22" x14ac:dyDescent="0.3">
      <c r="B72" s="63">
        <v>2024</v>
      </c>
      <c r="C72" t="s">
        <v>105</v>
      </c>
      <c r="D72">
        <v>314</v>
      </c>
      <c r="E72">
        <v>3</v>
      </c>
      <c r="F72">
        <v>20</v>
      </c>
      <c r="G72" t="s">
        <v>41</v>
      </c>
      <c r="H72">
        <v>2</v>
      </c>
      <c r="I72" s="23" t="s">
        <v>32</v>
      </c>
      <c r="J72" t="s">
        <v>291</v>
      </c>
      <c r="K72">
        <v>3</v>
      </c>
      <c r="L72">
        <v>14</v>
      </c>
      <c r="M72">
        <v>8.8800000000000008</v>
      </c>
      <c r="N72">
        <v>2.2000000000000002</v>
      </c>
      <c r="O72">
        <v>16.2</v>
      </c>
      <c r="P72" t="s">
        <v>292</v>
      </c>
      <c r="Q72" s="148">
        <v>45525</v>
      </c>
      <c r="R72" s="148">
        <v>0.56635644675925934</v>
      </c>
      <c r="S72">
        <v>59</v>
      </c>
      <c r="T72" t="s">
        <v>293</v>
      </c>
      <c r="U72">
        <v>0</v>
      </c>
      <c r="V72">
        <v>0</v>
      </c>
    </row>
    <row r="73" spans="2:22" x14ac:dyDescent="0.3">
      <c r="B73" s="63">
        <v>2024</v>
      </c>
      <c r="C73" t="s">
        <v>105</v>
      </c>
      <c r="D73">
        <v>315</v>
      </c>
      <c r="E73">
        <v>3</v>
      </c>
      <c r="F73">
        <v>24</v>
      </c>
      <c r="G73" t="s">
        <v>41</v>
      </c>
      <c r="H73">
        <v>6</v>
      </c>
      <c r="I73" s="23" t="s">
        <v>35</v>
      </c>
      <c r="J73" t="s">
        <v>291</v>
      </c>
      <c r="K73">
        <v>3</v>
      </c>
      <c r="L73">
        <v>15</v>
      </c>
      <c r="M73">
        <v>8.6</v>
      </c>
      <c r="N73">
        <v>12.5</v>
      </c>
      <c r="O73">
        <v>64.3</v>
      </c>
      <c r="P73" t="s">
        <v>292</v>
      </c>
      <c r="Q73" s="148">
        <v>45525</v>
      </c>
      <c r="R73" s="148">
        <v>0.56801709490740737</v>
      </c>
      <c r="S73">
        <v>62</v>
      </c>
      <c r="T73" t="s">
        <v>293</v>
      </c>
      <c r="U73">
        <v>0</v>
      </c>
      <c r="V73">
        <v>0</v>
      </c>
    </row>
    <row r="74" spans="2:22" x14ac:dyDescent="0.3">
      <c r="B74" s="63">
        <v>2024</v>
      </c>
      <c r="C74" t="s">
        <v>105</v>
      </c>
      <c r="D74">
        <v>316</v>
      </c>
      <c r="E74">
        <v>3</v>
      </c>
      <c r="F74">
        <v>21</v>
      </c>
      <c r="G74" t="s">
        <v>41</v>
      </c>
      <c r="H74">
        <v>3</v>
      </c>
      <c r="I74" s="23" t="s">
        <v>39</v>
      </c>
      <c r="J74" t="s">
        <v>291</v>
      </c>
      <c r="K74">
        <v>3</v>
      </c>
      <c r="L74">
        <v>16</v>
      </c>
      <c r="M74">
        <v>8.98</v>
      </c>
      <c r="N74">
        <v>14.1</v>
      </c>
      <c r="O74">
        <v>64.400000000000006</v>
      </c>
      <c r="P74" t="s">
        <v>292</v>
      </c>
      <c r="Q74" s="148">
        <v>45525</v>
      </c>
      <c r="R74" s="148">
        <v>0.5814290856481481</v>
      </c>
      <c r="S74">
        <v>67</v>
      </c>
      <c r="T74" t="s">
        <v>293</v>
      </c>
      <c r="U74">
        <v>0</v>
      </c>
      <c r="V74">
        <v>0</v>
      </c>
    </row>
    <row r="75" spans="2:22" x14ac:dyDescent="0.3">
      <c r="B75" s="63">
        <v>2024</v>
      </c>
      <c r="C75" t="s">
        <v>105</v>
      </c>
      <c r="D75">
        <v>317</v>
      </c>
      <c r="E75">
        <v>3</v>
      </c>
      <c r="F75">
        <v>22</v>
      </c>
      <c r="G75" t="s">
        <v>41</v>
      </c>
      <c r="H75">
        <v>4</v>
      </c>
      <c r="I75" s="23" t="s">
        <v>36</v>
      </c>
      <c r="J75" t="s">
        <v>291</v>
      </c>
      <c r="K75">
        <v>3</v>
      </c>
      <c r="L75">
        <v>17</v>
      </c>
      <c r="M75">
        <v>9.0399999999999991</v>
      </c>
      <c r="N75">
        <v>6.9</v>
      </c>
      <c r="O75">
        <v>41.7</v>
      </c>
      <c r="P75" t="s">
        <v>292</v>
      </c>
      <c r="Q75" s="148">
        <v>45525</v>
      </c>
      <c r="R75" s="148">
        <v>0.58285771990740742</v>
      </c>
      <c r="S75">
        <v>70</v>
      </c>
      <c r="T75" t="s">
        <v>293</v>
      </c>
      <c r="U75">
        <v>0</v>
      </c>
      <c r="V75">
        <v>0</v>
      </c>
    </row>
    <row r="76" spans="2:22" x14ac:dyDescent="0.3">
      <c r="B76" s="63">
        <v>2024</v>
      </c>
      <c r="C76" t="s">
        <v>105</v>
      </c>
      <c r="D76">
        <v>318</v>
      </c>
      <c r="E76">
        <v>3</v>
      </c>
      <c r="F76">
        <v>23</v>
      </c>
      <c r="G76" t="s">
        <v>41</v>
      </c>
      <c r="H76">
        <v>5</v>
      </c>
      <c r="I76" s="23" t="s">
        <v>31</v>
      </c>
      <c r="J76" t="s">
        <v>291</v>
      </c>
      <c r="K76">
        <v>3</v>
      </c>
      <c r="L76">
        <v>18</v>
      </c>
      <c r="M76">
        <v>9.4499999999999993</v>
      </c>
      <c r="N76">
        <v>11.5</v>
      </c>
      <c r="O76">
        <v>49.4</v>
      </c>
      <c r="P76" t="s">
        <v>292</v>
      </c>
      <c r="Q76" s="148">
        <v>45525</v>
      </c>
      <c r="R76" s="148">
        <v>0.58562190972222217</v>
      </c>
      <c r="S76">
        <v>75</v>
      </c>
      <c r="T76" t="s">
        <v>293</v>
      </c>
      <c r="U76">
        <v>0</v>
      </c>
      <c r="V76">
        <v>0</v>
      </c>
    </row>
    <row r="77" spans="2:22" x14ac:dyDescent="0.3">
      <c r="B77" s="63">
        <v>2024</v>
      </c>
      <c r="C77" t="s">
        <v>105</v>
      </c>
      <c r="D77">
        <v>319</v>
      </c>
      <c r="E77">
        <v>3</v>
      </c>
      <c r="F77">
        <v>6</v>
      </c>
      <c r="G77" t="s">
        <v>42</v>
      </c>
      <c r="H77">
        <v>6</v>
      </c>
      <c r="I77" s="23" t="s">
        <v>35</v>
      </c>
      <c r="J77" t="s">
        <v>291</v>
      </c>
      <c r="K77">
        <v>3</v>
      </c>
      <c r="L77">
        <v>19</v>
      </c>
      <c r="M77">
        <v>8.65</v>
      </c>
      <c r="N77">
        <v>7.4</v>
      </c>
      <c r="O77">
        <v>36.299999999999997</v>
      </c>
      <c r="P77" t="s">
        <v>292</v>
      </c>
      <c r="Q77" s="148">
        <v>45525</v>
      </c>
      <c r="R77" s="148">
        <v>0.58694606481481482</v>
      </c>
      <c r="S77">
        <v>78</v>
      </c>
      <c r="T77" t="s">
        <v>293</v>
      </c>
      <c r="U77">
        <v>0</v>
      </c>
      <c r="V77">
        <v>0</v>
      </c>
    </row>
    <row r="78" spans="2:22" x14ac:dyDescent="0.3">
      <c r="B78" s="63">
        <v>2024</v>
      </c>
      <c r="C78" t="s">
        <v>105</v>
      </c>
      <c r="D78">
        <v>320</v>
      </c>
      <c r="E78">
        <v>3</v>
      </c>
      <c r="F78">
        <v>4</v>
      </c>
      <c r="G78" t="s">
        <v>42</v>
      </c>
      <c r="H78">
        <v>4</v>
      </c>
      <c r="I78" s="23" t="s">
        <v>36</v>
      </c>
      <c r="J78" t="s">
        <v>291</v>
      </c>
      <c r="K78">
        <v>3</v>
      </c>
      <c r="L78">
        <v>20</v>
      </c>
      <c r="M78">
        <v>8.7100000000000009</v>
      </c>
      <c r="N78">
        <v>6.2</v>
      </c>
      <c r="O78">
        <v>35.1</v>
      </c>
      <c r="P78" t="s">
        <v>292</v>
      </c>
      <c r="Q78" s="148">
        <v>45525</v>
      </c>
      <c r="R78" s="148">
        <v>0.58951304398148152</v>
      </c>
      <c r="S78">
        <v>83</v>
      </c>
      <c r="T78" t="s">
        <v>293</v>
      </c>
      <c r="U78">
        <v>0</v>
      </c>
      <c r="V78">
        <v>0</v>
      </c>
    </row>
    <row r="79" spans="2:22" x14ac:dyDescent="0.3">
      <c r="B79" s="63">
        <v>2024</v>
      </c>
      <c r="C79" t="s">
        <v>105</v>
      </c>
      <c r="D79">
        <v>321</v>
      </c>
      <c r="E79">
        <v>3</v>
      </c>
      <c r="F79">
        <v>9</v>
      </c>
      <c r="G79" t="s">
        <v>42</v>
      </c>
      <c r="H79">
        <v>9</v>
      </c>
      <c r="I79" s="23" t="s">
        <v>33</v>
      </c>
      <c r="J79" t="s">
        <v>291</v>
      </c>
      <c r="K79">
        <v>3</v>
      </c>
      <c r="L79">
        <v>21</v>
      </c>
      <c r="M79">
        <v>9.2200000000000006</v>
      </c>
      <c r="N79">
        <v>5.9</v>
      </c>
      <c r="O79">
        <v>45.5</v>
      </c>
      <c r="P79" t="s">
        <v>292</v>
      </c>
      <c r="Q79" s="148">
        <v>45525</v>
      </c>
      <c r="R79" s="148">
        <v>0.59093920138888889</v>
      </c>
      <c r="S79">
        <v>86</v>
      </c>
      <c r="T79" t="s">
        <v>293</v>
      </c>
      <c r="U79">
        <v>0</v>
      </c>
      <c r="V79">
        <v>0</v>
      </c>
    </row>
    <row r="80" spans="2:22" x14ac:dyDescent="0.3">
      <c r="B80" s="63">
        <v>2024</v>
      </c>
      <c r="C80" t="s">
        <v>105</v>
      </c>
      <c r="D80">
        <v>322</v>
      </c>
      <c r="E80">
        <v>3</v>
      </c>
      <c r="F80">
        <v>3</v>
      </c>
      <c r="G80" t="s">
        <v>42</v>
      </c>
      <c r="H80">
        <v>3</v>
      </c>
      <c r="I80" s="23" t="s">
        <v>39</v>
      </c>
      <c r="J80" t="s">
        <v>291</v>
      </c>
      <c r="K80">
        <v>3</v>
      </c>
      <c r="L80">
        <v>22</v>
      </c>
      <c r="M80">
        <v>8.9</v>
      </c>
      <c r="N80">
        <v>5.9</v>
      </c>
      <c r="O80">
        <v>40.4</v>
      </c>
      <c r="P80" t="s">
        <v>292</v>
      </c>
      <c r="Q80" s="148">
        <v>45525</v>
      </c>
      <c r="R80" s="148">
        <v>0.59353278935185183</v>
      </c>
      <c r="S80">
        <v>91</v>
      </c>
      <c r="T80" t="s">
        <v>293</v>
      </c>
      <c r="U80">
        <v>0</v>
      </c>
      <c r="V80">
        <v>0</v>
      </c>
    </row>
    <row r="81" spans="2:22" x14ac:dyDescent="0.3">
      <c r="B81" s="63">
        <v>2024</v>
      </c>
      <c r="C81" t="s">
        <v>105</v>
      </c>
      <c r="D81">
        <v>323</v>
      </c>
      <c r="E81">
        <v>3</v>
      </c>
      <c r="F81">
        <v>5</v>
      </c>
      <c r="G81" t="s">
        <v>42</v>
      </c>
      <c r="H81">
        <v>5</v>
      </c>
      <c r="I81" s="23" t="s">
        <v>31</v>
      </c>
      <c r="J81" t="s">
        <v>291</v>
      </c>
      <c r="K81">
        <v>3</v>
      </c>
      <c r="L81">
        <v>23</v>
      </c>
      <c r="M81">
        <v>9.4</v>
      </c>
      <c r="N81">
        <v>10</v>
      </c>
      <c r="O81">
        <v>49.6</v>
      </c>
      <c r="P81" t="s">
        <v>292</v>
      </c>
      <c r="Q81" s="148">
        <v>45525</v>
      </c>
      <c r="R81" s="148">
        <v>0.59490254629629624</v>
      </c>
      <c r="S81">
        <v>94</v>
      </c>
      <c r="T81" t="s">
        <v>293</v>
      </c>
      <c r="U81">
        <v>0</v>
      </c>
      <c r="V81">
        <v>0</v>
      </c>
    </row>
    <row r="82" spans="2:22" x14ac:dyDescent="0.3">
      <c r="B82" s="63">
        <v>2024</v>
      </c>
      <c r="C82" t="s">
        <v>105</v>
      </c>
      <c r="D82">
        <v>324</v>
      </c>
      <c r="E82">
        <v>3</v>
      </c>
      <c r="F82">
        <v>1</v>
      </c>
      <c r="G82" t="s">
        <v>42</v>
      </c>
      <c r="H82">
        <v>1</v>
      </c>
      <c r="I82" s="23" t="s">
        <v>37</v>
      </c>
      <c r="J82" t="s">
        <v>291</v>
      </c>
      <c r="K82">
        <v>3</v>
      </c>
      <c r="L82">
        <v>24</v>
      </c>
      <c r="M82">
        <v>8.9700000000000006</v>
      </c>
      <c r="N82">
        <v>5.8</v>
      </c>
      <c r="O82">
        <v>41.2</v>
      </c>
      <c r="P82" t="s">
        <v>292</v>
      </c>
      <c r="Q82" s="148">
        <v>45525</v>
      </c>
      <c r="R82" s="148">
        <v>0.59770158564814813</v>
      </c>
      <c r="S82">
        <v>99</v>
      </c>
      <c r="T82" t="s">
        <v>293</v>
      </c>
      <c r="U82">
        <v>0</v>
      </c>
      <c r="V82">
        <v>0</v>
      </c>
    </row>
    <row r="83" spans="2:22" x14ac:dyDescent="0.3">
      <c r="B83" s="63">
        <v>2024</v>
      </c>
      <c r="C83" t="s">
        <v>105</v>
      </c>
      <c r="D83">
        <v>325</v>
      </c>
      <c r="E83">
        <v>3</v>
      </c>
      <c r="F83">
        <v>7</v>
      </c>
      <c r="G83" t="s">
        <v>42</v>
      </c>
      <c r="H83">
        <v>7</v>
      </c>
      <c r="I83" s="23" t="s">
        <v>34</v>
      </c>
      <c r="J83" t="s">
        <v>291</v>
      </c>
      <c r="K83">
        <v>3</v>
      </c>
      <c r="L83">
        <v>25</v>
      </c>
      <c r="M83">
        <v>9.59</v>
      </c>
      <c r="N83">
        <v>14.3</v>
      </c>
      <c r="O83">
        <v>67.2</v>
      </c>
      <c r="P83" t="s">
        <v>292</v>
      </c>
      <c r="Q83" s="148">
        <v>45525</v>
      </c>
      <c r="R83" s="148">
        <v>0.59943688657407412</v>
      </c>
      <c r="S83">
        <v>102</v>
      </c>
      <c r="T83" t="s">
        <v>293</v>
      </c>
      <c r="U83">
        <v>0</v>
      </c>
      <c r="V83">
        <v>0</v>
      </c>
    </row>
    <row r="84" spans="2:22" x14ac:dyDescent="0.3">
      <c r="B84" s="63">
        <v>2024</v>
      </c>
      <c r="C84" t="s">
        <v>105</v>
      </c>
      <c r="D84">
        <v>326</v>
      </c>
      <c r="E84">
        <v>3</v>
      </c>
      <c r="F84">
        <v>2</v>
      </c>
      <c r="G84" t="s">
        <v>42</v>
      </c>
      <c r="H84">
        <v>2</v>
      </c>
      <c r="I84" s="23" t="s">
        <v>32</v>
      </c>
      <c r="J84" t="s">
        <v>291</v>
      </c>
      <c r="K84">
        <v>3</v>
      </c>
      <c r="L84">
        <v>26</v>
      </c>
      <c r="M84">
        <v>8.74</v>
      </c>
      <c r="N84">
        <v>6</v>
      </c>
      <c r="O84">
        <v>35.4</v>
      </c>
      <c r="P84" t="s">
        <v>292</v>
      </c>
      <c r="Q84" s="148">
        <v>45525</v>
      </c>
      <c r="R84" s="148">
        <v>0.60231423611111112</v>
      </c>
      <c r="S84">
        <v>107</v>
      </c>
      <c r="T84" t="s">
        <v>293</v>
      </c>
      <c r="U84">
        <v>0</v>
      </c>
      <c r="V84">
        <v>0</v>
      </c>
    </row>
    <row r="85" spans="2:22" x14ac:dyDescent="0.3">
      <c r="B85" s="63">
        <v>2024</v>
      </c>
      <c r="C85" t="s">
        <v>105</v>
      </c>
      <c r="D85">
        <v>327</v>
      </c>
      <c r="E85">
        <v>3</v>
      </c>
      <c r="F85">
        <v>8</v>
      </c>
      <c r="G85" t="s">
        <v>42</v>
      </c>
      <c r="H85">
        <v>8</v>
      </c>
      <c r="I85" s="23" t="s">
        <v>38</v>
      </c>
      <c r="J85" t="s">
        <v>291</v>
      </c>
      <c r="K85">
        <v>3</v>
      </c>
      <c r="L85">
        <v>27</v>
      </c>
      <c r="M85">
        <v>9.44</v>
      </c>
      <c r="N85">
        <v>10.7</v>
      </c>
      <c r="O85">
        <v>53</v>
      </c>
      <c r="P85" t="s">
        <v>292</v>
      </c>
      <c r="Q85" s="148">
        <v>45525</v>
      </c>
      <c r="R85" s="148">
        <v>0.60361473379629627</v>
      </c>
      <c r="S85">
        <v>110</v>
      </c>
      <c r="T85" t="s">
        <v>293</v>
      </c>
      <c r="U85">
        <v>0</v>
      </c>
      <c r="V85">
        <v>0</v>
      </c>
    </row>
    <row r="86" spans="2:22" x14ac:dyDescent="0.3">
      <c r="B86" s="63">
        <v>2024</v>
      </c>
      <c r="C86" t="s">
        <v>105</v>
      </c>
      <c r="D86">
        <v>401</v>
      </c>
      <c r="E86">
        <v>4</v>
      </c>
      <c r="F86">
        <v>23</v>
      </c>
      <c r="G86" t="s">
        <v>41</v>
      </c>
      <c r="H86">
        <v>5</v>
      </c>
      <c r="I86" s="64" t="s">
        <v>31</v>
      </c>
      <c r="J86" t="s">
        <v>291</v>
      </c>
      <c r="K86">
        <v>4</v>
      </c>
      <c r="L86">
        <v>1</v>
      </c>
      <c r="M86">
        <v>8.1199999999999992</v>
      </c>
      <c r="N86">
        <v>11.3</v>
      </c>
      <c r="O86">
        <v>64</v>
      </c>
      <c r="P86" t="s">
        <v>292</v>
      </c>
      <c r="Q86" s="148">
        <v>45525</v>
      </c>
      <c r="R86" s="148">
        <v>0.52397619212962965</v>
      </c>
      <c r="S86">
        <v>4</v>
      </c>
      <c r="T86" t="s">
        <v>293</v>
      </c>
      <c r="U86">
        <v>0</v>
      </c>
      <c r="V86">
        <v>0</v>
      </c>
    </row>
    <row r="87" spans="2:22" x14ac:dyDescent="0.3">
      <c r="B87" s="63">
        <v>2024</v>
      </c>
      <c r="C87" t="s">
        <v>105</v>
      </c>
      <c r="D87">
        <v>402</v>
      </c>
      <c r="E87">
        <v>4</v>
      </c>
      <c r="F87">
        <v>20</v>
      </c>
      <c r="G87" t="s">
        <v>41</v>
      </c>
      <c r="H87">
        <v>2</v>
      </c>
      <c r="I87" s="64" t="s">
        <v>32</v>
      </c>
      <c r="J87" t="s">
        <v>291</v>
      </c>
      <c r="K87">
        <v>4</v>
      </c>
      <c r="L87">
        <v>2</v>
      </c>
      <c r="M87">
        <v>9.0399999999999991</v>
      </c>
      <c r="N87">
        <v>5.4</v>
      </c>
      <c r="O87">
        <v>37.9</v>
      </c>
      <c r="P87" t="s">
        <v>292</v>
      </c>
      <c r="Q87" s="148">
        <v>45525</v>
      </c>
      <c r="R87" s="148">
        <v>0.53481643518518518</v>
      </c>
      <c r="S87">
        <v>12</v>
      </c>
      <c r="T87" t="s">
        <v>293</v>
      </c>
      <c r="U87">
        <v>0</v>
      </c>
      <c r="V87">
        <v>0</v>
      </c>
    </row>
    <row r="88" spans="2:22" x14ac:dyDescent="0.3">
      <c r="B88" s="63">
        <v>2024</v>
      </c>
      <c r="C88" t="s">
        <v>105</v>
      </c>
      <c r="D88">
        <v>403</v>
      </c>
      <c r="E88">
        <v>4</v>
      </c>
      <c r="F88">
        <v>27</v>
      </c>
      <c r="G88" t="s">
        <v>41</v>
      </c>
      <c r="H88">
        <v>9</v>
      </c>
      <c r="I88" s="64" t="s">
        <v>33</v>
      </c>
      <c r="J88" t="s">
        <v>291</v>
      </c>
      <c r="K88">
        <v>4</v>
      </c>
      <c r="L88">
        <v>3</v>
      </c>
      <c r="M88">
        <v>8.43</v>
      </c>
      <c r="N88">
        <v>10.6</v>
      </c>
      <c r="O88">
        <v>64.5</v>
      </c>
      <c r="P88" t="s">
        <v>292</v>
      </c>
      <c r="Q88" s="148">
        <v>45525</v>
      </c>
      <c r="R88" s="148">
        <v>0.53561354166666675</v>
      </c>
      <c r="S88">
        <v>13</v>
      </c>
      <c r="T88" t="s">
        <v>293</v>
      </c>
      <c r="U88">
        <v>0</v>
      </c>
      <c r="V88">
        <v>0</v>
      </c>
    </row>
    <row r="89" spans="2:22" x14ac:dyDescent="0.3">
      <c r="B89" s="63">
        <v>2024</v>
      </c>
      <c r="C89" t="s">
        <v>105</v>
      </c>
      <c r="D89">
        <v>404</v>
      </c>
      <c r="E89">
        <v>4</v>
      </c>
      <c r="F89">
        <v>25</v>
      </c>
      <c r="G89" t="s">
        <v>41</v>
      </c>
      <c r="H89">
        <v>7</v>
      </c>
      <c r="I89" s="64" t="s">
        <v>34</v>
      </c>
      <c r="J89" t="s">
        <v>291</v>
      </c>
      <c r="K89">
        <v>4</v>
      </c>
      <c r="L89">
        <v>4</v>
      </c>
      <c r="M89">
        <v>8.8000000000000007</v>
      </c>
      <c r="N89">
        <v>5.3</v>
      </c>
      <c r="O89">
        <v>35.6</v>
      </c>
      <c r="P89" t="s">
        <v>292</v>
      </c>
      <c r="Q89" s="148">
        <v>45525</v>
      </c>
      <c r="R89" s="148">
        <v>0.53944116898148142</v>
      </c>
      <c r="S89">
        <v>20</v>
      </c>
      <c r="T89" t="s">
        <v>293</v>
      </c>
      <c r="U89">
        <v>0</v>
      </c>
      <c r="V89">
        <v>0</v>
      </c>
    </row>
    <row r="90" spans="2:22" x14ac:dyDescent="0.3">
      <c r="B90" s="63">
        <v>2024</v>
      </c>
      <c r="C90" t="s">
        <v>105</v>
      </c>
      <c r="D90">
        <v>405</v>
      </c>
      <c r="E90">
        <v>4</v>
      </c>
      <c r="F90">
        <v>24</v>
      </c>
      <c r="G90" t="s">
        <v>41</v>
      </c>
      <c r="H90">
        <v>6</v>
      </c>
      <c r="I90" s="64" t="s">
        <v>35</v>
      </c>
      <c r="J90" t="s">
        <v>291</v>
      </c>
      <c r="K90">
        <v>4</v>
      </c>
      <c r="L90">
        <v>5</v>
      </c>
      <c r="M90">
        <v>8.36</v>
      </c>
      <c r="N90">
        <v>10.3</v>
      </c>
      <c r="O90">
        <v>64.599999999999994</v>
      </c>
      <c r="P90" t="s">
        <v>292</v>
      </c>
      <c r="Q90" s="148">
        <v>45525</v>
      </c>
      <c r="R90" s="148">
        <v>0.53998920138888884</v>
      </c>
      <c r="S90">
        <v>21</v>
      </c>
      <c r="T90" t="s">
        <v>293</v>
      </c>
      <c r="U90">
        <v>0</v>
      </c>
      <c r="V90">
        <v>0</v>
      </c>
    </row>
    <row r="91" spans="2:22" x14ac:dyDescent="0.3">
      <c r="B91" s="63">
        <v>2024</v>
      </c>
      <c r="C91" t="s">
        <v>105</v>
      </c>
      <c r="D91">
        <v>406</v>
      </c>
      <c r="E91">
        <v>4</v>
      </c>
      <c r="F91">
        <v>22</v>
      </c>
      <c r="G91" t="s">
        <v>41</v>
      </c>
      <c r="H91">
        <v>4</v>
      </c>
      <c r="I91" s="64" t="s">
        <v>36</v>
      </c>
      <c r="J91" t="s">
        <v>291</v>
      </c>
      <c r="K91">
        <v>4</v>
      </c>
      <c r="L91">
        <v>6</v>
      </c>
      <c r="M91">
        <v>8.5399999999999991</v>
      </c>
      <c r="N91">
        <v>10.6</v>
      </c>
      <c r="O91">
        <v>65.3</v>
      </c>
      <c r="P91" t="s">
        <v>292</v>
      </c>
      <c r="Q91" s="148">
        <v>45525</v>
      </c>
      <c r="R91" s="148">
        <v>0.54544984953703712</v>
      </c>
      <c r="S91">
        <v>28</v>
      </c>
      <c r="T91" t="s">
        <v>293</v>
      </c>
      <c r="U91">
        <v>0</v>
      </c>
      <c r="V91">
        <v>0</v>
      </c>
    </row>
    <row r="92" spans="2:22" x14ac:dyDescent="0.3">
      <c r="B92" s="63">
        <v>2024</v>
      </c>
      <c r="C92" t="s">
        <v>105</v>
      </c>
      <c r="D92">
        <v>407</v>
      </c>
      <c r="E92">
        <v>4</v>
      </c>
      <c r="F92">
        <v>19</v>
      </c>
      <c r="G92" t="s">
        <v>41</v>
      </c>
      <c r="H92">
        <v>1</v>
      </c>
      <c r="I92" s="64" t="s">
        <v>37</v>
      </c>
      <c r="J92" t="s">
        <v>291</v>
      </c>
      <c r="K92">
        <v>4</v>
      </c>
      <c r="L92">
        <v>7</v>
      </c>
      <c r="M92">
        <v>8.9</v>
      </c>
      <c r="N92">
        <v>5.4</v>
      </c>
      <c r="O92">
        <v>38.5</v>
      </c>
      <c r="P92" t="s">
        <v>292</v>
      </c>
      <c r="Q92" s="148">
        <v>45525</v>
      </c>
      <c r="R92" s="148">
        <v>0.5464313657407408</v>
      </c>
      <c r="S92">
        <v>29</v>
      </c>
      <c r="T92" t="s">
        <v>293</v>
      </c>
      <c r="U92">
        <v>0</v>
      </c>
      <c r="V92">
        <v>0</v>
      </c>
    </row>
    <row r="93" spans="2:22" x14ac:dyDescent="0.3">
      <c r="B93" s="63">
        <v>2024</v>
      </c>
      <c r="C93" t="s">
        <v>105</v>
      </c>
      <c r="D93">
        <v>408</v>
      </c>
      <c r="E93">
        <v>4</v>
      </c>
      <c r="F93">
        <v>26</v>
      </c>
      <c r="G93" t="s">
        <v>41</v>
      </c>
      <c r="H93">
        <v>8</v>
      </c>
      <c r="I93" s="64" t="s">
        <v>38</v>
      </c>
      <c r="J93" t="s">
        <v>291</v>
      </c>
      <c r="K93">
        <v>4</v>
      </c>
      <c r="L93">
        <v>8</v>
      </c>
      <c r="M93">
        <v>9.14</v>
      </c>
      <c r="N93">
        <v>5.6</v>
      </c>
      <c r="O93">
        <v>41.1</v>
      </c>
      <c r="P93" t="s">
        <v>292</v>
      </c>
      <c r="Q93" s="148">
        <v>45525</v>
      </c>
      <c r="R93" s="148">
        <v>0.55033105324074072</v>
      </c>
      <c r="S93">
        <v>36</v>
      </c>
      <c r="T93" t="s">
        <v>293</v>
      </c>
      <c r="U93">
        <v>0</v>
      </c>
      <c r="V93">
        <v>0</v>
      </c>
    </row>
    <row r="94" spans="2:22" x14ac:dyDescent="0.3">
      <c r="B94" s="63">
        <v>2024</v>
      </c>
      <c r="C94" t="s">
        <v>105</v>
      </c>
      <c r="D94">
        <v>409</v>
      </c>
      <c r="E94">
        <v>4</v>
      </c>
      <c r="F94">
        <v>21</v>
      </c>
      <c r="G94" t="s">
        <v>41</v>
      </c>
      <c r="H94">
        <v>3</v>
      </c>
      <c r="I94" s="64" t="s">
        <v>39</v>
      </c>
      <c r="J94" t="s">
        <v>291</v>
      </c>
      <c r="K94">
        <v>4</v>
      </c>
      <c r="L94">
        <v>9</v>
      </c>
      <c r="M94">
        <v>8.3800000000000008</v>
      </c>
      <c r="N94">
        <v>9.4</v>
      </c>
      <c r="O94">
        <v>65.400000000000006</v>
      </c>
      <c r="P94" t="s">
        <v>292</v>
      </c>
      <c r="Q94" s="148">
        <v>45525</v>
      </c>
      <c r="R94" s="148">
        <v>0.55088012731481484</v>
      </c>
      <c r="S94">
        <v>37</v>
      </c>
      <c r="T94" t="s">
        <v>293</v>
      </c>
      <c r="U94">
        <v>0</v>
      </c>
      <c r="V94">
        <v>0</v>
      </c>
    </row>
    <row r="95" spans="2:22" x14ac:dyDescent="0.3">
      <c r="B95" s="63">
        <v>2024</v>
      </c>
      <c r="C95" t="s">
        <v>105</v>
      </c>
      <c r="D95">
        <v>410</v>
      </c>
      <c r="E95">
        <v>4</v>
      </c>
      <c r="F95">
        <v>7</v>
      </c>
      <c r="G95" t="s">
        <v>42</v>
      </c>
      <c r="H95">
        <v>7</v>
      </c>
      <c r="I95" s="64" t="s">
        <v>34</v>
      </c>
      <c r="J95" t="s">
        <v>291</v>
      </c>
      <c r="K95">
        <v>4</v>
      </c>
      <c r="L95">
        <v>10</v>
      </c>
      <c r="M95">
        <v>8.6</v>
      </c>
      <c r="N95">
        <v>11.5</v>
      </c>
      <c r="O95">
        <v>68</v>
      </c>
      <c r="P95" t="s">
        <v>292</v>
      </c>
      <c r="Q95" s="148">
        <v>45525</v>
      </c>
      <c r="R95" s="148">
        <v>0.55477728009259253</v>
      </c>
      <c r="S95">
        <v>44</v>
      </c>
      <c r="T95" t="s">
        <v>293</v>
      </c>
      <c r="U95">
        <v>0</v>
      </c>
      <c r="V95">
        <v>0</v>
      </c>
    </row>
    <row r="96" spans="2:22" x14ac:dyDescent="0.3">
      <c r="B96" s="63">
        <v>2024</v>
      </c>
      <c r="C96" t="s">
        <v>105</v>
      </c>
      <c r="D96">
        <v>411</v>
      </c>
      <c r="E96">
        <v>4</v>
      </c>
      <c r="F96">
        <v>9</v>
      </c>
      <c r="G96" t="s">
        <v>42</v>
      </c>
      <c r="H96">
        <v>9</v>
      </c>
      <c r="I96" s="64" t="s">
        <v>33</v>
      </c>
      <c r="J96" t="s">
        <v>291</v>
      </c>
      <c r="K96">
        <v>4</v>
      </c>
      <c r="L96">
        <v>11</v>
      </c>
      <c r="M96">
        <v>8.31</v>
      </c>
      <c r="N96">
        <v>10.9</v>
      </c>
      <c r="O96">
        <v>67.2</v>
      </c>
      <c r="P96" t="s">
        <v>292</v>
      </c>
      <c r="Q96" s="148">
        <v>45525</v>
      </c>
      <c r="R96" s="148">
        <v>0.55560871527777778</v>
      </c>
      <c r="S96">
        <v>45</v>
      </c>
      <c r="T96" t="s">
        <v>293</v>
      </c>
      <c r="U96">
        <v>0</v>
      </c>
      <c r="V96">
        <v>0</v>
      </c>
    </row>
    <row r="97" spans="2:22" x14ac:dyDescent="0.3">
      <c r="B97" s="63">
        <v>2024</v>
      </c>
      <c r="C97" t="s">
        <v>105</v>
      </c>
      <c r="D97">
        <v>412</v>
      </c>
      <c r="E97">
        <v>4</v>
      </c>
      <c r="F97">
        <v>6</v>
      </c>
      <c r="G97" t="s">
        <v>42</v>
      </c>
      <c r="H97">
        <v>6</v>
      </c>
      <c r="I97" s="64" t="s">
        <v>35</v>
      </c>
      <c r="J97" t="s">
        <v>291</v>
      </c>
      <c r="K97">
        <v>4</v>
      </c>
      <c r="L97">
        <v>12</v>
      </c>
      <c r="M97">
        <v>7.79</v>
      </c>
      <c r="N97">
        <v>11.6</v>
      </c>
      <c r="O97">
        <v>69</v>
      </c>
      <c r="P97" t="s">
        <v>292</v>
      </c>
      <c r="Q97" s="148">
        <v>45525</v>
      </c>
      <c r="R97" s="148">
        <v>0.55951041666666668</v>
      </c>
      <c r="S97">
        <v>52</v>
      </c>
      <c r="T97" t="s">
        <v>293</v>
      </c>
      <c r="U97">
        <v>0</v>
      </c>
      <c r="V97">
        <v>0</v>
      </c>
    </row>
    <row r="98" spans="2:22" x14ac:dyDescent="0.3">
      <c r="B98" s="63">
        <v>2024</v>
      </c>
      <c r="C98" t="s">
        <v>105</v>
      </c>
      <c r="D98">
        <v>413</v>
      </c>
      <c r="E98">
        <v>4</v>
      </c>
      <c r="F98">
        <v>4</v>
      </c>
      <c r="G98" t="s">
        <v>42</v>
      </c>
      <c r="H98">
        <v>4</v>
      </c>
      <c r="I98" s="64" t="s">
        <v>36</v>
      </c>
      <c r="J98" t="s">
        <v>291</v>
      </c>
      <c r="K98">
        <v>4</v>
      </c>
      <c r="L98">
        <v>13</v>
      </c>
      <c r="M98">
        <v>7.92</v>
      </c>
      <c r="N98">
        <v>10.7</v>
      </c>
      <c r="O98">
        <v>67.8</v>
      </c>
      <c r="P98" t="s">
        <v>292</v>
      </c>
      <c r="Q98" s="148">
        <v>45525</v>
      </c>
      <c r="R98" s="148">
        <v>0.56031114583333341</v>
      </c>
      <c r="S98">
        <v>53</v>
      </c>
      <c r="T98" t="s">
        <v>293</v>
      </c>
      <c r="U98">
        <v>0</v>
      </c>
      <c r="V98">
        <v>0</v>
      </c>
    </row>
    <row r="99" spans="2:22" x14ac:dyDescent="0.3">
      <c r="B99" s="63">
        <v>2024</v>
      </c>
      <c r="C99" t="s">
        <v>105</v>
      </c>
      <c r="D99">
        <v>414</v>
      </c>
      <c r="E99">
        <v>4</v>
      </c>
      <c r="F99">
        <v>8</v>
      </c>
      <c r="G99" t="s">
        <v>42</v>
      </c>
      <c r="H99">
        <v>8</v>
      </c>
      <c r="I99" s="64" t="s">
        <v>38</v>
      </c>
      <c r="J99" t="s">
        <v>291</v>
      </c>
      <c r="K99">
        <v>4</v>
      </c>
      <c r="L99">
        <v>14</v>
      </c>
      <c r="M99">
        <v>8.27</v>
      </c>
      <c r="N99">
        <v>11.7</v>
      </c>
      <c r="O99">
        <v>69.2</v>
      </c>
      <c r="P99" t="s">
        <v>292</v>
      </c>
      <c r="Q99" s="148">
        <v>45525</v>
      </c>
      <c r="R99" s="148">
        <v>0.56673903935185188</v>
      </c>
      <c r="S99">
        <v>60</v>
      </c>
      <c r="T99" t="s">
        <v>293</v>
      </c>
      <c r="U99">
        <v>0</v>
      </c>
      <c r="V99">
        <v>0</v>
      </c>
    </row>
    <row r="100" spans="2:22" x14ac:dyDescent="0.3">
      <c r="B100" s="63">
        <v>2024</v>
      </c>
      <c r="C100" t="s">
        <v>105</v>
      </c>
      <c r="D100">
        <v>415</v>
      </c>
      <c r="E100">
        <v>4</v>
      </c>
      <c r="F100">
        <v>5</v>
      </c>
      <c r="G100" t="s">
        <v>42</v>
      </c>
      <c r="H100">
        <v>5</v>
      </c>
      <c r="I100" s="64" t="s">
        <v>31</v>
      </c>
      <c r="J100" t="s">
        <v>291</v>
      </c>
      <c r="K100">
        <v>4</v>
      </c>
      <c r="L100">
        <v>15</v>
      </c>
      <c r="M100">
        <v>8.14</v>
      </c>
      <c r="N100">
        <v>11.9</v>
      </c>
      <c r="O100">
        <v>68.900000000000006</v>
      </c>
      <c r="P100" t="s">
        <v>292</v>
      </c>
      <c r="Q100" s="148">
        <v>45525</v>
      </c>
      <c r="R100" s="148">
        <v>0.56764853009259264</v>
      </c>
      <c r="S100">
        <v>61</v>
      </c>
      <c r="T100" t="s">
        <v>293</v>
      </c>
      <c r="U100">
        <v>0</v>
      </c>
      <c r="V100">
        <v>0</v>
      </c>
    </row>
    <row r="101" spans="2:22" x14ac:dyDescent="0.3">
      <c r="B101" s="63">
        <v>2024</v>
      </c>
      <c r="C101" t="s">
        <v>105</v>
      </c>
      <c r="D101">
        <v>416</v>
      </c>
      <c r="E101">
        <v>4</v>
      </c>
      <c r="F101">
        <v>3</v>
      </c>
      <c r="G101" t="s">
        <v>42</v>
      </c>
      <c r="H101">
        <v>3</v>
      </c>
      <c r="I101" s="64" t="s">
        <v>39</v>
      </c>
      <c r="J101" t="s">
        <v>291</v>
      </c>
      <c r="K101">
        <v>4</v>
      </c>
      <c r="L101">
        <v>16</v>
      </c>
      <c r="M101">
        <v>7.94</v>
      </c>
      <c r="N101">
        <v>11.5</v>
      </c>
      <c r="O101">
        <v>69.8</v>
      </c>
      <c r="P101" t="s">
        <v>292</v>
      </c>
      <c r="Q101" s="148">
        <v>45525</v>
      </c>
      <c r="R101" s="148">
        <v>0.58173614583333333</v>
      </c>
      <c r="S101">
        <v>68</v>
      </c>
      <c r="T101" t="s">
        <v>293</v>
      </c>
      <c r="U101">
        <v>0</v>
      </c>
      <c r="V101">
        <v>0</v>
      </c>
    </row>
    <row r="102" spans="2:22" x14ac:dyDescent="0.3">
      <c r="B102" s="63">
        <v>2024</v>
      </c>
      <c r="C102" t="s">
        <v>105</v>
      </c>
      <c r="D102">
        <v>417</v>
      </c>
      <c r="E102">
        <v>4</v>
      </c>
      <c r="F102">
        <v>2</v>
      </c>
      <c r="G102" t="s">
        <v>42</v>
      </c>
      <c r="H102">
        <v>2</v>
      </c>
      <c r="I102" s="64" t="s">
        <v>32</v>
      </c>
      <c r="J102" t="s">
        <v>291</v>
      </c>
      <c r="K102">
        <v>4</v>
      </c>
      <c r="L102">
        <v>17</v>
      </c>
      <c r="M102">
        <v>8.4</v>
      </c>
      <c r="N102">
        <v>6.2</v>
      </c>
      <c r="O102">
        <v>36.9</v>
      </c>
      <c r="P102" t="s">
        <v>292</v>
      </c>
      <c r="Q102" s="148">
        <v>45525</v>
      </c>
      <c r="R102" s="148">
        <v>0.58230089120370365</v>
      </c>
      <c r="S102">
        <v>69</v>
      </c>
      <c r="T102" t="s">
        <v>293</v>
      </c>
      <c r="U102">
        <v>0</v>
      </c>
      <c r="V102">
        <v>0</v>
      </c>
    </row>
    <row r="103" spans="2:22" x14ac:dyDescent="0.3">
      <c r="B103" s="63">
        <v>2024</v>
      </c>
      <c r="C103" t="s">
        <v>105</v>
      </c>
      <c r="D103">
        <v>418</v>
      </c>
      <c r="E103">
        <v>4</v>
      </c>
      <c r="F103">
        <v>1</v>
      </c>
      <c r="G103" t="s">
        <v>42</v>
      </c>
      <c r="H103">
        <v>1</v>
      </c>
      <c r="I103" s="64" t="s">
        <v>37</v>
      </c>
      <c r="J103" t="s">
        <v>291</v>
      </c>
      <c r="K103">
        <v>4</v>
      </c>
      <c r="L103">
        <v>18</v>
      </c>
      <c r="M103">
        <v>8.3800000000000008</v>
      </c>
      <c r="N103">
        <v>13.1</v>
      </c>
      <c r="O103">
        <v>69.400000000000006</v>
      </c>
      <c r="P103" t="s">
        <v>292</v>
      </c>
      <c r="Q103" s="148">
        <v>45525</v>
      </c>
      <c r="R103" s="148">
        <v>0.58597079861111112</v>
      </c>
      <c r="S103">
        <v>76</v>
      </c>
      <c r="T103" t="s">
        <v>293</v>
      </c>
      <c r="U103">
        <v>0</v>
      </c>
      <c r="V103">
        <v>0</v>
      </c>
    </row>
    <row r="104" spans="2:22" x14ac:dyDescent="0.3">
      <c r="B104" s="63">
        <v>2024</v>
      </c>
      <c r="C104" t="s">
        <v>105</v>
      </c>
      <c r="D104">
        <v>419</v>
      </c>
      <c r="E104">
        <v>4</v>
      </c>
      <c r="F104">
        <v>13</v>
      </c>
      <c r="G104" t="s">
        <v>106</v>
      </c>
      <c r="H104">
        <v>4</v>
      </c>
      <c r="I104" s="64" t="s">
        <v>36</v>
      </c>
      <c r="J104" t="s">
        <v>291</v>
      </c>
      <c r="K104">
        <v>4</v>
      </c>
      <c r="L104">
        <v>19</v>
      </c>
      <c r="M104">
        <v>8.2200000000000006</v>
      </c>
      <c r="N104">
        <v>12.5</v>
      </c>
      <c r="O104">
        <v>66.2</v>
      </c>
      <c r="P104" t="s">
        <v>292</v>
      </c>
      <c r="Q104" s="148">
        <v>45525</v>
      </c>
      <c r="R104" s="148">
        <v>0.58638457175925929</v>
      </c>
      <c r="S104">
        <v>77</v>
      </c>
      <c r="T104" t="s">
        <v>293</v>
      </c>
      <c r="U104">
        <v>0</v>
      </c>
      <c r="V104">
        <v>0</v>
      </c>
    </row>
    <row r="105" spans="2:22" x14ac:dyDescent="0.3">
      <c r="B105" s="63">
        <v>2024</v>
      </c>
      <c r="C105" t="s">
        <v>105</v>
      </c>
      <c r="D105">
        <v>420</v>
      </c>
      <c r="E105">
        <v>4</v>
      </c>
      <c r="F105">
        <v>10</v>
      </c>
      <c r="G105" t="s">
        <v>106</v>
      </c>
      <c r="H105">
        <v>1</v>
      </c>
      <c r="I105" s="64" t="s">
        <v>37</v>
      </c>
      <c r="J105" t="s">
        <v>291</v>
      </c>
      <c r="K105">
        <v>4</v>
      </c>
      <c r="L105">
        <v>20</v>
      </c>
      <c r="M105">
        <v>8.2799999999999994</v>
      </c>
      <c r="N105">
        <v>12.2</v>
      </c>
      <c r="O105">
        <v>67.8</v>
      </c>
      <c r="P105" t="s">
        <v>292</v>
      </c>
      <c r="Q105" s="148">
        <v>45525</v>
      </c>
      <c r="R105" s="148">
        <v>0.5898366087962964</v>
      </c>
      <c r="S105">
        <v>84</v>
      </c>
      <c r="T105" t="s">
        <v>293</v>
      </c>
      <c r="U105">
        <v>0</v>
      </c>
      <c r="V105">
        <v>0</v>
      </c>
    </row>
    <row r="106" spans="2:22" x14ac:dyDescent="0.3">
      <c r="B106" s="63">
        <v>2024</v>
      </c>
      <c r="C106" t="s">
        <v>105</v>
      </c>
      <c r="D106">
        <v>421</v>
      </c>
      <c r="E106">
        <v>4</v>
      </c>
      <c r="F106">
        <v>16</v>
      </c>
      <c r="G106" t="s">
        <v>106</v>
      </c>
      <c r="H106">
        <v>7</v>
      </c>
      <c r="I106" s="64" t="s">
        <v>34</v>
      </c>
      <c r="J106" t="s">
        <v>291</v>
      </c>
      <c r="K106">
        <v>4</v>
      </c>
      <c r="L106">
        <v>21</v>
      </c>
      <c r="M106">
        <v>8.3800000000000008</v>
      </c>
      <c r="N106">
        <v>12.8</v>
      </c>
      <c r="O106">
        <v>66.400000000000006</v>
      </c>
      <c r="P106" t="s">
        <v>292</v>
      </c>
      <c r="Q106" s="148">
        <v>45525</v>
      </c>
      <c r="R106" s="148">
        <v>0.59037665509259252</v>
      </c>
      <c r="S106">
        <v>85</v>
      </c>
      <c r="T106" t="s">
        <v>293</v>
      </c>
      <c r="U106">
        <v>0</v>
      </c>
      <c r="V106">
        <v>0</v>
      </c>
    </row>
    <row r="107" spans="2:22" x14ac:dyDescent="0.3">
      <c r="B107" s="63">
        <v>2024</v>
      </c>
      <c r="C107" t="s">
        <v>105</v>
      </c>
      <c r="D107">
        <v>422</v>
      </c>
      <c r="E107">
        <v>4</v>
      </c>
      <c r="F107">
        <v>14</v>
      </c>
      <c r="G107" t="s">
        <v>106</v>
      </c>
      <c r="H107">
        <v>5</v>
      </c>
      <c r="I107" s="64" t="s">
        <v>31</v>
      </c>
      <c r="J107" t="s">
        <v>291</v>
      </c>
      <c r="K107">
        <v>4</v>
      </c>
      <c r="L107">
        <v>22</v>
      </c>
      <c r="M107">
        <v>8.4600000000000009</v>
      </c>
      <c r="N107">
        <v>11.4</v>
      </c>
      <c r="O107">
        <v>66.900000000000006</v>
      </c>
      <c r="P107" t="s">
        <v>292</v>
      </c>
      <c r="Q107" s="148">
        <v>45525</v>
      </c>
      <c r="R107" s="148">
        <v>0.59388035879629619</v>
      </c>
      <c r="S107">
        <v>92</v>
      </c>
      <c r="T107" t="s">
        <v>293</v>
      </c>
      <c r="U107">
        <v>0</v>
      </c>
      <c r="V107">
        <v>0</v>
      </c>
    </row>
    <row r="108" spans="2:22" x14ac:dyDescent="0.3">
      <c r="B108" s="63">
        <v>2024</v>
      </c>
      <c r="C108" t="s">
        <v>105</v>
      </c>
      <c r="D108">
        <v>423</v>
      </c>
      <c r="E108">
        <v>4</v>
      </c>
      <c r="F108">
        <v>15</v>
      </c>
      <c r="G108" t="s">
        <v>106</v>
      </c>
      <c r="H108">
        <v>6</v>
      </c>
      <c r="I108" s="64" t="s">
        <v>35</v>
      </c>
      <c r="J108" t="s">
        <v>291</v>
      </c>
      <c r="K108">
        <v>4</v>
      </c>
      <c r="L108">
        <v>23</v>
      </c>
      <c r="M108">
        <v>8.2100000000000009</v>
      </c>
      <c r="N108">
        <v>11.9</v>
      </c>
      <c r="O108">
        <v>65.5</v>
      </c>
      <c r="P108" t="s">
        <v>292</v>
      </c>
      <c r="Q108" s="148">
        <v>45525</v>
      </c>
      <c r="R108" s="148">
        <v>0.59430243055555554</v>
      </c>
      <c r="S108">
        <v>93</v>
      </c>
      <c r="T108" t="s">
        <v>293</v>
      </c>
      <c r="U108">
        <v>0</v>
      </c>
      <c r="V108">
        <v>0</v>
      </c>
    </row>
    <row r="109" spans="2:22" x14ac:dyDescent="0.3">
      <c r="B109" s="63">
        <v>2024</v>
      </c>
      <c r="C109" t="s">
        <v>105</v>
      </c>
      <c r="D109">
        <v>424</v>
      </c>
      <c r="E109">
        <v>4</v>
      </c>
      <c r="F109">
        <v>12</v>
      </c>
      <c r="G109" t="s">
        <v>106</v>
      </c>
      <c r="H109">
        <v>3</v>
      </c>
      <c r="I109" s="64" t="s">
        <v>39</v>
      </c>
      <c r="J109" t="s">
        <v>291</v>
      </c>
      <c r="K109">
        <v>4</v>
      </c>
      <c r="L109">
        <v>24</v>
      </c>
      <c r="M109">
        <v>8.15</v>
      </c>
      <c r="N109">
        <v>10.7</v>
      </c>
      <c r="O109">
        <v>67.3</v>
      </c>
      <c r="P109" t="s">
        <v>292</v>
      </c>
      <c r="Q109" s="148">
        <v>45525</v>
      </c>
      <c r="R109" s="148">
        <v>0.59804143518518516</v>
      </c>
      <c r="S109">
        <v>100</v>
      </c>
      <c r="T109" t="s">
        <v>293</v>
      </c>
      <c r="U109">
        <v>0</v>
      </c>
      <c r="V109">
        <v>0</v>
      </c>
    </row>
    <row r="110" spans="2:22" x14ac:dyDescent="0.3">
      <c r="B110" s="63">
        <v>2024</v>
      </c>
      <c r="C110" t="s">
        <v>105</v>
      </c>
      <c r="D110">
        <v>425</v>
      </c>
      <c r="E110">
        <v>4</v>
      </c>
      <c r="F110">
        <v>11</v>
      </c>
      <c r="G110" t="s">
        <v>106</v>
      </c>
      <c r="H110">
        <v>2</v>
      </c>
      <c r="I110" s="64" t="s">
        <v>32</v>
      </c>
      <c r="J110" t="s">
        <v>291</v>
      </c>
      <c r="K110">
        <v>4</v>
      </c>
      <c r="L110">
        <v>25</v>
      </c>
      <c r="M110">
        <v>7.96</v>
      </c>
      <c r="N110">
        <v>10</v>
      </c>
      <c r="O110">
        <v>66.599999999999994</v>
      </c>
      <c r="P110" t="s">
        <v>292</v>
      </c>
      <c r="Q110" s="148">
        <v>45525</v>
      </c>
      <c r="R110" s="148">
        <v>0.59887781249999994</v>
      </c>
      <c r="S110">
        <v>101</v>
      </c>
      <c r="T110" t="s">
        <v>293</v>
      </c>
      <c r="U110">
        <v>0</v>
      </c>
      <c r="V110">
        <v>0</v>
      </c>
    </row>
    <row r="111" spans="2:22" x14ac:dyDescent="0.3">
      <c r="B111" s="63">
        <v>2024</v>
      </c>
      <c r="C111" t="s">
        <v>105</v>
      </c>
      <c r="D111">
        <v>426</v>
      </c>
      <c r="E111">
        <v>4</v>
      </c>
      <c r="F111">
        <v>17</v>
      </c>
      <c r="G111" t="s">
        <v>106</v>
      </c>
      <c r="H111">
        <v>8</v>
      </c>
      <c r="I111" s="64" t="s">
        <v>38</v>
      </c>
      <c r="J111" t="s">
        <v>291</v>
      </c>
      <c r="K111">
        <v>4</v>
      </c>
      <c r="L111">
        <v>26</v>
      </c>
      <c r="M111">
        <v>7.55</v>
      </c>
      <c r="N111">
        <v>10.199999999999999</v>
      </c>
      <c r="O111">
        <v>66.8</v>
      </c>
      <c r="P111" t="s">
        <v>292</v>
      </c>
      <c r="Q111" s="148">
        <v>45525</v>
      </c>
      <c r="R111" s="148">
        <v>0.60260216435185188</v>
      </c>
      <c r="S111">
        <v>108</v>
      </c>
      <c r="T111" t="s">
        <v>293</v>
      </c>
      <c r="U111">
        <v>0</v>
      </c>
      <c r="V111">
        <v>0</v>
      </c>
    </row>
    <row r="112" spans="2:22" x14ac:dyDescent="0.3">
      <c r="B112" s="63">
        <v>2024</v>
      </c>
      <c r="C112" t="s">
        <v>105</v>
      </c>
      <c r="D112">
        <v>427</v>
      </c>
      <c r="E112">
        <v>4</v>
      </c>
      <c r="F112">
        <v>18</v>
      </c>
      <c r="G112" t="s">
        <v>106</v>
      </c>
      <c r="H112">
        <v>9</v>
      </c>
      <c r="I112" s="64" t="s">
        <v>33</v>
      </c>
      <c r="J112" t="s">
        <v>291</v>
      </c>
      <c r="K112">
        <v>4</v>
      </c>
      <c r="L112">
        <v>27</v>
      </c>
      <c r="M112">
        <v>8.41</v>
      </c>
      <c r="N112">
        <v>10.1</v>
      </c>
      <c r="O112">
        <v>65.599999999999994</v>
      </c>
      <c r="P112" t="s">
        <v>292</v>
      </c>
      <c r="Q112" s="148">
        <v>45525</v>
      </c>
      <c r="R112" s="148">
        <v>0.60295910879629633</v>
      </c>
      <c r="S112">
        <v>109</v>
      </c>
      <c r="T112" t="s">
        <v>293</v>
      </c>
      <c r="U112">
        <v>0</v>
      </c>
      <c r="V112">
        <v>0</v>
      </c>
    </row>
  </sheetData>
  <pageMargins left="0.75" right="0.75" top="1" bottom="1" header="0.5" footer="0.5"/>
  <pageSetup orientation="portrait" horizontalDpi="4294967292" verticalDpi="4294967292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1AE4-6794-4196-9B93-C61C3881B4A4}">
  <dimension ref="A1:G109"/>
  <sheetViews>
    <sheetView topLeftCell="I1" workbookViewId="0">
      <selection activeCell="J13" sqref="J13"/>
    </sheetView>
  </sheetViews>
  <sheetFormatPr defaultRowHeight="15.6" x14ac:dyDescent="0.3"/>
  <cols>
    <col min="3" max="3" width="10.09765625" customWidth="1"/>
    <col min="5" max="5" width="14" bestFit="1" customWidth="1"/>
    <col min="6" max="6" width="10.5" customWidth="1"/>
    <col min="7" max="7" width="24.69921875" bestFit="1" customWidth="1"/>
  </cols>
  <sheetData>
    <row r="1" spans="1:7" x14ac:dyDescent="0.3">
      <c r="A1" t="s">
        <v>278</v>
      </c>
      <c r="B1" s="9" t="s">
        <v>62</v>
      </c>
      <c r="C1" s="9" t="s">
        <v>63</v>
      </c>
      <c r="D1" s="15" t="s">
        <v>64</v>
      </c>
      <c r="E1" s="16" t="s">
        <v>40</v>
      </c>
      <c r="F1" s="16" t="s">
        <v>66</v>
      </c>
      <c r="G1" s="12" t="s">
        <v>67</v>
      </c>
    </row>
    <row r="2" spans="1:7" x14ac:dyDescent="0.3">
      <c r="A2" t="s">
        <v>118</v>
      </c>
      <c r="B2" s="63">
        <v>2024</v>
      </c>
      <c r="C2" t="s">
        <v>105</v>
      </c>
      <c r="D2">
        <v>101</v>
      </c>
      <c r="E2" t="s">
        <v>295</v>
      </c>
      <c r="F2">
        <v>1</v>
      </c>
      <c r="G2" t="s">
        <v>296</v>
      </c>
    </row>
    <row r="3" spans="1:7" x14ac:dyDescent="0.3">
      <c r="A3" t="s">
        <v>118</v>
      </c>
      <c r="B3" s="63">
        <v>2024</v>
      </c>
      <c r="C3" t="s">
        <v>105</v>
      </c>
      <c r="D3">
        <v>102</v>
      </c>
      <c r="E3" t="s">
        <v>295</v>
      </c>
      <c r="F3">
        <v>2</v>
      </c>
      <c r="G3" t="s">
        <v>297</v>
      </c>
    </row>
    <row r="4" spans="1:7" x14ac:dyDescent="0.3">
      <c r="A4" t="s">
        <v>118</v>
      </c>
      <c r="B4" s="63">
        <v>2024</v>
      </c>
      <c r="C4" t="s">
        <v>105</v>
      </c>
      <c r="D4">
        <v>103</v>
      </c>
      <c r="E4" t="s">
        <v>295</v>
      </c>
      <c r="F4">
        <v>3</v>
      </c>
      <c r="G4" t="s">
        <v>298</v>
      </c>
    </row>
    <row r="5" spans="1:7" x14ac:dyDescent="0.3">
      <c r="A5" t="s">
        <v>118</v>
      </c>
      <c r="B5" s="63">
        <v>2024</v>
      </c>
      <c r="C5" t="s">
        <v>105</v>
      </c>
      <c r="D5">
        <v>104</v>
      </c>
      <c r="E5" t="s">
        <v>295</v>
      </c>
      <c r="F5">
        <v>4</v>
      </c>
      <c r="G5" t="s">
        <v>299</v>
      </c>
    </row>
    <row r="6" spans="1:7" x14ac:dyDescent="0.3">
      <c r="A6" t="s">
        <v>118</v>
      </c>
      <c r="B6" s="63">
        <v>2024</v>
      </c>
      <c r="C6" t="s">
        <v>105</v>
      </c>
      <c r="D6">
        <v>105</v>
      </c>
      <c r="E6" t="s">
        <v>295</v>
      </c>
      <c r="F6">
        <v>5</v>
      </c>
      <c r="G6" t="s">
        <v>300</v>
      </c>
    </row>
    <row r="7" spans="1:7" x14ac:dyDescent="0.3">
      <c r="A7" t="s">
        <v>118</v>
      </c>
      <c r="B7" s="63">
        <v>2024</v>
      </c>
      <c r="C7" t="s">
        <v>105</v>
      </c>
      <c r="D7">
        <v>106</v>
      </c>
      <c r="E7" t="s">
        <v>295</v>
      </c>
      <c r="F7">
        <v>6</v>
      </c>
      <c r="G7" t="s">
        <v>301</v>
      </c>
    </row>
    <row r="8" spans="1:7" x14ac:dyDescent="0.3">
      <c r="A8" t="s">
        <v>118</v>
      </c>
      <c r="B8" s="63">
        <v>2024</v>
      </c>
      <c r="C8" t="s">
        <v>105</v>
      </c>
      <c r="D8">
        <v>107</v>
      </c>
      <c r="E8" t="s">
        <v>295</v>
      </c>
      <c r="F8">
        <v>7</v>
      </c>
      <c r="G8" t="s">
        <v>302</v>
      </c>
    </row>
    <row r="9" spans="1:7" x14ac:dyDescent="0.3">
      <c r="A9" t="s">
        <v>118</v>
      </c>
      <c r="B9" s="63">
        <v>2024</v>
      </c>
      <c r="C9" t="s">
        <v>105</v>
      </c>
      <c r="D9">
        <v>108</v>
      </c>
      <c r="E9" t="s">
        <v>295</v>
      </c>
      <c r="F9">
        <v>8</v>
      </c>
      <c r="G9" t="s">
        <v>303</v>
      </c>
    </row>
    <row r="10" spans="1:7" x14ac:dyDescent="0.3">
      <c r="A10" t="s">
        <v>118</v>
      </c>
      <c r="B10" s="63">
        <v>2024</v>
      </c>
      <c r="C10" t="s">
        <v>105</v>
      </c>
      <c r="D10">
        <v>109</v>
      </c>
      <c r="E10" t="s">
        <v>295</v>
      </c>
      <c r="F10">
        <v>9</v>
      </c>
      <c r="G10" t="s">
        <v>304</v>
      </c>
    </row>
    <row r="11" spans="1:7" x14ac:dyDescent="0.3">
      <c r="A11" t="s">
        <v>118</v>
      </c>
      <c r="B11" s="63">
        <v>2024</v>
      </c>
      <c r="C11" t="s">
        <v>105</v>
      </c>
      <c r="D11">
        <v>110</v>
      </c>
      <c r="E11" t="s">
        <v>305</v>
      </c>
      <c r="F11">
        <v>1</v>
      </c>
      <c r="G11" t="s">
        <v>296</v>
      </c>
    </row>
    <row r="12" spans="1:7" x14ac:dyDescent="0.3">
      <c r="A12" t="s">
        <v>118</v>
      </c>
      <c r="B12" s="63">
        <v>2024</v>
      </c>
      <c r="C12" t="s">
        <v>105</v>
      </c>
      <c r="D12">
        <v>111</v>
      </c>
      <c r="E12" t="s">
        <v>305</v>
      </c>
      <c r="F12">
        <v>2</v>
      </c>
      <c r="G12" t="s">
        <v>297</v>
      </c>
    </row>
    <row r="13" spans="1:7" x14ac:dyDescent="0.3">
      <c r="A13" t="s">
        <v>118</v>
      </c>
      <c r="B13" s="63">
        <v>2024</v>
      </c>
      <c r="C13" t="s">
        <v>105</v>
      </c>
      <c r="D13">
        <v>112</v>
      </c>
      <c r="E13" t="s">
        <v>305</v>
      </c>
      <c r="F13">
        <v>3</v>
      </c>
      <c r="G13" t="s">
        <v>298</v>
      </c>
    </row>
    <row r="14" spans="1:7" x14ac:dyDescent="0.3">
      <c r="A14" t="s">
        <v>118</v>
      </c>
      <c r="B14" s="63">
        <v>2024</v>
      </c>
      <c r="C14" t="s">
        <v>105</v>
      </c>
      <c r="D14">
        <v>113</v>
      </c>
      <c r="E14" t="s">
        <v>305</v>
      </c>
      <c r="F14">
        <v>4</v>
      </c>
      <c r="G14" t="s">
        <v>299</v>
      </c>
    </row>
    <row r="15" spans="1:7" x14ac:dyDescent="0.3">
      <c r="A15" t="s">
        <v>118</v>
      </c>
      <c r="B15" s="63">
        <v>2024</v>
      </c>
      <c r="C15" t="s">
        <v>105</v>
      </c>
      <c r="D15">
        <v>114</v>
      </c>
      <c r="E15" t="s">
        <v>305</v>
      </c>
      <c r="F15">
        <v>5</v>
      </c>
      <c r="G15" t="s">
        <v>300</v>
      </c>
    </row>
    <row r="16" spans="1:7" x14ac:dyDescent="0.3">
      <c r="A16" t="s">
        <v>118</v>
      </c>
      <c r="B16" s="63">
        <v>2024</v>
      </c>
      <c r="C16" t="s">
        <v>105</v>
      </c>
      <c r="D16">
        <v>115</v>
      </c>
      <c r="E16" t="s">
        <v>305</v>
      </c>
      <c r="F16">
        <v>6</v>
      </c>
      <c r="G16" t="s">
        <v>301</v>
      </c>
    </row>
    <row r="17" spans="1:7" x14ac:dyDescent="0.3">
      <c r="A17" t="s">
        <v>118</v>
      </c>
      <c r="B17" s="63">
        <v>2024</v>
      </c>
      <c r="C17" t="s">
        <v>105</v>
      </c>
      <c r="D17">
        <v>116</v>
      </c>
      <c r="E17" t="s">
        <v>305</v>
      </c>
      <c r="F17">
        <v>7</v>
      </c>
      <c r="G17" t="s">
        <v>302</v>
      </c>
    </row>
    <row r="18" spans="1:7" x14ac:dyDescent="0.3">
      <c r="A18" t="s">
        <v>118</v>
      </c>
      <c r="B18" s="63">
        <v>2024</v>
      </c>
      <c r="C18" t="s">
        <v>105</v>
      </c>
      <c r="D18">
        <v>117</v>
      </c>
      <c r="E18" t="s">
        <v>305</v>
      </c>
      <c r="F18">
        <v>8</v>
      </c>
      <c r="G18" t="s">
        <v>303</v>
      </c>
    </row>
    <row r="19" spans="1:7" x14ac:dyDescent="0.3">
      <c r="A19" t="s">
        <v>118</v>
      </c>
      <c r="B19" s="63">
        <v>2024</v>
      </c>
      <c r="C19" t="s">
        <v>105</v>
      </c>
      <c r="D19">
        <v>118</v>
      </c>
      <c r="E19" t="s">
        <v>305</v>
      </c>
      <c r="F19">
        <v>9</v>
      </c>
      <c r="G19" t="s">
        <v>304</v>
      </c>
    </row>
    <row r="20" spans="1:7" x14ac:dyDescent="0.3">
      <c r="A20" t="s">
        <v>118</v>
      </c>
      <c r="B20" s="63">
        <v>2024</v>
      </c>
      <c r="C20" t="s">
        <v>105</v>
      </c>
      <c r="D20">
        <v>119</v>
      </c>
      <c r="E20" t="s">
        <v>41</v>
      </c>
      <c r="F20">
        <v>1</v>
      </c>
      <c r="G20" t="s">
        <v>296</v>
      </c>
    </row>
    <row r="21" spans="1:7" x14ac:dyDescent="0.3">
      <c r="A21" t="s">
        <v>118</v>
      </c>
      <c r="B21" s="63">
        <v>2024</v>
      </c>
      <c r="C21" t="s">
        <v>105</v>
      </c>
      <c r="D21">
        <v>120</v>
      </c>
      <c r="E21" t="s">
        <v>41</v>
      </c>
      <c r="F21">
        <v>2</v>
      </c>
      <c r="G21" t="s">
        <v>297</v>
      </c>
    </row>
    <row r="22" spans="1:7" x14ac:dyDescent="0.3">
      <c r="A22" t="s">
        <v>118</v>
      </c>
      <c r="B22" s="63">
        <v>2024</v>
      </c>
      <c r="C22" t="s">
        <v>105</v>
      </c>
      <c r="D22">
        <v>121</v>
      </c>
      <c r="E22" t="s">
        <v>41</v>
      </c>
      <c r="F22">
        <v>3</v>
      </c>
      <c r="G22" t="s">
        <v>298</v>
      </c>
    </row>
    <row r="23" spans="1:7" x14ac:dyDescent="0.3">
      <c r="A23" t="s">
        <v>118</v>
      </c>
      <c r="B23" s="63">
        <v>2024</v>
      </c>
      <c r="C23" t="s">
        <v>105</v>
      </c>
      <c r="D23">
        <v>122</v>
      </c>
      <c r="E23" t="s">
        <v>41</v>
      </c>
      <c r="F23">
        <v>4</v>
      </c>
      <c r="G23" t="s">
        <v>299</v>
      </c>
    </row>
    <row r="24" spans="1:7" x14ac:dyDescent="0.3">
      <c r="A24" t="s">
        <v>118</v>
      </c>
      <c r="B24" s="63">
        <v>2024</v>
      </c>
      <c r="C24" t="s">
        <v>105</v>
      </c>
      <c r="D24">
        <v>123</v>
      </c>
      <c r="E24" t="s">
        <v>41</v>
      </c>
      <c r="F24">
        <v>5</v>
      </c>
      <c r="G24" t="s">
        <v>300</v>
      </c>
    </row>
    <row r="25" spans="1:7" x14ac:dyDescent="0.3">
      <c r="A25" t="s">
        <v>118</v>
      </c>
      <c r="B25" s="63">
        <v>2024</v>
      </c>
      <c r="C25" t="s">
        <v>105</v>
      </c>
      <c r="D25">
        <v>124</v>
      </c>
      <c r="E25" t="s">
        <v>41</v>
      </c>
      <c r="F25">
        <v>6</v>
      </c>
      <c r="G25" t="s">
        <v>301</v>
      </c>
    </row>
    <row r="26" spans="1:7" x14ac:dyDescent="0.3">
      <c r="A26" t="s">
        <v>118</v>
      </c>
      <c r="B26" s="63">
        <v>2024</v>
      </c>
      <c r="C26" t="s">
        <v>105</v>
      </c>
      <c r="D26">
        <v>125</v>
      </c>
      <c r="E26" t="s">
        <v>41</v>
      </c>
      <c r="F26">
        <v>7</v>
      </c>
      <c r="G26" t="s">
        <v>302</v>
      </c>
    </row>
    <row r="27" spans="1:7" x14ac:dyDescent="0.3">
      <c r="A27" t="s">
        <v>118</v>
      </c>
      <c r="B27" s="63">
        <v>2024</v>
      </c>
      <c r="C27" t="s">
        <v>105</v>
      </c>
      <c r="D27">
        <v>126</v>
      </c>
      <c r="E27" t="s">
        <v>41</v>
      </c>
      <c r="F27">
        <v>8</v>
      </c>
      <c r="G27" t="s">
        <v>303</v>
      </c>
    </row>
    <row r="28" spans="1:7" x14ac:dyDescent="0.3">
      <c r="A28" t="s">
        <v>118</v>
      </c>
      <c r="B28" s="63">
        <v>2024</v>
      </c>
      <c r="C28" t="s">
        <v>105</v>
      </c>
      <c r="D28">
        <v>127</v>
      </c>
      <c r="E28" t="s">
        <v>41</v>
      </c>
      <c r="F28">
        <v>9</v>
      </c>
      <c r="G28" t="s">
        <v>304</v>
      </c>
    </row>
    <row r="29" spans="1:7" x14ac:dyDescent="0.3">
      <c r="A29" t="s">
        <v>118</v>
      </c>
      <c r="B29" s="63">
        <v>2024</v>
      </c>
      <c r="C29" t="s">
        <v>105</v>
      </c>
      <c r="D29">
        <v>201</v>
      </c>
      <c r="E29" t="s">
        <v>41</v>
      </c>
      <c r="F29">
        <v>9</v>
      </c>
      <c r="G29" s="23" t="s">
        <v>304</v>
      </c>
    </row>
    <row r="30" spans="1:7" x14ac:dyDescent="0.3">
      <c r="A30" t="s">
        <v>118</v>
      </c>
      <c r="B30" s="63">
        <v>2024</v>
      </c>
      <c r="C30" t="s">
        <v>105</v>
      </c>
      <c r="D30">
        <v>202</v>
      </c>
      <c r="E30" t="s">
        <v>41</v>
      </c>
      <c r="F30">
        <v>8</v>
      </c>
      <c r="G30" s="23" t="s">
        <v>303</v>
      </c>
    </row>
    <row r="31" spans="1:7" x14ac:dyDescent="0.3">
      <c r="A31" t="s">
        <v>118</v>
      </c>
      <c r="B31" s="63">
        <v>2024</v>
      </c>
      <c r="C31" t="s">
        <v>105</v>
      </c>
      <c r="D31">
        <v>203</v>
      </c>
      <c r="E31" t="s">
        <v>41</v>
      </c>
      <c r="F31">
        <v>6</v>
      </c>
      <c r="G31" s="23" t="s">
        <v>301</v>
      </c>
    </row>
    <row r="32" spans="1:7" x14ac:dyDescent="0.3">
      <c r="A32" t="s">
        <v>118</v>
      </c>
      <c r="B32" s="63">
        <v>2024</v>
      </c>
      <c r="C32" t="s">
        <v>105</v>
      </c>
      <c r="D32">
        <v>204</v>
      </c>
      <c r="E32" t="s">
        <v>41</v>
      </c>
      <c r="F32">
        <v>4</v>
      </c>
      <c r="G32" s="23" t="s">
        <v>299</v>
      </c>
    </row>
    <row r="33" spans="1:7" x14ac:dyDescent="0.3">
      <c r="A33" t="s">
        <v>118</v>
      </c>
      <c r="B33" s="63">
        <v>2024</v>
      </c>
      <c r="C33" t="s">
        <v>105</v>
      </c>
      <c r="D33">
        <v>205</v>
      </c>
      <c r="E33" t="s">
        <v>41</v>
      </c>
      <c r="F33">
        <v>1</v>
      </c>
      <c r="G33" s="23" t="s">
        <v>296</v>
      </c>
    </row>
    <row r="34" spans="1:7" x14ac:dyDescent="0.3">
      <c r="A34" t="s">
        <v>118</v>
      </c>
      <c r="B34" s="63">
        <v>2024</v>
      </c>
      <c r="C34" t="s">
        <v>105</v>
      </c>
      <c r="D34">
        <v>206</v>
      </c>
      <c r="E34" t="s">
        <v>41</v>
      </c>
      <c r="F34">
        <v>7</v>
      </c>
      <c r="G34" s="23" t="s">
        <v>302</v>
      </c>
    </row>
    <row r="35" spans="1:7" x14ac:dyDescent="0.3">
      <c r="A35" t="s">
        <v>118</v>
      </c>
      <c r="B35" s="63">
        <v>2024</v>
      </c>
      <c r="C35" t="s">
        <v>105</v>
      </c>
      <c r="D35">
        <v>207</v>
      </c>
      <c r="E35" t="s">
        <v>41</v>
      </c>
      <c r="F35">
        <v>5</v>
      </c>
      <c r="G35" s="23" t="s">
        <v>300</v>
      </c>
    </row>
    <row r="36" spans="1:7" x14ac:dyDescent="0.3">
      <c r="A36" t="s">
        <v>118</v>
      </c>
      <c r="B36" s="63">
        <v>2024</v>
      </c>
      <c r="C36" t="s">
        <v>105</v>
      </c>
      <c r="D36">
        <v>208</v>
      </c>
      <c r="E36" t="s">
        <v>41</v>
      </c>
      <c r="F36">
        <v>3</v>
      </c>
      <c r="G36" s="23" t="s">
        <v>298</v>
      </c>
    </row>
    <row r="37" spans="1:7" x14ac:dyDescent="0.3">
      <c r="A37" t="s">
        <v>118</v>
      </c>
      <c r="B37" s="63">
        <v>2024</v>
      </c>
      <c r="C37" t="s">
        <v>105</v>
      </c>
      <c r="D37">
        <v>209</v>
      </c>
      <c r="E37" t="s">
        <v>41</v>
      </c>
      <c r="F37">
        <v>2</v>
      </c>
      <c r="G37" s="23" t="s">
        <v>297</v>
      </c>
    </row>
    <row r="38" spans="1:7" x14ac:dyDescent="0.3">
      <c r="A38" t="s">
        <v>118</v>
      </c>
      <c r="B38" s="63">
        <v>2024</v>
      </c>
      <c r="C38" t="s">
        <v>105</v>
      </c>
      <c r="D38">
        <v>210</v>
      </c>
      <c r="E38" t="s">
        <v>295</v>
      </c>
      <c r="F38">
        <v>8</v>
      </c>
      <c r="G38" s="23" t="s">
        <v>303</v>
      </c>
    </row>
    <row r="39" spans="1:7" x14ac:dyDescent="0.3">
      <c r="A39" t="s">
        <v>118</v>
      </c>
      <c r="B39" s="63">
        <v>2024</v>
      </c>
      <c r="C39" t="s">
        <v>105</v>
      </c>
      <c r="D39">
        <v>211</v>
      </c>
      <c r="E39" t="s">
        <v>295</v>
      </c>
      <c r="F39">
        <v>1</v>
      </c>
      <c r="G39" s="23" t="s">
        <v>296</v>
      </c>
    </row>
    <row r="40" spans="1:7" x14ac:dyDescent="0.3">
      <c r="A40" t="s">
        <v>118</v>
      </c>
      <c r="B40" s="63">
        <v>2024</v>
      </c>
      <c r="C40" t="s">
        <v>105</v>
      </c>
      <c r="D40">
        <v>212</v>
      </c>
      <c r="E40" t="s">
        <v>295</v>
      </c>
      <c r="F40">
        <v>2</v>
      </c>
      <c r="G40" s="23" t="s">
        <v>297</v>
      </c>
    </row>
    <row r="41" spans="1:7" x14ac:dyDescent="0.3">
      <c r="A41" t="s">
        <v>118</v>
      </c>
      <c r="B41" s="63">
        <v>2024</v>
      </c>
      <c r="C41" t="s">
        <v>105</v>
      </c>
      <c r="D41">
        <v>213</v>
      </c>
      <c r="E41" t="s">
        <v>295</v>
      </c>
      <c r="F41">
        <v>6</v>
      </c>
      <c r="G41" s="23" t="s">
        <v>301</v>
      </c>
    </row>
    <row r="42" spans="1:7" x14ac:dyDescent="0.3">
      <c r="A42" t="s">
        <v>118</v>
      </c>
      <c r="B42" s="63">
        <v>2024</v>
      </c>
      <c r="C42" t="s">
        <v>105</v>
      </c>
      <c r="D42">
        <v>214</v>
      </c>
      <c r="E42" t="s">
        <v>295</v>
      </c>
      <c r="F42">
        <v>9</v>
      </c>
      <c r="G42" s="23" t="s">
        <v>304</v>
      </c>
    </row>
    <row r="43" spans="1:7" x14ac:dyDescent="0.3">
      <c r="A43" t="s">
        <v>118</v>
      </c>
      <c r="B43" s="63">
        <v>2024</v>
      </c>
      <c r="C43" t="s">
        <v>105</v>
      </c>
      <c r="D43">
        <v>215</v>
      </c>
      <c r="E43" t="s">
        <v>295</v>
      </c>
      <c r="F43">
        <v>4</v>
      </c>
      <c r="G43" s="23" t="s">
        <v>299</v>
      </c>
    </row>
    <row r="44" spans="1:7" x14ac:dyDescent="0.3">
      <c r="A44" t="s">
        <v>118</v>
      </c>
      <c r="B44" s="63">
        <v>2024</v>
      </c>
      <c r="C44" t="s">
        <v>105</v>
      </c>
      <c r="D44">
        <v>216</v>
      </c>
      <c r="E44" t="s">
        <v>295</v>
      </c>
      <c r="F44">
        <v>5</v>
      </c>
      <c r="G44" s="23" t="s">
        <v>300</v>
      </c>
    </row>
    <row r="45" spans="1:7" x14ac:dyDescent="0.3">
      <c r="A45" t="s">
        <v>118</v>
      </c>
      <c r="B45" s="63">
        <v>2024</v>
      </c>
      <c r="C45" t="s">
        <v>105</v>
      </c>
      <c r="D45">
        <v>217</v>
      </c>
      <c r="E45" t="s">
        <v>295</v>
      </c>
      <c r="F45">
        <v>3</v>
      </c>
      <c r="G45" s="23" t="s">
        <v>298</v>
      </c>
    </row>
    <row r="46" spans="1:7" x14ac:dyDescent="0.3">
      <c r="A46" t="s">
        <v>118</v>
      </c>
      <c r="B46" s="63">
        <v>2024</v>
      </c>
      <c r="C46" t="s">
        <v>105</v>
      </c>
      <c r="D46">
        <v>218</v>
      </c>
      <c r="E46" t="s">
        <v>295</v>
      </c>
      <c r="F46">
        <v>7</v>
      </c>
      <c r="G46" s="23" t="s">
        <v>302</v>
      </c>
    </row>
    <row r="47" spans="1:7" x14ac:dyDescent="0.3">
      <c r="A47" t="s">
        <v>118</v>
      </c>
      <c r="B47" s="63">
        <v>2024</v>
      </c>
      <c r="C47" t="s">
        <v>105</v>
      </c>
      <c r="D47">
        <v>219</v>
      </c>
      <c r="E47" t="s">
        <v>305</v>
      </c>
      <c r="F47">
        <v>3</v>
      </c>
      <c r="G47" s="23" t="s">
        <v>298</v>
      </c>
    </row>
    <row r="48" spans="1:7" x14ac:dyDescent="0.3">
      <c r="A48" t="s">
        <v>118</v>
      </c>
      <c r="B48" s="63">
        <v>2024</v>
      </c>
      <c r="C48" t="s">
        <v>105</v>
      </c>
      <c r="D48">
        <v>220</v>
      </c>
      <c r="E48" t="s">
        <v>305</v>
      </c>
      <c r="F48">
        <v>2</v>
      </c>
      <c r="G48" s="23" t="s">
        <v>297</v>
      </c>
    </row>
    <row r="49" spans="1:7" x14ac:dyDescent="0.3">
      <c r="A49" t="s">
        <v>118</v>
      </c>
      <c r="B49" s="63">
        <v>2024</v>
      </c>
      <c r="C49" t="s">
        <v>105</v>
      </c>
      <c r="D49">
        <v>221</v>
      </c>
      <c r="E49" t="s">
        <v>305</v>
      </c>
      <c r="F49">
        <v>9</v>
      </c>
      <c r="G49" s="23" t="s">
        <v>304</v>
      </c>
    </row>
    <row r="50" spans="1:7" x14ac:dyDescent="0.3">
      <c r="A50" t="s">
        <v>118</v>
      </c>
      <c r="B50" s="63">
        <v>2024</v>
      </c>
      <c r="C50" t="s">
        <v>105</v>
      </c>
      <c r="D50">
        <v>222</v>
      </c>
      <c r="E50" t="s">
        <v>305</v>
      </c>
      <c r="F50">
        <v>4</v>
      </c>
      <c r="G50" s="23" t="s">
        <v>299</v>
      </c>
    </row>
    <row r="51" spans="1:7" x14ac:dyDescent="0.3">
      <c r="A51" t="s">
        <v>118</v>
      </c>
      <c r="B51" s="63">
        <v>2024</v>
      </c>
      <c r="C51" t="s">
        <v>105</v>
      </c>
      <c r="D51">
        <v>223</v>
      </c>
      <c r="E51" t="s">
        <v>305</v>
      </c>
      <c r="F51">
        <v>5</v>
      </c>
      <c r="G51" s="23" t="s">
        <v>300</v>
      </c>
    </row>
    <row r="52" spans="1:7" x14ac:dyDescent="0.3">
      <c r="A52" t="s">
        <v>118</v>
      </c>
      <c r="B52" s="63">
        <v>2024</v>
      </c>
      <c r="C52" t="s">
        <v>105</v>
      </c>
      <c r="D52">
        <v>224</v>
      </c>
      <c r="E52" t="s">
        <v>305</v>
      </c>
      <c r="F52">
        <v>7</v>
      </c>
      <c r="G52" s="23" t="s">
        <v>302</v>
      </c>
    </row>
    <row r="53" spans="1:7" x14ac:dyDescent="0.3">
      <c r="A53" t="s">
        <v>118</v>
      </c>
      <c r="B53" s="63">
        <v>2024</v>
      </c>
      <c r="C53" t="s">
        <v>105</v>
      </c>
      <c r="D53">
        <v>225</v>
      </c>
      <c r="E53" t="s">
        <v>305</v>
      </c>
      <c r="F53">
        <v>6</v>
      </c>
      <c r="G53" s="23" t="s">
        <v>301</v>
      </c>
    </row>
    <row r="54" spans="1:7" x14ac:dyDescent="0.3">
      <c r="A54" t="s">
        <v>118</v>
      </c>
      <c r="B54" s="63">
        <v>2024</v>
      </c>
      <c r="C54" t="s">
        <v>105</v>
      </c>
      <c r="D54">
        <v>226</v>
      </c>
      <c r="E54" t="s">
        <v>305</v>
      </c>
      <c r="F54">
        <v>1</v>
      </c>
      <c r="G54" s="23" t="s">
        <v>296</v>
      </c>
    </row>
    <row r="55" spans="1:7" x14ac:dyDescent="0.3">
      <c r="A55" t="s">
        <v>118</v>
      </c>
      <c r="B55" s="63">
        <v>2024</v>
      </c>
      <c r="C55" t="s">
        <v>105</v>
      </c>
      <c r="D55">
        <v>227</v>
      </c>
      <c r="E55" t="s">
        <v>305</v>
      </c>
      <c r="F55">
        <v>8</v>
      </c>
      <c r="G55" s="23" t="s">
        <v>303</v>
      </c>
    </row>
    <row r="56" spans="1:7" x14ac:dyDescent="0.3">
      <c r="A56" t="s">
        <v>118</v>
      </c>
      <c r="B56" s="63">
        <v>2024</v>
      </c>
      <c r="C56" t="s">
        <v>105</v>
      </c>
      <c r="D56">
        <v>301</v>
      </c>
      <c r="E56" t="s">
        <v>305</v>
      </c>
      <c r="F56">
        <v>2</v>
      </c>
      <c r="G56" s="23" t="s">
        <v>297</v>
      </c>
    </row>
    <row r="57" spans="1:7" x14ac:dyDescent="0.3">
      <c r="A57" t="s">
        <v>118</v>
      </c>
      <c r="B57" s="63">
        <v>2024</v>
      </c>
      <c r="C57" t="s">
        <v>105</v>
      </c>
      <c r="D57">
        <v>302</v>
      </c>
      <c r="E57" t="s">
        <v>305</v>
      </c>
      <c r="F57">
        <v>6</v>
      </c>
      <c r="G57" s="23" t="s">
        <v>301</v>
      </c>
    </row>
    <row r="58" spans="1:7" x14ac:dyDescent="0.3">
      <c r="A58" t="s">
        <v>118</v>
      </c>
      <c r="B58" s="63">
        <v>2024</v>
      </c>
      <c r="C58" t="s">
        <v>105</v>
      </c>
      <c r="D58">
        <v>303</v>
      </c>
      <c r="E58" t="s">
        <v>305</v>
      </c>
      <c r="F58">
        <v>9</v>
      </c>
      <c r="G58" s="23" t="s">
        <v>304</v>
      </c>
    </row>
    <row r="59" spans="1:7" x14ac:dyDescent="0.3">
      <c r="A59" t="s">
        <v>118</v>
      </c>
      <c r="B59" s="63">
        <v>2024</v>
      </c>
      <c r="C59" t="s">
        <v>105</v>
      </c>
      <c r="D59">
        <v>304</v>
      </c>
      <c r="E59" t="s">
        <v>305</v>
      </c>
      <c r="F59">
        <v>5</v>
      </c>
      <c r="G59" s="23" t="s">
        <v>300</v>
      </c>
    </row>
    <row r="60" spans="1:7" x14ac:dyDescent="0.3">
      <c r="A60" t="s">
        <v>118</v>
      </c>
      <c r="B60" s="63">
        <v>2024</v>
      </c>
      <c r="C60" t="s">
        <v>105</v>
      </c>
      <c r="D60">
        <v>305</v>
      </c>
      <c r="E60" t="s">
        <v>305</v>
      </c>
      <c r="F60">
        <v>1</v>
      </c>
      <c r="G60" s="23" t="s">
        <v>296</v>
      </c>
    </row>
    <row r="61" spans="1:7" x14ac:dyDescent="0.3">
      <c r="A61" t="s">
        <v>118</v>
      </c>
      <c r="B61" s="63">
        <v>2024</v>
      </c>
      <c r="C61" t="s">
        <v>105</v>
      </c>
      <c r="D61">
        <v>306</v>
      </c>
      <c r="E61" t="s">
        <v>305</v>
      </c>
      <c r="F61">
        <v>4</v>
      </c>
      <c r="G61" s="23" t="s">
        <v>299</v>
      </c>
    </row>
    <row r="62" spans="1:7" x14ac:dyDescent="0.3">
      <c r="A62" t="s">
        <v>118</v>
      </c>
      <c r="B62" s="63">
        <v>2024</v>
      </c>
      <c r="C62" t="s">
        <v>105</v>
      </c>
      <c r="D62">
        <v>307</v>
      </c>
      <c r="E62" t="s">
        <v>305</v>
      </c>
      <c r="F62">
        <v>7</v>
      </c>
      <c r="G62" s="23" t="s">
        <v>302</v>
      </c>
    </row>
    <row r="63" spans="1:7" x14ac:dyDescent="0.3">
      <c r="A63" t="s">
        <v>118</v>
      </c>
      <c r="B63" s="63">
        <v>2024</v>
      </c>
      <c r="C63" t="s">
        <v>105</v>
      </c>
      <c r="D63">
        <v>308</v>
      </c>
      <c r="E63" t="s">
        <v>305</v>
      </c>
      <c r="F63">
        <v>8</v>
      </c>
      <c r="G63" s="23" t="s">
        <v>303</v>
      </c>
    </row>
    <row r="64" spans="1:7" x14ac:dyDescent="0.3">
      <c r="A64" t="s">
        <v>118</v>
      </c>
      <c r="B64" s="63">
        <v>2024</v>
      </c>
      <c r="C64" t="s">
        <v>105</v>
      </c>
      <c r="D64">
        <v>309</v>
      </c>
      <c r="E64" t="s">
        <v>305</v>
      </c>
      <c r="F64">
        <v>3</v>
      </c>
      <c r="G64" s="23" t="s">
        <v>298</v>
      </c>
    </row>
    <row r="65" spans="1:7" x14ac:dyDescent="0.3">
      <c r="A65" t="s">
        <v>118</v>
      </c>
      <c r="B65" s="63">
        <v>2024</v>
      </c>
      <c r="C65" t="s">
        <v>105</v>
      </c>
      <c r="D65">
        <v>310</v>
      </c>
      <c r="E65" t="s">
        <v>41</v>
      </c>
      <c r="F65">
        <v>8</v>
      </c>
      <c r="G65" s="23" t="s">
        <v>303</v>
      </c>
    </row>
    <row r="66" spans="1:7" x14ac:dyDescent="0.3">
      <c r="A66" t="s">
        <v>118</v>
      </c>
      <c r="B66" s="63">
        <v>2024</v>
      </c>
      <c r="C66" t="s">
        <v>105</v>
      </c>
      <c r="D66">
        <v>311</v>
      </c>
      <c r="E66" t="s">
        <v>41</v>
      </c>
      <c r="F66">
        <v>1</v>
      </c>
      <c r="G66" s="23" t="s">
        <v>296</v>
      </c>
    </row>
    <row r="67" spans="1:7" x14ac:dyDescent="0.3">
      <c r="A67" t="s">
        <v>118</v>
      </c>
      <c r="B67" s="63">
        <v>2024</v>
      </c>
      <c r="C67" t="s">
        <v>105</v>
      </c>
      <c r="D67">
        <v>312</v>
      </c>
      <c r="E67" t="s">
        <v>41</v>
      </c>
      <c r="F67">
        <v>7</v>
      </c>
      <c r="G67" s="23" t="s">
        <v>302</v>
      </c>
    </row>
    <row r="68" spans="1:7" x14ac:dyDescent="0.3">
      <c r="A68" t="s">
        <v>118</v>
      </c>
      <c r="B68" s="63">
        <v>2024</v>
      </c>
      <c r="C68" t="s">
        <v>105</v>
      </c>
      <c r="D68">
        <v>313</v>
      </c>
      <c r="E68" t="s">
        <v>41</v>
      </c>
      <c r="F68">
        <v>9</v>
      </c>
      <c r="G68" s="23" t="s">
        <v>304</v>
      </c>
    </row>
    <row r="69" spans="1:7" x14ac:dyDescent="0.3">
      <c r="A69" t="s">
        <v>118</v>
      </c>
      <c r="B69" s="63">
        <v>2024</v>
      </c>
      <c r="C69" t="s">
        <v>105</v>
      </c>
      <c r="D69">
        <v>314</v>
      </c>
      <c r="E69" t="s">
        <v>41</v>
      </c>
      <c r="F69">
        <v>2</v>
      </c>
      <c r="G69" s="23" t="s">
        <v>297</v>
      </c>
    </row>
    <row r="70" spans="1:7" x14ac:dyDescent="0.3">
      <c r="A70" t="s">
        <v>118</v>
      </c>
      <c r="B70" s="63">
        <v>2024</v>
      </c>
      <c r="C70" t="s">
        <v>105</v>
      </c>
      <c r="D70">
        <v>315</v>
      </c>
      <c r="E70" t="s">
        <v>41</v>
      </c>
      <c r="F70">
        <v>6</v>
      </c>
      <c r="G70" s="23" t="s">
        <v>301</v>
      </c>
    </row>
    <row r="71" spans="1:7" x14ac:dyDescent="0.3">
      <c r="A71" t="s">
        <v>118</v>
      </c>
      <c r="B71" s="63">
        <v>2024</v>
      </c>
      <c r="C71" t="s">
        <v>105</v>
      </c>
      <c r="D71">
        <v>316</v>
      </c>
      <c r="E71" t="s">
        <v>41</v>
      </c>
      <c r="F71">
        <v>3</v>
      </c>
      <c r="G71" s="23" t="s">
        <v>298</v>
      </c>
    </row>
    <row r="72" spans="1:7" x14ac:dyDescent="0.3">
      <c r="A72" t="s">
        <v>118</v>
      </c>
      <c r="B72" s="63">
        <v>2024</v>
      </c>
      <c r="C72" t="s">
        <v>105</v>
      </c>
      <c r="D72">
        <v>317</v>
      </c>
      <c r="E72" t="s">
        <v>41</v>
      </c>
      <c r="F72">
        <v>4</v>
      </c>
      <c r="G72" s="23" t="s">
        <v>299</v>
      </c>
    </row>
    <row r="73" spans="1:7" x14ac:dyDescent="0.3">
      <c r="A73" t="s">
        <v>118</v>
      </c>
      <c r="B73" s="63">
        <v>2024</v>
      </c>
      <c r="C73" t="s">
        <v>105</v>
      </c>
      <c r="D73">
        <v>318</v>
      </c>
      <c r="E73" t="s">
        <v>41</v>
      </c>
      <c r="F73">
        <v>5</v>
      </c>
      <c r="G73" s="23" t="s">
        <v>300</v>
      </c>
    </row>
    <row r="74" spans="1:7" x14ac:dyDescent="0.3">
      <c r="A74" t="s">
        <v>118</v>
      </c>
      <c r="B74" s="63">
        <v>2024</v>
      </c>
      <c r="C74" t="s">
        <v>105</v>
      </c>
      <c r="D74">
        <v>319</v>
      </c>
      <c r="E74" t="s">
        <v>295</v>
      </c>
      <c r="F74">
        <v>6</v>
      </c>
      <c r="G74" s="23" t="s">
        <v>301</v>
      </c>
    </row>
    <row r="75" spans="1:7" x14ac:dyDescent="0.3">
      <c r="A75" t="s">
        <v>118</v>
      </c>
      <c r="B75" s="63">
        <v>2024</v>
      </c>
      <c r="C75" t="s">
        <v>105</v>
      </c>
      <c r="D75">
        <v>320</v>
      </c>
      <c r="E75" t="s">
        <v>295</v>
      </c>
      <c r="F75">
        <v>4</v>
      </c>
      <c r="G75" s="23" t="s">
        <v>299</v>
      </c>
    </row>
    <row r="76" spans="1:7" x14ac:dyDescent="0.3">
      <c r="A76" t="s">
        <v>118</v>
      </c>
      <c r="B76" s="63">
        <v>2024</v>
      </c>
      <c r="C76" t="s">
        <v>105</v>
      </c>
      <c r="D76">
        <v>321</v>
      </c>
      <c r="E76" t="s">
        <v>295</v>
      </c>
      <c r="F76">
        <v>9</v>
      </c>
      <c r="G76" s="23" t="s">
        <v>304</v>
      </c>
    </row>
    <row r="77" spans="1:7" x14ac:dyDescent="0.3">
      <c r="A77" t="s">
        <v>118</v>
      </c>
      <c r="B77" s="63">
        <v>2024</v>
      </c>
      <c r="C77" t="s">
        <v>105</v>
      </c>
      <c r="D77">
        <v>322</v>
      </c>
      <c r="E77" t="s">
        <v>295</v>
      </c>
      <c r="F77">
        <v>3</v>
      </c>
      <c r="G77" s="23" t="s">
        <v>298</v>
      </c>
    </row>
    <row r="78" spans="1:7" x14ac:dyDescent="0.3">
      <c r="A78" t="s">
        <v>118</v>
      </c>
      <c r="B78" s="63">
        <v>2024</v>
      </c>
      <c r="C78" t="s">
        <v>105</v>
      </c>
      <c r="D78">
        <v>323</v>
      </c>
      <c r="E78" t="s">
        <v>295</v>
      </c>
      <c r="F78">
        <v>5</v>
      </c>
      <c r="G78" s="23" t="s">
        <v>300</v>
      </c>
    </row>
    <row r="79" spans="1:7" x14ac:dyDescent="0.3">
      <c r="A79" t="s">
        <v>118</v>
      </c>
      <c r="B79" s="63">
        <v>2024</v>
      </c>
      <c r="C79" t="s">
        <v>105</v>
      </c>
      <c r="D79">
        <v>324</v>
      </c>
      <c r="E79" t="s">
        <v>295</v>
      </c>
      <c r="F79">
        <v>1</v>
      </c>
      <c r="G79" s="23" t="s">
        <v>296</v>
      </c>
    </row>
    <row r="80" spans="1:7" x14ac:dyDescent="0.3">
      <c r="A80" t="s">
        <v>118</v>
      </c>
      <c r="B80" s="63">
        <v>2024</v>
      </c>
      <c r="C80" t="s">
        <v>105</v>
      </c>
      <c r="D80">
        <v>325</v>
      </c>
      <c r="E80" t="s">
        <v>295</v>
      </c>
      <c r="F80">
        <v>7</v>
      </c>
      <c r="G80" s="23" t="s">
        <v>302</v>
      </c>
    </row>
    <row r="81" spans="1:7" x14ac:dyDescent="0.3">
      <c r="A81" t="s">
        <v>118</v>
      </c>
      <c r="B81" s="63">
        <v>2024</v>
      </c>
      <c r="C81" t="s">
        <v>105</v>
      </c>
      <c r="D81">
        <v>326</v>
      </c>
      <c r="E81" t="s">
        <v>295</v>
      </c>
      <c r="F81">
        <v>2</v>
      </c>
      <c r="G81" s="23" t="s">
        <v>297</v>
      </c>
    </row>
    <row r="82" spans="1:7" x14ac:dyDescent="0.3">
      <c r="A82" t="s">
        <v>118</v>
      </c>
      <c r="B82" s="63">
        <v>2024</v>
      </c>
      <c r="C82" t="s">
        <v>105</v>
      </c>
      <c r="D82">
        <v>327</v>
      </c>
      <c r="E82" t="s">
        <v>295</v>
      </c>
      <c r="F82">
        <v>8</v>
      </c>
      <c r="G82" s="23" t="s">
        <v>303</v>
      </c>
    </row>
    <row r="83" spans="1:7" x14ac:dyDescent="0.3">
      <c r="A83" t="s">
        <v>118</v>
      </c>
      <c r="B83" s="63">
        <v>2024</v>
      </c>
      <c r="C83" t="s">
        <v>105</v>
      </c>
      <c r="D83">
        <v>401</v>
      </c>
      <c r="E83" t="s">
        <v>41</v>
      </c>
      <c r="F83">
        <v>5</v>
      </c>
      <c r="G83" s="64" t="s">
        <v>300</v>
      </c>
    </row>
    <row r="84" spans="1:7" x14ac:dyDescent="0.3">
      <c r="A84" t="s">
        <v>118</v>
      </c>
      <c r="B84" s="63">
        <v>2024</v>
      </c>
      <c r="C84" t="s">
        <v>105</v>
      </c>
      <c r="D84">
        <v>402</v>
      </c>
      <c r="E84" t="s">
        <v>41</v>
      </c>
      <c r="F84">
        <v>2</v>
      </c>
      <c r="G84" s="64" t="s">
        <v>297</v>
      </c>
    </row>
    <row r="85" spans="1:7" x14ac:dyDescent="0.3">
      <c r="A85" t="s">
        <v>118</v>
      </c>
      <c r="B85" s="63">
        <v>2024</v>
      </c>
      <c r="C85" t="s">
        <v>105</v>
      </c>
      <c r="D85">
        <v>403</v>
      </c>
      <c r="E85" t="s">
        <v>41</v>
      </c>
      <c r="F85">
        <v>9</v>
      </c>
      <c r="G85" s="64" t="s">
        <v>304</v>
      </c>
    </row>
    <row r="86" spans="1:7" x14ac:dyDescent="0.3">
      <c r="A86" t="s">
        <v>118</v>
      </c>
      <c r="B86" s="63">
        <v>2024</v>
      </c>
      <c r="C86" t="s">
        <v>105</v>
      </c>
      <c r="D86">
        <v>404</v>
      </c>
      <c r="E86" t="s">
        <v>41</v>
      </c>
      <c r="F86">
        <v>7</v>
      </c>
      <c r="G86" s="64" t="s">
        <v>302</v>
      </c>
    </row>
    <row r="87" spans="1:7" x14ac:dyDescent="0.3">
      <c r="A87" t="s">
        <v>118</v>
      </c>
      <c r="B87" s="63">
        <v>2024</v>
      </c>
      <c r="C87" t="s">
        <v>105</v>
      </c>
      <c r="D87">
        <v>405</v>
      </c>
      <c r="E87" t="s">
        <v>41</v>
      </c>
      <c r="F87">
        <v>6</v>
      </c>
      <c r="G87" s="64" t="s">
        <v>301</v>
      </c>
    </row>
    <row r="88" spans="1:7" x14ac:dyDescent="0.3">
      <c r="A88" t="s">
        <v>118</v>
      </c>
      <c r="B88" s="63">
        <v>2024</v>
      </c>
      <c r="C88" t="s">
        <v>105</v>
      </c>
      <c r="D88">
        <v>406</v>
      </c>
      <c r="E88" t="s">
        <v>41</v>
      </c>
      <c r="F88">
        <v>4</v>
      </c>
      <c r="G88" s="64" t="s">
        <v>299</v>
      </c>
    </row>
    <row r="89" spans="1:7" x14ac:dyDescent="0.3">
      <c r="A89" t="s">
        <v>118</v>
      </c>
      <c r="B89" s="63">
        <v>2024</v>
      </c>
      <c r="C89" t="s">
        <v>105</v>
      </c>
      <c r="D89">
        <v>407</v>
      </c>
      <c r="E89" t="s">
        <v>41</v>
      </c>
      <c r="F89">
        <v>1</v>
      </c>
      <c r="G89" s="64" t="s">
        <v>296</v>
      </c>
    </row>
    <row r="90" spans="1:7" x14ac:dyDescent="0.3">
      <c r="A90" t="s">
        <v>118</v>
      </c>
      <c r="B90" s="63">
        <v>2024</v>
      </c>
      <c r="C90" t="s">
        <v>105</v>
      </c>
      <c r="D90">
        <v>408</v>
      </c>
      <c r="E90" t="s">
        <v>41</v>
      </c>
      <c r="F90">
        <v>8</v>
      </c>
      <c r="G90" s="64" t="s">
        <v>303</v>
      </c>
    </row>
    <row r="91" spans="1:7" x14ac:dyDescent="0.3">
      <c r="A91" t="s">
        <v>118</v>
      </c>
      <c r="B91" s="63">
        <v>2024</v>
      </c>
      <c r="C91" t="s">
        <v>105</v>
      </c>
      <c r="D91">
        <v>409</v>
      </c>
      <c r="E91" t="s">
        <v>41</v>
      </c>
      <c r="F91">
        <v>3</v>
      </c>
      <c r="G91" s="64" t="s">
        <v>298</v>
      </c>
    </row>
    <row r="92" spans="1:7" x14ac:dyDescent="0.3">
      <c r="A92" t="s">
        <v>118</v>
      </c>
      <c r="B92" s="63">
        <v>2024</v>
      </c>
      <c r="C92" t="s">
        <v>105</v>
      </c>
      <c r="D92">
        <v>410</v>
      </c>
      <c r="E92" t="s">
        <v>295</v>
      </c>
      <c r="F92">
        <v>7</v>
      </c>
      <c r="G92" s="64" t="s">
        <v>302</v>
      </c>
    </row>
    <row r="93" spans="1:7" x14ac:dyDescent="0.3">
      <c r="A93" t="s">
        <v>118</v>
      </c>
      <c r="B93" s="63">
        <v>2024</v>
      </c>
      <c r="C93" t="s">
        <v>105</v>
      </c>
      <c r="D93">
        <v>411</v>
      </c>
      <c r="E93" t="s">
        <v>295</v>
      </c>
      <c r="F93">
        <v>9</v>
      </c>
      <c r="G93" s="64" t="s">
        <v>304</v>
      </c>
    </row>
    <row r="94" spans="1:7" x14ac:dyDescent="0.3">
      <c r="A94" t="s">
        <v>118</v>
      </c>
      <c r="B94" s="63">
        <v>2024</v>
      </c>
      <c r="C94" t="s">
        <v>105</v>
      </c>
      <c r="D94">
        <v>412</v>
      </c>
      <c r="E94" t="s">
        <v>295</v>
      </c>
      <c r="F94">
        <v>6</v>
      </c>
      <c r="G94" s="64" t="s">
        <v>301</v>
      </c>
    </row>
    <row r="95" spans="1:7" x14ac:dyDescent="0.3">
      <c r="A95" t="s">
        <v>118</v>
      </c>
      <c r="B95" s="63">
        <v>2024</v>
      </c>
      <c r="C95" t="s">
        <v>105</v>
      </c>
      <c r="D95">
        <v>413</v>
      </c>
      <c r="E95" t="s">
        <v>295</v>
      </c>
      <c r="F95">
        <v>4</v>
      </c>
      <c r="G95" s="64" t="s">
        <v>299</v>
      </c>
    </row>
    <row r="96" spans="1:7" x14ac:dyDescent="0.3">
      <c r="A96" t="s">
        <v>118</v>
      </c>
      <c r="B96" s="63">
        <v>2024</v>
      </c>
      <c r="C96" t="s">
        <v>105</v>
      </c>
      <c r="D96">
        <v>414</v>
      </c>
      <c r="E96" t="s">
        <v>295</v>
      </c>
      <c r="F96">
        <v>8</v>
      </c>
      <c r="G96" s="64" t="s">
        <v>303</v>
      </c>
    </row>
    <row r="97" spans="1:7" x14ac:dyDescent="0.3">
      <c r="A97" t="s">
        <v>118</v>
      </c>
      <c r="B97" s="63">
        <v>2024</v>
      </c>
      <c r="C97" t="s">
        <v>105</v>
      </c>
      <c r="D97">
        <v>415</v>
      </c>
      <c r="E97" t="s">
        <v>295</v>
      </c>
      <c r="F97">
        <v>5</v>
      </c>
      <c r="G97" s="64" t="s">
        <v>300</v>
      </c>
    </row>
    <row r="98" spans="1:7" x14ac:dyDescent="0.3">
      <c r="A98" t="s">
        <v>118</v>
      </c>
      <c r="B98" s="63">
        <v>2024</v>
      </c>
      <c r="C98" t="s">
        <v>105</v>
      </c>
      <c r="D98">
        <v>416</v>
      </c>
      <c r="E98" t="s">
        <v>295</v>
      </c>
      <c r="F98">
        <v>3</v>
      </c>
      <c r="G98" s="64" t="s">
        <v>298</v>
      </c>
    </row>
    <row r="99" spans="1:7" x14ac:dyDescent="0.3">
      <c r="A99" t="s">
        <v>118</v>
      </c>
      <c r="B99" s="63">
        <v>2024</v>
      </c>
      <c r="C99" t="s">
        <v>105</v>
      </c>
      <c r="D99">
        <v>417</v>
      </c>
      <c r="E99" t="s">
        <v>295</v>
      </c>
      <c r="F99">
        <v>2</v>
      </c>
      <c r="G99" s="64" t="s">
        <v>297</v>
      </c>
    </row>
    <row r="100" spans="1:7" x14ac:dyDescent="0.3">
      <c r="A100" t="s">
        <v>118</v>
      </c>
      <c r="B100" s="63">
        <v>2024</v>
      </c>
      <c r="C100" t="s">
        <v>105</v>
      </c>
      <c r="D100">
        <v>418</v>
      </c>
      <c r="E100" t="s">
        <v>295</v>
      </c>
      <c r="F100">
        <v>1</v>
      </c>
      <c r="G100" s="64" t="s">
        <v>296</v>
      </c>
    </row>
    <row r="101" spans="1:7" x14ac:dyDescent="0.3">
      <c r="A101" t="s">
        <v>118</v>
      </c>
      <c r="B101" s="63">
        <v>2024</v>
      </c>
      <c r="C101" t="s">
        <v>105</v>
      </c>
      <c r="D101">
        <v>419</v>
      </c>
      <c r="E101" t="s">
        <v>305</v>
      </c>
      <c r="F101">
        <v>4</v>
      </c>
      <c r="G101" s="64" t="s">
        <v>299</v>
      </c>
    </row>
    <row r="102" spans="1:7" x14ac:dyDescent="0.3">
      <c r="A102" t="s">
        <v>118</v>
      </c>
      <c r="B102" s="63">
        <v>2024</v>
      </c>
      <c r="C102" t="s">
        <v>105</v>
      </c>
      <c r="D102">
        <v>420</v>
      </c>
      <c r="E102" t="s">
        <v>305</v>
      </c>
      <c r="F102">
        <v>1</v>
      </c>
      <c r="G102" s="64" t="s">
        <v>296</v>
      </c>
    </row>
    <row r="103" spans="1:7" x14ac:dyDescent="0.3">
      <c r="A103" t="s">
        <v>118</v>
      </c>
      <c r="B103" s="63">
        <v>2024</v>
      </c>
      <c r="C103" t="s">
        <v>105</v>
      </c>
      <c r="D103">
        <v>421</v>
      </c>
      <c r="E103" t="s">
        <v>305</v>
      </c>
      <c r="F103">
        <v>7</v>
      </c>
      <c r="G103" s="64" t="s">
        <v>302</v>
      </c>
    </row>
    <row r="104" spans="1:7" x14ac:dyDescent="0.3">
      <c r="A104" t="s">
        <v>118</v>
      </c>
      <c r="B104" s="63">
        <v>2024</v>
      </c>
      <c r="C104" t="s">
        <v>105</v>
      </c>
      <c r="D104">
        <v>422</v>
      </c>
      <c r="E104" t="s">
        <v>305</v>
      </c>
      <c r="F104">
        <v>5</v>
      </c>
      <c r="G104" s="64" t="s">
        <v>300</v>
      </c>
    </row>
    <row r="105" spans="1:7" x14ac:dyDescent="0.3">
      <c r="A105" t="s">
        <v>118</v>
      </c>
      <c r="B105" s="63">
        <v>2024</v>
      </c>
      <c r="C105" t="s">
        <v>105</v>
      </c>
      <c r="D105">
        <v>423</v>
      </c>
      <c r="E105" t="s">
        <v>305</v>
      </c>
      <c r="F105">
        <v>6</v>
      </c>
      <c r="G105" s="64" t="s">
        <v>301</v>
      </c>
    </row>
    <row r="106" spans="1:7" x14ac:dyDescent="0.3">
      <c r="A106" t="s">
        <v>118</v>
      </c>
      <c r="B106" s="63">
        <v>2024</v>
      </c>
      <c r="C106" t="s">
        <v>105</v>
      </c>
      <c r="D106">
        <v>424</v>
      </c>
      <c r="E106" t="s">
        <v>305</v>
      </c>
      <c r="F106">
        <v>3</v>
      </c>
      <c r="G106" s="64" t="s">
        <v>298</v>
      </c>
    </row>
    <row r="107" spans="1:7" x14ac:dyDescent="0.3">
      <c r="A107" t="s">
        <v>118</v>
      </c>
      <c r="B107" s="63">
        <v>2024</v>
      </c>
      <c r="C107" t="s">
        <v>105</v>
      </c>
      <c r="D107">
        <v>425</v>
      </c>
      <c r="E107" t="s">
        <v>305</v>
      </c>
      <c r="F107">
        <v>2</v>
      </c>
      <c r="G107" s="64" t="s">
        <v>297</v>
      </c>
    </row>
    <row r="108" spans="1:7" x14ac:dyDescent="0.3">
      <c r="A108" t="s">
        <v>118</v>
      </c>
      <c r="B108" s="63">
        <v>2024</v>
      </c>
      <c r="C108" t="s">
        <v>105</v>
      </c>
      <c r="D108">
        <v>426</v>
      </c>
      <c r="E108" t="s">
        <v>305</v>
      </c>
      <c r="F108">
        <v>8</v>
      </c>
      <c r="G108" s="64" t="s">
        <v>303</v>
      </c>
    </row>
    <row r="109" spans="1:7" x14ac:dyDescent="0.3">
      <c r="A109" t="s">
        <v>118</v>
      </c>
      <c r="B109" s="63">
        <v>2024</v>
      </c>
      <c r="C109" t="s">
        <v>105</v>
      </c>
      <c r="D109">
        <v>427</v>
      </c>
      <c r="E109" t="s">
        <v>305</v>
      </c>
      <c r="F109">
        <v>9</v>
      </c>
      <c r="G109" s="64" t="s">
        <v>304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25"/>
  <sheetViews>
    <sheetView workbookViewId="0">
      <selection activeCell="C1" sqref="C1"/>
    </sheetView>
  </sheetViews>
  <sheetFormatPr defaultColWidth="11" defaultRowHeight="15.6" x14ac:dyDescent="0.3"/>
  <cols>
    <col min="2" max="2" width="17.5" customWidth="1"/>
    <col min="3" max="3" width="16.3984375" customWidth="1"/>
    <col min="4" max="4" width="18.19921875" customWidth="1"/>
    <col min="5" max="5" width="72.19921875" customWidth="1"/>
  </cols>
  <sheetData>
    <row r="2" spans="2:5" x14ac:dyDescent="0.3">
      <c r="B2" s="25"/>
    </row>
    <row r="4" spans="2:5" ht="21" x14ac:dyDescent="0.4">
      <c r="B4" s="197" t="s">
        <v>306</v>
      </c>
      <c r="C4" s="197"/>
      <c r="D4" s="197"/>
      <c r="E4" s="197"/>
    </row>
    <row r="6" spans="2:5" x14ac:dyDescent="0.3">
      <c r="B6" s="34" t="s">
        <v>307</v>
      </c>
      <c r="C6" s="35" t="s">
        <v>285</v>
      </c>
      <c r="D6" s="35" t="s">
        <v>308</v>
      </c>
      <c r="E6" s="36" t="s">
        <v>309</v>
      </c>
    </row>
    <row r="7" spans="2:5" x14ac:dyDescent="0.3">
      <c r="B7" s="5" t="s">
        <v>310</v>
      </c>
      <c r="C7" s="171">
        <v>2024</v>
      </c>
      <c r="D7" s="171" t="s">
        <v>311</v>
      </c>
      <c r="E7" s="172"/>
    </row>
    <row r="8" spans="2:5" ht="57.6" x14ac:dyDescent="0.3">
      <c r="B8" s="5" t="s">
        <v>312</v>
      </c>
      <c r="C8" s="171">
        <v>2024</v>
      </c>
      <c r="D8" s="6" t="s">
        <v>311</v>
      </c>
      <c r="E8" s="172"/>
    </row>
    <row r="9" spans="2:5" ht="33.6" customHeight="1" x14ac:dyDescent="0.3">
      <c r="B9" s="10" t="s">
        <v>313</v>
      </c>
      <c r="C9" s="171">
        <v>2024</v>
      </c>
      <c r="D9" s="6" t="s">
        <v>311</v>
      </c>
      <c r="E9" s="172" t="s">
        <v>314</v>
      </c>
    </row>
    <row r="10" spans="2:5" ht="43.2" x14ac:dyDescent="0.3">
      <c r="B10" s="10" t="s">
        <v>315</v>
      </c>
      <c r="C10" s="171">
        <v>2024</v>
      </c>
      <c r="D10" s="6" t="s">
        <v>311</v>
      </c>
      <c r="E10" s="172" t="s">
        <v>316</v>
      </c>
    </row>
    <row r="11" spans="2:5" ht="48" customHeight="1" x14ac:dyDescent="0.3">
      <c r="B11" s="7" t="s">
        <v>317</v>
      </c>
      <c r="C11" s="171">
        <v>2024</v>
      </c>
      <c r="D11" s="5" t="s">
        <v>311</v>
      </c>
      <c r="E11" s="8" t="s">
        <v>158</v>
      </c>
    </row>
    <row r="12" spans="2:5" ht="43.2" x14ac:dyDescent="0.3">
      <c r="B12" s="7" t="s">
        <v>318</v>
      </c>
      <c r="C12" s="171">
        <v>2024</v>
      </c>
      <c r="D12" s="6"/>
      <c r="E12" s="8"/>
    </row>
    <row r="13" spans="2:5" ht="28.8" x14ac:dyDescent="0.3">
      <c r="B13" s="7" t="s">
        <v>319</v>
      </c>
      <c r="C13" s="171">
        <v>2024</v>
      </c>
      <c r="D13" s="6"/>
      <c r="E13" s="8" t="s">
        <v>314</v>
      </c>
    </row>
    <row r="14" spans="2:5" ht="57.6" x14ac:dyDescent="0.3">
      <c r="B14" s="7" t="s">
        <v>320</v>
      </c>
      <c r="C14" s="171">
        <v>2024</v>
      </c>
      <c r="D14" s="6"/>
      <c r="E14" s="172" t="s">
        <v>316</v>
      </c>
    </row>
    <row r="15" spans="2:5" ht="72" x14ac:dyDescent="0.3">
      <c r="B15" s="7" t="s">
        <v>321</v>
      </c>
      <c r="C15" s="171">
        <v>2024</v>
      </c>
      <c r="D15" s="6"/>
      <c r="E15" s="172" t="s">
        <v>322</v>
      </c>
    </row>
    <row r="16" spans="2:5" ht="43.2" x14ac:dyDescent="0.3">
      <c r="B16" s="7" t="s">
        <v>323</v>
      </c>
      <c r="C16" s="171">
        <v>2024</v>
      </c>
      <c r="D16" s="6"/>
      <c r="E16" s="172" t="s">
        <v>316</v>
      </c>
    </row>
    <row r="17" spans="2:5" ht="43.2" x14ac:dyDescent="0.3">
      <c r="B17" s="7" t="s">
        <v>324</v>
      </c>
      <c r="C17" s="171">
        <v>2024</v>
      </c>
      <c r="D17" s="6"/>
      <c r="E17" s="172" t="s">
        <v>316</v>
      </c>
    </row>
    <row r="18" spans="2:5" ht="43.2" x14ac:dyDescent="0.3">
      <c r="B18" s="7" t="s">
        <v>325</v>
      </c>
      <c r="C18" s="171">
        <v>2024</v>
      </c>
      <c r="D18" s="6"/>
      <c r="E18" s="8"/>
    </row>
    <row r="19" spans="2:5" ht="28.8" x14ac:dyDescent="0.3">
      <c r="B19" s="7" t="s">
        <v>326</v>
      </c>
      <c r="C19" s="171">
        <v>2024</v>
      </c>
      <c r="D19" s="6"/>
      <c r="E19" s="8"/>
    </row>
    <row r="20" spans="2:5" x14ac:dyDescent="0.3">
      <c r="B20" s="7" t="s">
        <v>327</v>
      </c>
      <c r="C20" s="171">
        <v>2024</v>
      </c>
      <c r="D20" s="6"/>
      <c r="E20" s="8" t="s">
        <v>328</v>
      </c>
    </row>
    <row r="21" spans="2:5" x14ac:dyDescent="0.3">
      <c r="B21" s="7" t="s">
        <v>329</v>
      </c>
      <c r="C21" s="171">
        <v>2024</v>
      </c>
      <c r="D21" s="6"/>
      <c r="E21" s="8" t="s">
        <v>330</v>
      </c>
    </row>
    <row r="22" spans="2:5" ht="44.4" customHeight="1" x14ac:dyDescent="0.3">
      <c r="B22" s="7" t="s">
        <v>331</v>
      </c>
      <c r="C22" s="171">
        <v>2024</v>
      </c>
      <c r="D22" s="6"/>
      <c r="E22" s="8"/>
    </row>
    <row r="23" spans="2:5" ht="31.2" x14ac:dyDescent="0.3">
      <c r="B23" s="7" t="s">
        <v>332</v>
      </c>
      <c r="C23" s="171">
        <v>2024</v>
      </c>
      <c r="D23" s="6"/>
      <c r="E23" s="8" t="s">
        <v>333</v>
      </c>
    </row>
    <row r="24" spans="2:5" ht="57.6" x14ac:dyDescent="0.3">
      <c r="B24" s="7" t="s">
        <v>334</v>
      </c>
      <c r="C24" s="171">
        <v>2024</v>
      </c>
      <c r="D24" s="30"/>
      <c r="E24" s="32"/>
    </row>
    <row r="25" spans="2:5" ht="28.8" x14ac:dyDescent="0.3">
      <c r="B25" s="7" t="s">
        <v>335</v>
      </c>
      <c r="C25" s="171">
        <v>2024</v>
      </c>
      <c r="D25" s="30"/>
      <c r="E25" s="32"/>
    </row>
  </sheetData>
  <mergeCells count="1">
    <mergeCell ref="B4:E4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7E38-DB7D-496B-A4D1-B4D31BC1D7B4}">
  <sheetPr>
    <tabColor rgb="FFFFFF00"/>
  </sheetPr>
  <dimension ref="A1:I170"/>
  <sheetViews>
    <sheetView topLeftCell="A70" workbookViewId="0">
      <selection activeCell="E179" sqref="E179"/>
    </sheetView>
  </sheetViews>
  <sheetFormatPr defaultColWidth="9" defaultRowHeight="14.4" x14ac:dyDescent="0.3"/>
  <cols>
    <col min="1" max="1" width="24" style="176" bestFit="1" customWidth="1"/>
    <col min="2" max="2" width="22" style="176" bestFit="1" customWidth="1"/>
    <col min="3" max="3" width="25.19921875" style="176" customWidth="1"/>
    <col min="4" max="4" width="18.19921875" style="176" customWidth="1"/>
    <col min="5" max="5" width="17.59765625" style="176" customWidth="1"/>
    <col min="6" max="16384" width="9" style="176"/>
  </cols>
  <sheetData>
    <row r="1" spans="1:9" x14ac:dyDescent="0.3">
      <c r="A1" s="176" t="s">
        <v>338</v>
      </c>
      <c r="B1" s="176" t="s">
        <v>339</v>
      </c>
      <c r="C1" s="176" t="s">
        <v>340</v>
      </c>
      <c r="D1" s="176" t="s">
        <v>341</v>
      </c>
      <c r="E1" s="176" t="s">
        <v>342</v>
      </c>
      <c r="F1" s="176" t="s">
        <v>343</v>
      </c>
      <c r="G1" s="176" t="s">
        <v>344</v>
      </c>
      <c r="H1" s="176" t="s">
        <v>345</v>
      </c>
      <c r="I1" s="176" t="s">
        <v>346</v>
      </c>
    </row>
    <row r="2" spans="1:9" x14ac:dyDescent="0.3">
      <c r="A2" s="176" t="s">
        <v>347</v>
      </c>
      <c r="B2" s="177">
        <v>45357</v>
      </c>
      <c r="C2" s="176">
        <v>-20.6</v>
      </c>
      <c r="D2" s="176">
        <v>-4.4000000000000004</v>
      </c>
      <c r="E2" s="176">
        <v>-13.9</v>
      </c>
      <c r="F2" s="176">
        <v>100</v>
      </c>
      <c r="G2" s="176">
        <v>0</v>
      </c>
      <c r="H2" s="176" t="s">
        <v>348</v>
      </c>
      <c r="I2" s="176" t="s">
        <v>349</v>
      </c>
    </row>
    <row r="3" spans="1:9" x14ac:dyDescent="0.3">
      <c r="A3" s="176" t="s">
        <v>347</v>
      </c>
      <c r="B3" s="177">
        <v>45358</v>
      </c>
      <c r="C3" s="176">
        <v>-22.3</v>
      </c>
      <c r="D3" s="176">
        <v>-1.2</v>
      </c>
      <c r="E3" s="176">
        <v>-12.2</v>
      </c>
      <c r="F3" s="176">
        <v>100</v>
      </c>
      <c r="G3" s="176">
        <v>0.6</v>
      </c>
      <c r="H3" s="176" t="s">
        <v>348</v>
      </c>
      <c r="I3" s="176" t="s">
        <v>349</v>
      </c>
    </row>
    <row r="4" spans="1:9" x14ac:dyDescent="0.3">
      <c r="A4" s="176" t="s">
        <v>347</v>
      </c>
      <c r="B4" s="177">
        <v>45359</v>
      </c>
      <c r="C4" s="176">
        <v>-8.6</v>
      </c>
      <c r="D4" s="176">
        <v>8.8000000000000007</v>
      </c>
      <c r="E4" s="176">
        <v>1.1000000000000001</v>
      </c>
      <c r="F4" s="176">
        <v>100</v>
      </c>
      <c r="G4" s="176">
        <v>0</v>
      </c>
      <c r="H4" s="176" t="s">
        <v>348</v>
      </c>
      <c r="I4" s="176" t="s">
        <v>349</v>
      </c>
    </row>
    <row r="5" spans="1:9" x14ac:dyDescent="0.3">
      <c r="A5" s="176" t="s">
        <v>347</v>
      </c>
      <c r="B5" s="177">
        <v>45360</v>
      </c>
      <c r="C5" s="176">
        <v>0.3</v>
      </c>
      <c r="D5" s="176">
        <v>12.8</v>
      </c>
      <c r="E5" s="176">
        <v>5.8</v>
      </c>
      <c r="F5" s="176">
        <v>100</v>
      </c>
      <c r="G5" s="176">
        <v>0</v>
      </c>
      <c r="H5" s="176" t="s">
        <v>348</v>
      </c>
      <c r="I5" s="176" t="s">
        <v>349</v>
      </c>
    </row>
    <row r="6" spans="1:9" x14ac:dyDescent="0.3">
      <c r="A6" s="176" t="s">
        <v>347</v>
      </c>
      <c r="B6" s="177">
        <v>45361</v>
      </c>
      <c r="C6" s="176">
        <v>-0.4</v>
      </c>
      <c r="D6" s="176">
        <v>11.6</v>
      </c>
      <c r="E6" s="176">
        <v>5.6</v>
      </c>
      <c r="F6" s="176">
        <v>100</v>
      </c>
      <c r="G6" s="176">
        <v>0</v>
      </c>
      <c r="H6" s="176" t="s">
        <v>348</v>
      </c>
      <c r="I6" s="176" t="s">
        <v>349</v>
      </c>
    </row>
    <row r="7" spans="1:9" x14ac:dyDescent="0.3">
      <c r="A7" s="176" t="s">
        <v>347</v>
      </c>
      <c r="B7" s="177">
        <v>45362</v>
      </c>
      <c r="C7" s="176">
        <v>0.3</v>
      </c>
      <c r="D7" s="176">
        <v>10.5</v>
      </c>
      <c r="E7" s="176">
        <v>5</v>
      </c>
      <c r="F7" s="176">
        <v>100</v>
      </c>
      <c r="G7" s="176">
        <v>0</v>
      </c>
      <c r="H7" s="176" t="s">
        <v>348</v>
      </c>
      <c r="I7" s="176" t="s">
        <v>349</v>
      </c>
    </row>
    <row r="8" spans="1:9" x14ac:dyDescent="0.3">
      <c r="A8" s="176" t="s">
        <v>347</v>
      </c>
      <c r="B8" s="177">
        <v>45363</v>
      </c>
      <c r="C8" s="176">
        <v>-0.3</v>
      </c>
      <c r="D8" s="176">
        <v>11.4</v>
      </c>
      <c r="E8" s="176">
        <v>5.4</v>
      </c>
      <c r="F8" s="176">
        <v>100</v>
      </c>
      <c r="G8" s="176">
        <v>0</v>
      </c>
      <c r="H8" s="176" t="s">
        <v>348</v>
      </c>
      <c r="I8" s="176" t="s">
        <v>349</v>
      </c>
    </row>
    <row r="9" spans="1:9" x14ac:dyDescent="0.3">
      <c r="A9" s="176" t="s">
        <v>347</v>
      </c>
      <c r="B9" s="177">
        <v>45364</v>
      </c>
      <c r="C9" s="176">
        <v>-0.9</v>
      </c>
      <c r="D9" s="176">
        <v>8.6</v>
      </c>
      <c r="E9" s="176">
        <v>2.8</v>
      </c>
      <c r="F9" s="176">
        <v>100</v>
      </c>
      <c r="G9" s="176">
        <v>0</v>
      </c>
      <c r="H9" s="176" t="s">
        <v>348</v>
      </c>
      <c r="I9" s="176" t="s">
        <v>349</v>
      </c>
    </row>
    <row r="10" spans="1:9" x14ac:dyDescent="0.3">
      <c r="A10" s="176" t="s">
        <v>347</v>
      </c>
      <c r="B10" s="177">
        <v>45365</v>
      </c>
      <c r="C10" s="176">
        <v>-4.0999999999999996</v>
      </c>
      <c r="D10" s="176">
        <v>10.5</v>
      </c>
      <c r="E10" s="176">
        <v>2.4</v>
      </c>
      <c r="F10" s="176">
        <v>100</v>
      </c>
      <c r="G10" s="176">
        <v>0</v>
      </c>
      <c r="H10" s="176" t="s">
        <v>348</v>
      </c>
      <c r="I10" s="176" t="s">
        <v>349</v>
      </c>
    </row>
    <row r="11" spans="1:9" x14ac:dyDescent="0.3">
      <c r="A11" s="176" t="s">
        <v>347</v>
      </c>
      <c r="B11" s="177">
        <v>45366</v>
      </c>
      <c r="C11" s="176">
        <v>-0.8</v>
      </c>
      <c r="D11" s="176">
        <v>14.8</v>
      </c>
      <c r="E11" s="176">
        <v>6.6</v>
      </c>
      <c r="F11" s="176">
        <v>100</v>
      </c>
      <c r="G11" s="176">
        <v>0</v>
      </c>
      <c r="H11" s="176" t="s">
        <v>348</v>
      </c>
      <c r="I11" s="176" t="s">
        <v>349</v>
      </c>
    </row>
    <row r="12" spans="1:9" x14ac:dyDescent="0.3">
      <c r="A12" s="176" t="s">
        <v>347</v>
      </c>
      <c r="B12" s="177">
        <v>45367</v>
      </c>
      <c r="C12" s="176">
        <v>-3</v>
      </c>
      <c r="D12" s="176">
        <v>15.3</v>
      </c>
      <c r="E12" s="176">
        <v>5.0999999999999996</v>
      </c>
      <c r="F12" s="176">
        <v>100</v>
      </c>
      <c r="G12" s="176">
        <v>0</v>
      </c>
      <c r="H12" s="176" t="s">
        <v>348</v>
      </c>
      <c r="I12" s="176" t="s">
        <v>349</v>
      </c>
    </row>
    <row r="13" spans="1:9" x14ac:dyDescent="0.3">
      <c r="A13" s="176" t="s">
        <v>347</v>
      </c>
      <c r="B13" s="177">
        <v>45368</v>
      </c>
      <c r="C13" s="176">
        <v>-4.0999999999999996</v>
      </c>
      <c r="D13" s="176">
        <v>20</v>
      </c>
      <c r="E13" s="176">
        <v>7</v>
      </c>
      <c r="F13" s="176">
        <v>100</v>
      </c>
      <c r="G13" s="176">
        <v>0</v>
      </c>
      <c r="H13" s="176" t="s">
        <v>348</v>
      </c>
      <c r="I13" s="176" t="s">
        <v>349</v>
      </c>
    </row>
    <row r="14" spans="1:9" x14ac:dyDescent="0.3">
      <c r="A14" s="176" t="s">
        <v>347</v>
      </c>
      <c r="B14" s="177">
        <v>45369</v>
      </c>
      <c r="C14" s="176">
        <v>2.2999999999999998</v>
      </c>
      <c r="D14" s="176">
        <v>19.7</v>
      </c>
      <c r="E14" s="176">
        <v>11.4</v>
      </c>
      <c r="F14" s="176">
        <v>100</v>
      </c>
      <c r="G14" s="176">
        <v>0</v>
      </c>
      <c r="H14" s="176" t="s">
        <v>348</v>
      </c>
      <c r="I14" s="176" t="s">
        <v>349</v>
      </c>
    </row>
    <row r="15" spans="1:9" x14ac:dyDescent="0.3">
      <c r="A15" s="176" t="s">
        <v>347</v>
      </c>
      <c r="B15" s="177">
        <v>45370</v>
      </c>
      <c r="C15" s="176">
        <v>-1.3</v>
      </c>
      <c r="D15" s="176">
        <v>8.3000000000000007</v>
      </c>
      <c r="E15" s="176">
        <v>3.9</v>
      </c>
      <c r="F15" s="176">
        <v>100</v>
      </c>
      <c r="G15" s="176">
        <v>0.2</v>
      </c>
      <c r="H15" s="176" t="s">
        <v>348</v>
      </c>
      <c r="I15" s="176" t="s">
        <v>349</v>
      </c>
    </row>
    <row r="16" spans="1:9" x14ac:dyDescent="0.3">
      <c r="A16" s="176" t="s">
        <v>347</v>
      </c>
      <c r="B16" s="177">
        <v>45371</v>
      </c>
      <c r="C16" s="176">
        <v>-7.2</v>
      </c>
      <c r="D16" s="176">
        <v>-1.2</v>
      </c>
      <c r="E16" s="176">
        <v>-4.2</v>
      </c>
      <c r="F16" s="176">
        <v>100</v>
      </c>
      <c r="G16" s="176">
        <v>2.2999999999999998</v>
      </c>
      <c r="H16" s="176" t="s">
        <v>348</v>
      </c>
      <c r="I16" s="176" t="s">
        <v>349</v>
      </c>
    </row>
    <row r="17" spans="1:9" x14ac:dyDescent="0.3">
      <c r="A17" s="176" t="s">
        <v>347</v>
      </c>
      <c r="B17" s="177">
        <v>45372</v>
      </c>
      <c r="C17" s="176">
        <v>-8.3000000000000007</v>
      </c>
      <c r="D17" s="176">
        <v>-5</v>
      </c>
      <c r="E17" s="176">
        <v>-7.1</v>
      </c>
      <c r="F17" s="176">
        <v>100</v>
      </c>
      <c r="G17" s="176">
        <v>10.9</v>
      </c>
      <c r="H17" s="176" t="s">
        <v>348</v>
      </c>
      <c r="I17" s="176" t="s">
        <v>349</v>
      </c>
    </row>
    <row r="18" spans="1:9" x14ac:dyDescent="0.3">
      <c r="A18" s="176" t="s">
        <v>347</v>
      </c>
      <c r="B18" s="177">
        <v>45373</v>
      </c>
      <c r="C18" s="176">
        <v>-10.6</v>
      </c>
      <c r="D18" s="176">
        <v>-5.4</v>
      </c>
      <c r="E18" s="176">
        <v>-7.2</v>
      </c>
      <c r="F18" s="176">
        <v>100</v>
      </c>
      <c r="G18" s="176">
        <v>2.1</v>
      </c>
      <c r="H18" s="176" t="s">
        <v>348</v>
      </c>
      <c r="I18" s="176" t="s">
        <v>349</v>
      </c>
    </row>
    <row r="19" spans="1:9" x14ac:dyDescent="0.3">
      <c r="A19" s="176" t="s">
        <v>347</v>
      </c>
      <c r="B19" s="177">
        <v>45374</v>
      </c>
      <c r="C19" s="176">
        <v>-8.1999999999999993</v>
      </c>
      <c r="D19" s="176">
        <v>-6.1</v>
      </c>
      <c r="E19" s="176">
        <v>-7.1</v>
      </c>
      <c r="F19" s="176">
        <v>100</v>
      </c>
      <c r="G19" s="176">
        <v>5.0999999999999996</v>
      </c>
      <c r="H19" s="176" t="s">
        <v>348</v>
      </c>
      <c r="I19" s="176" t="s">
        <v>349</v>
      </c>
    </row>
    <row r="20" spans="1:9" x14ac:dyDescent="0.3">
      <c r="A20" s="176" t="s">
        <v>347</v>
      </c>
      <c r="B20" s="177">
        <v>45375</v>
      </c>
      <c r="C20" s="176">
        <v>-8.9</v>
      </c>
      <c r="D20" s="176">
        <v>-2.7</v>
      </c>
      <c r="E20" s="176">
        <v>-6.6</v>
      </c>
      <c r="F20" s="176">
        <v>100</v>
      </c>
      <c r="G20" s="176">
        <v>2.9</v>
      </c>
      <c r="H20" s="176" t="s">
        <v>348</v>
      </c>
      <c r="I20" s="176" t="s">
        <v>349</v>
      </c>
    </row>
    <row r="21" spans="1:9" x14ac:dyDescent="0.3">
      <c r="A21" s="176" t="s">
        <v>347</v>
      </c>
      <c r="B21" s="177">
        <v>45376</v>
      </c>
      <c r="C21" s="176">
        <v>-18</v>
      </c>
      <c r="D21" s="176">
        <v>-2.8</v>
      </c>
      <c r="E21" s="176">
        <v>-8.6999999999999993</v>
      </c>
      <c r="F21" s="176">
        <v>100</v>
      </c>
      <c r="G21" s="176">
        <v>0.1</v>
      </c>
      <c r="H21" s="176" t="s">
        <v>348</v>
      </c>
      <c r="I21" s="176" t="s">
        <v>349</v>
      </c>
    </row>
    <row r="22" spans="1:9" x14ac:dyDescent="0.3">
      <c r="A22" s="176" t="s">
        <v>347</v>
      </c>
      <c r="B22" s="177">
        <v>45377</v>
      </c>
      <c r="C22" s="176">
        <v>-11.5</v>
      </c>
      <c r="D22" s="176">
        <v>1</v>
      </c>
      <c r="E22" s="176">
        <v>-6</v>
      </c>
      <c r="F22" s="176">
        <v>100</v>
      </c>
      <c r="G22" s="176">
        <v>0.4</v>
      </c>
      <c r="H22" s="176" t="s">
        <v>348</v>
      </c>
      <c r="I22" s="176" t="s">
        <v>349</v>
      </c>
    </row>
    <row r="23" spans="1:9" x14ac:dyDescent="0.3">
      <c r="A23" s="176" t="s">
        <v>347</v>
      </c>
      <c r="B23" s="177">
        <v>45378</v>
      </c>
      <c r="C23" s="176">
        <v>-10.4</v>
      </c>
      <c r="D23" s="176">
        <v>6.5</v>
      </c>
      <c r="E23" s="176">
        <v>2</v>
      </c>
      <c r="F23" s="176">
        <v>100</v>
      </c>
      <c r="G23" s="176">
        <v>0.1</v>
      </c>
      <c r="H23" s="176" t="s">
        <v>348</v>
      </c>
      <c r="I23" s="176" t="s">
        <v>349</v>
      </c>
    </row>
    <row r="24" spans="1:9" x14ac:dyDescent="0.3">
      <c r="A24" s="176" t="s">
        <v>347</v>
      </c>
      <c r="B24" s="177">
        <v>45379</v>
      </c>
      <c r="C24" s="176">
        <v>-3.3</v>
      </c>
      <c r="D24" s="176">
        <v>3.2</v>
      </c>
      <c r="E24" s="176">
        <v>-0.4</v>
      </c>
      <c r="F24" s="176">
        <v>100</v>
      </c>
      <c r="G24" s="176">
        <v>0</v>
      </c>
      <c r="H24" s="176" t="s">
        <v>348</v>
      </c>
      <c r="I24" s="176" t="s">
        <v>349</v>
      </c>
    </row>
    <row r="25" spans="1:9" x14ac:dyDescent="0.3">
      <c r="A25" s="176" t="s">
        <v>347</v>
      </c>
      <c r="B25" s="177">
        <v>45380</v>
      </c>
      <c r="C25" s="176">
        <v>-6</v>
      </c>
      <c r="D25" s="176">
        <v>-3.2</v>
      </c>
      <c r="E25" s="176">
        <v>-4.8</v>
      </c>
      <c r="F25" s="176">
        <v>100</v>
      </c>
      <c r="G25" s="176">
        <v>0.2</v>
      </c>
      <c r="H25" s="176" t="s">
        <v>348</v>
      </c>
      <c r="I25" s="176" t="s">
        <v>349</v>
      </c>
    </row>
    <row r="26" spans="1:9" x14ac:dyDescent="0.3">
      <c r="A26" s="176" t="s">
        <v>347</v>
      </c>
      <c r="B26" s="177">
        <v>45381</v>
      </c>
      <c r="C26" s="176">
        <v>-11</v>
      </c>
      <c r="D26" s="176">
        <v>4.8</v>
      </c>
      <c r="E26" s="176">
        <v>-2.7</v>
      </c>
      <c r="F26" s="176">
        <v>100</v>
      </c>
      <c r="G26" s="176">
        <v>0</v>
      </c>
      <c r="H26" s="176" t="s">
        <v>348</v>
      </c>
      <c r="I26" s="176" t="s">
        <v>349</v>
      </c>
    </row>
    <row r="27" spans="1:9" x14ac:dyDescent="0.3">
      <c r="A27" s="176" t="s">
        <v>347</v>
      </c>
      <c r="B27" s="177">
        <v>45382</v>
      </c>
      <c r="C27" s="176">
        <v>-5.4</v>
      </c>
      <c r="D27" s="176">
        <v>6.5</v>
      </c>
      <c r="E27" s="176">
        <v>-0.4</v>
      </c>
      <c r="F27" s="176">
        <v>100</v>
      </c>
      <c r="G27" s="176">
        <v>0.4</v>
      </c>
      <c r="H27" s="176" t="s">
        <v>348</v>
      </c>
      <c r="I27" s="176" t="s">
        <v>349</v>
      </c>
    </row>
    <row r="28" spans="1:9" x14ac:dyDescent="0.3">
      <c r="A28" s="176" t="s">
        <v>347</v>
      </c>
      <c r="B28" s="177">
        <v>45383</v>
      </c>
      <c r="C28" s="176">
        <v>-0.7</v>
      </c>
      <c r="D28" s="176">
        <v>16.100000000000001</v>
      </c>
      <c r="E28" s="176">
        <v>7.2</v>
      </c>
      <c r="F28" s="176">
        <v>100</v>
      </c>
      <c r="G28" s="176">
        <v>0</v>
      </c>
      <c r="H28" s="176" t="s">
        <v>348</v>
      </c>
      <c r="I28" s="176" t="s">
        <v>349</v>
      </c>
    </row>
    <row r="29" spans="1:9" x14ac:dyDescent="0.3">
      <c r="A29" s="176" t="s">
        <v>347</v>
      </c>
      <c r="B29" s="177">
        <v>45384</v>
      </c>
      <c r="C29" s="176">
        <v>-0.1</v>
      </c>
      <c r="D29" s="176">
        <v>20.3</v>
      </c>
      <c r="E29" s="176">
        <v>11.3</v>
      </c>
      <c r="F29" s="176">
        <v>100</v>
      </c>
      <c r="G29" s="176">
        <v>0</v>
      </c>
      <c r="H29" s="176" t="s">
        <v>348</v>
      </c>
      <c r="I29" s="176" t="s">
        <v>349</v>
      </c>
    </row>
    <row r="30" spans="1:9" x14ac:dyDescent="0.3">
      <c r="A30" s="176" t="s">
        <v>347</v>
      </c>
      <c r="B30" s="177">
        <v>45385</v>
      </c>
      <c r="C30" s="176">
        <v>4.9000000000000004</v>
      </c>
      <c r="D30" s="176">
        <v>17.8</v>
      </c>
      <c r="E30" s="176">
        <v>11.5</v>
      </c>
      <c r="F30" s="176">
        <v>100</v>
      </c>
      <c r="G30" s="176">
        <v>0</v>
      </c>
      <c r="H30" s="176" t="s">
        <v>348</v>
      </c>
      <c r="I30" s="176" t="s">
        <v>349</v>
      </c>
    </row>
    <row r="31" spans="1:9" x14ac:dyDescent="0.3">
      <c r="A31" s="176" t="s">
        <v>347</v>
      </c>
      <c r="B31" s="177">
        <v>45386</v>
      </c>
      <c r="C31" s="176">
        <v>0.1</v>
      </c>
      <c r="D31" s="176">
        <v>4.9000000000000004</v>
      </c>
      <c r="E31" s="176">
        <v>1.1000000000000001</v>
      </c>
      <c r="F31" s="176">
        <v>100</v>
      </c>
      <c r="G31" s="176">
        <v>16.7</v>
      </c>
      <c r="H31" s="176" t="s">
        <v>348</v>
      </c>
      <c r="I31" s="176" t="s">
        <v>349</v>
      </c>
    </row>
    <row r="32" spans="1:9" x14ac:dyDescent="0.3">
      <c r="A32" s="176" t="s">
        <v>347</v>
      </c>
      <c r="B32" s="177">
        <v>45387</v>
      </c>
      <c r="C32" s="176">
        <v>-0.4</v>
      </c>
      <c r="D32" s="176">
        <v>2.2000000000000002</v>
      </c>
      <c r="E32" s="176">
        <v>0.7</v>
      </c>
      <c r="F32" s="176">
        <v>100</v>
      </c>
      <c r="G32" s="176">
        <v>2.8</v>
      </c>
      <c r="H32" s="176" t="s">
        <v>348</v>
      </c>
      <c r="I32" s="176" t="s">
        <v>349</v>
      </c>
    </row>
    <row r="33" spans="1:9" x14ac:dyDescent="0.3">
      <c r="A33" s="176" t="s">
        <v>347</v>
      </c>
      <c r="B33" s="177">
        <v>45388</v>
      </c>
      <c r="C33" s="176">
        <v>0</v>
      </c>
      <c r="D33" s="176">
        <v>5.9</v>
      </c>
      <c r="E33" s="176">
        <v>2.2000000000000002</v>
      </c>
      <c r="F33" s="176">
        <v>100</v>
      </c>
      <c r="G33" s="176">
        <v>0.2</v>
      </c>
      <c r="H33" s="176" t="s">
        <v>348</v>
      </c>
      <c r="I33" s="176" t="s">
        <v>349</v>
      </c>
    </row>
    <row r="34" spans="1:9" x14ac:dyDescent="0.3">
      <c r="A34" s="176" t="s">
        <v>347</v>
      </c>
      <c r="B34" s="177">
        <v>45389</v>
      </c>
      <c r="C34" s="176">
        <v>2</v>
      </c>
      <c r="D34" s="176">
        <v>11.1</v>
      </c>
      <c r="E34" s="176">
        <v>5.9</v>
      </c>
      <c r="F34" s="176">
        <v>100</v>
      </c>
      <c r="G34" s="176">
        <v>1.7</v>
      </c>
      <c r="H34" s="176" t="s">
        <v>348</v>
      </c>
      <c r="I34" s="176" t="s">
        <v>349</v>
      </c>
    </row>
    <row r="35" spans="1:9" x14ac:dyDescent="0.3">
      <c r="A35" s="176" t="s">
        <v>347</v>
      </c>
      <c r="B35" s="177">
        <v>45390</v>
      </c>
      <c r="C35" s="176">
        <v>2.1</v>
      </c>
      <c r="D35" s="176">
        <v>13</v>
      </c>
      <c r="E35" s="176">
        <v>7.2</v>
      </c>
      <c r="F35" s="176">
        <v>100</v>
      </c>
      <c r="G35" s="176">
        <v>0</v>
      </c>
      <c r="H35" s="176" t="s">
        <v>348</v>
      </c>
      <c r="I35" s="176" t="s">
        <v>349</v>
      </c>
    </row>
    <row r="36" spans="1:9" x14ac:dyDescent="0.3">
      <c r="A36" s="176" t="s">
        <v>347</v>
      </c>
      <c r="B36" s="177">
        <v>45391</v>
      </c>
      <c r="C36" s="176">
        <v>3.2</v>
      </c>
      <c r="D36" s="176">
        <v>15.6</v>
      </c>
      <c r="E36" s="176">
        <v>9.1999999999999993</v>
      </c>
      <c r="F36" s="176">
        <v>100</v>
      </c>
      <c r="G36" s="176">
        <v>0</v>
      </c>
      <c r="H36" s="176" t="s">
        <v>348</v>
      </c>
      <c r="I36" s="176" t="s">
        <v>349</v>
      </c>
    </row>
    <row r="37" spans="1:9" x14ac:dyDescent="0.3">
      <c r="A37" s="176" t="s">
        <v>347</v>
      </c>
      <c r="B37" s="177">
        <v>45392</v>
      </c>
      <c r="C37" s="176">
        <v>-2.5</v>
      </c>
      <c r="D37" s="176">
        <v>12</v>
      </c>
      <c r="E37" s="176">
        <v>5.0999999999999996</v>
      </c>
      <c r="F37" s="176">
        <v>100</v>
      </c>
      <c r="G37" s="176">
        <v>0</v>
      </c>
      <c r="H37" s="176" t="s">
        <v>348</v>
      </c>
      <c r="I37" s="176" t="s">
        <v>349</v>
      </c>
    </row>
    <row r="38" spans="1:9" x14ac:dyDescent="0.3">
      <c r="A38" s="176" t="s">
        <v>347</v>
      </c>
      <c r="B38" s="177">
        <v>45393</v>
      </c>
      <c r="C38" s="176">
        <v>-2.9</v>
      </c>
      <c r="D38" s="176">
        <v>16.600000000000001</v>
      </c>
      <c r="E38" s="176">
        <v>8</v>
      </c>
      <c r="F38" s="176">
        <v>100</v>
      </c>
      <c r="G38" s="176">
        <v>0</v>
      </c>
      <c r="H38" s="176" t="s">
        <v>348</v>
      </c>
      <c r="I38" s="176" t="s">
        <v>349</v>
      </c>
    </row>
    <row r="39" spans="1:9" x14ac:dyDescent="0.3">
      <c r="A39" s="176" t="s">
        <v>347</v>
      </c>
      <c r="B39" s="177">
        <v>45394</v>
      </c>
      <c r="C39" s="176">
        <v>1.3</v>
      </c>
      <c r="D39" s="176">
        <v>18.3</v>
      </c>
      <c r="E39" s="176">
        <v>11.3</v>
      </c>
      <c r="F39" s="176">
        <v>100</v>
      </c>
      <c r="G39" s="176">
        <v>0</v>
      </c>
      <c r="H39" s="176" t="s">
        <v>348</v>
      </c>
      <c r="I39" s="176" t="s">
        <v>349</v>
      </c>
    </row>
    <row r="40" spans="1:9" x14ac:dyDescent="0.3">
      <c r="A40" s="176" t="s">
        <v>347</v>
      </c>
      <c r="B40" s="177">
        <v>45395</v>
      </c>
      <c r="C40" s="176">
        <v>1.4</v>
      </c>
      <c r="D40" s="176">
        <v>21.4</v>
      </c>
      <c r="E40" s="176">
        <v>12.5</v>
      </c>
      <c r="F40" s="176">
        <v>100</v>
      </c>
      <c r="G40" s="176">
        <v>0</v>
      </c>
      <c r="H40" s="176" t="s">
        <v>348</v>
      </c>
      <c r="I40" s="176" t="s">
        <v>349</v>
      </c>
    </row>
    <row r="41" spans="1:9" x14ac:dyDescent="0.3">
      <c r="A41" s="176" t="s">
        <v>347</v>
      </c>
      <c r="B41" s="177">
        <v>45396</v>
      </c>
      <c r="C41" s="176">
        <v>2.4</v>
      </c>
      <c r="D41" s="176">
        <v>19.100000000000001</v>
      </c>
      <c r="E41" s="176">
        <v>10.8</v>
      </c>
      <c r="F41" s="176">
        <v>100</v>
      </c>
      <c r="G41" s="176">
        <v>0</v>
      </c>
      <c r="H41" s="176" t="s">
        <v>348</v>
      </c>
      <c r="I41" s="176" t="s">
        <v>349</v>
      </c>
    </row>
    <row r="42" spans="1:9" x14ac:dyDescent="0.3">
      <c r="A42" s="176" t="s">
        <v>347</v>
      </c>
      <c r="B42" s="177">
        <v>45397</v>
      </c>
      <c r="C42" s="176">
        <v>3.5</v>
      </c>
      <c r="D42" s="176">
        <v>20.5</v>
      </c>
      <c r="E42" s="176">
        <v>12.7</v>
      </c>
      <c r="F42" s="176">
        <v>100</v>
      </c>
      <c r="G42" s="176">
        <v>0</v>
      </c>
      <c r="H42" s="176" t="s">
        <v>348</v>
      </c>
      <c r="I42" s="176" t="s">
        <v>349</v>
      </c>
    </row>
    <row r="43" spans="1:9" x14ac:dyDescent="0.3">
      <c r="A43" s="176" t="s">
        <v>347</v>
      </c>
      <c r="B43" s="177">
        <v>45398</v>
      </c>
      <c r="C43" s="176">
        <v>0.1</v>
      </c>
      <c r="D43" s="176">
        <v>8.5</v>
      </c>
      <c r="E43" s="176">
        <v>2.9</v>
      </c>
      <c r="F43" s="176">
        <v>100</v>
      </c>
      <c r="G43" s="176">
        <v>1.8</v>
      </c>
      <c r="H43" s="176" t="s">
        <v>348</v>
      </c>
      <c r="I43" s="176" t="s">
        <v>349</v>
      </c>
    </row>
    <row r="44" spans="1:9" x14ac:dyDescent="0.3">
      <c r="A44" s="176" t="s">
        <v>347</v>
      </c>
      <c r="B44" s="177">
        <v>45399</v>
      </c>
      <c r="C44" s="176">
        <v>-3.1</v>
      </c>
      <c r="D44" s="176">
        <v>4.9000000000000004</v>
      </c>
      <c r="E44" s="176">
        <v>0.4</v>
      </c>
      <c r="F44" s="176">
        <v>100</v>
      </c>
      <c r="G44" s="176">
        <v>0.2</v>
      </c>
      <c r="H44" s="176" t="s">
        <v>348</v>
      </c>
      <c r="I44" s="176" t="s">
        <v>349</v>
      </c>
    </row>
    <row r="45" spans="1:9" x14ac:dyDescent="0.3">
      <c r="A45" s="176" t="s">
        <v>347</v>
      </c>
      <c r="B45" s="177">
        <v>45400</v>
      </c>
      <c r="C45" s="176">
        <v>-6.7</v>
      </c>
      <c r="D45" s="176">
        <v>4.8</v>
      </c>
      <c r="E45" s="176">
        <v>-0.4</v>
      </c>
      <c r="F45" s="176">
        <v>100</v>
      </c>
      <c r="G45" s="176">
        <v>0</v>
      </c>
      <c r="H45" s="176" t="s">
        <v>348</v>
      </c>
      <c r="I45" s="176" t="s">
        <v>349</v>
      </c>
    </row>
    <row r="46" spans="1:9" x14ac:dyDescent="0.3">
      <c r="A46" s="176" t="s">
        <v>347</v>
      </c>
      <c r="B46" s="177">
        <v>45401</v>
      </c>
      <c r="C46" s="176">
        <v>-4.7</v>
      </c>
      <c r="D46" s="176">
        <v>4.4000000000000004</v>
      </c>
      <c r="E46" s="176">
        <v>-0.6</v>
      </c>
      <c r="F46" s="176">
        <v>100</v>
      </c>
      <c r="G46" s="176">
        <v>0</v>
      </c>
      <c r="H46" s="176" t="s">
        <v>348</v>
      </c>
      <c r="I46" s="176" t="s">
        <v>349</v>
      </c>
    </row>
    <row r="47" spans="1:9" x14ac:dyDescent="0.3">
      <c r="A47" s="176" t="s">
        <v>347</v>
      </c>
      <c r="B47" s="177">
        <v>45402</v>
      </c>
      <c r="C47" s="176">
        <v>-9.8000000000000007</v>
      </c>
      <c r="D47" s="176">
        <v>11.2</v>
      </c>
      <c r="E47" s="176">
        <v>1.6</v>
      </c>
      <c r="F47" s="176">
        <v>100</v>
      </c>
      <c r="G47" s="176">
        <v>0</v>
      </c>
      <c r="H47" s="176" t="s">
        <v>348</v>
      </c>
      <c r="I47" s="176" t="s">
        <v>349</v>
      </c>
    </row>
    <row r="48" spans="1:9" x14ac:dyDescent="0.3">
      <c r="A48" s="176" t="s">
        <v>347</v>
      </c>
      <c r="B48" s="177">
        <v>45403</v>
      </c>
      <c r="C48" s="176">
        <v>1.7</v>
      </c>
      <c r="D48" s="176">
        <v>13.7</v>
      </c>
      <c r="E48" s="176">
        <v>8.5</v>
      </c>
      <c r="F48" s="176">
        <v>100</v>
      </c>
      <c r="G48" s="176">
        <v>0.1</v>
      </c>
      <c r="H48" s="176" t="s">
        <v>348</v>
      </c>
      <c r="I48" s="176" t="s">
        <v>349</v>
      </c>
    </row>
    <row r="49" spans="1:9" x14ac:dyDescent="0.3">
      <c r="A49" s="176" t="s">
        <v>347</v>
      </c>
      <c r="B49" s="177">
        <v>45404</v>
      </c>
      <c r="C49" s="176">
        <v>3.4</v>
      </c>
      <c r="D49" s="176">
        <v>15.7</v>
      </c>
      <c r="E49" s="176">
        <v>9.9</v>
      </c>
      <c r="F49" s="176">
        <v>100</v>
      </c>
      <c r="G49" s="176">
        <v>0</v>
      </c>
      <c r="H49" s="176" t="s">
        <v>348</v>
      </c>
      <c r="I49" s="176" t="s">
        <v>349</v>
      </c>
    </row>
    <row r="50" spans="1:9" x14ac:dyDescent="0.3">
      <c r="A50" s="176" t="s">
        <v>347</v>
      </c>
      <c r="B50" s="177">
        <v>45405</v>
      </c>
      <c r="C50" s="176">
        <v>-2</v>
      </c>
      <c r="D50" s="176">
        <v>19</v>
      </c>
      <c r="E50" s="176">
        <v>9.6</v>
      </c>
      <c r="F50" s="176">
        <v>100</v>
      </c>
      <c r="G50" s="176">
        <v>0</v>
      </c>
      <c r="H50" s="176" t="s">
        <v>348</v>
      </c>
      <c r="I50" s="176" t="s">
        <v>349</v>
      </c>
    </row>
    <row r="51" spans="1:9" x14ac:dyDescent="0.3">
      <c r="A51" s="176" t="s">
        <v>347</v>
      </c>
      <c r="B51" s="177">
        <v>45406</v>
      </c>
      <c r="C51" s="176">
        <v>-0.4</v>
      </c>
      <c r="D51" s="176">
        <v>20.2</v>
      </c>
      <c r="E51" s="176">
        <v>11.7</v>
      </c>
      <c r="F51" s="176">
        <v>100</v>
      </c>
      <c r="G51" s="176">
        <v>0</v>
      </c>
      <c r="H51" s="176" t="s">
        <v>348</v>
      </c>
      <c r="I51" s="176" t="s">
        <v>349</v>
      </c>
    </row>
    <row r="52" spans="1:9" x14ac:dyDescent="0.3">
      <c r="A52" s="176" t="s">
        <v>347</v>
      </c>
      <c r="B52" s="177">
        <v>45407</v>
      </c>
      <c r="C52" s="176">
        <v>5</v>
      </c>
      <c r="D52" s="176">
        <v>18.100000000000001</v>
      </c>
      <c r="E52" s="176">
        <v>12.7</v>
      </c>
      <c r="F52" s="176">
        <v>100</v>
      </c>
      <c r="G52" s="176">
        <v>0</v>
      </c>
      <c r="H52" s="176" t="s">
        <v>348</v>
      </c>
      <c r="I52" s="176" t="s">
        <v>349</v>
      </c>
    </row>
    <row r="53" spans="1:9" x14ac:dyDescent="0.3">
      <c r="A53" s="176" t="s">
        <v>347</v>
      </c>
      <c r="B53" s="177">
        <v>45408</v>
      </c>
      <c r="C53" s="176">
        <v>4.5</v>
      </c>
      <c r="D53" s="176">
        <v>12.7</v>
      </c>
      <c r="E53" s="176">
        <v>9</v>
      </c>
      <c r="F53" s="176">
        <v>100</v>
      </c>
      <c r="G53" s="176">
        <v>0</v>
      </c>
      <c r="H53" s="176" t="s">
        <v>348</v>
      </c>
      <c r="I53" s="176" t="s">
        <v>349</v>
      </c>
    </row>
    <row r="54" spans="1:9" x14ac:dyDescent="0.3">
      <c r="A54" s="176" t="s">
        <v>347</v>
      </c>
      <c r="B54" s="177">
        <v>45409</v>
      </c>
      <c r="C54" s="176">
        <v>3.7</v>
      </c>
      <c r="D54" s="176">
        <v>12.6</v>
      </c>
      <c r="E54" s="176">
        <v>8.1</v>
      </c>
      <c r="F54" s="176">
        <v>100</v>
      </c>
      <c r="G54" s="176">
        <v>0</v>
      </c>
      <c r="H54" s="176" t="s">
        <v>348</v>
      </c>
      <c r="I54" s="176" t="s">
        <v>349</v>
      </c>
    </row>
    <row r="55" spans="1:9" x14ac:dyDescent="0.3">
      <c r="A55" s="176" t="s">
        <v>347</v>
      </c>
      <c r="B55" s="177">
        <v>45410</v>
      </c>
      <c r="C55" s="176">
        <v>5.2</v>
      </c>
      <c r="D55" s="176">
        <v>17.2</v>
      </c>
      <c r="E55" s="176">
        <v>10.7</v>
      </c>
      <c r="F55" s="176">
        <v>100</v>
      </c>
      <c r="G55" s="176">
        <v>0</v>
      </c>
      <c r="H55" s="176" t="s">
        <v>348</v>
      </c>
      <c r="I55" s="176" t="s">
        <v>349</v>
      </c>
    </row>
    <row r="56" spans="1:9" x14ac:dyDescent="0.3">
      <c r="A56" s="176" t="s">
        <v>347</v>
      </c>
      <c r="B56" s="177">
        <v>45411</v>
      </c>
      <c r="C56" s="176">
        <v>2.4</v>
      </c>
      <c r="D56" s="176">
        <v>15.3</v>
      </c>
      <c r="E56" s="176">
        <v>9.3000000000000007</v>
      </c>
      <c r="F56" s="176">
        <v>100</v>
      </c>
      <c r="G56" s="176">
        <v>0</v>
      </c>
      <c r="H56" s="176" t="s">
        <v>348</v>
      </c>
      <c r="I56" s="176" t="s">
        <v>349</v>
      </c>
    </row>
    <row r="57" spans="1:9" x14ac:dyDescent="0.3">
      <c r="A57" s="176" t="s">
        <v>347</v>
      </c>
      <c r="B57" s="177">
        <v>45412</v>
      </c>
      <c r="C57" s="176">
        <v>-2.8</v>
      </c>
      <c r="D57" s="176">
        <v>6.2</v>
      </c>
      <c r="E57" s="176">
        <v>2.2999999999999998</v>
      </c>
      <c r="F57" s="176">
        <v>100</v>
      </c>
      <c r="G57" s="176">
        <v>1.1000000000000001</v>
      </c>
      <c r="H57" s="176" t="s">
        <v>348</v>
      </c>
      <c r="I57" s="176" t="s">
        <v>349</v>
      </c>
    </row>
    <row r="58" spans="1:9" x14ac:dyDescent="0.3">
      <c r="A58" s="176" t="s">
        <v>347</v>
      </c>
      <c r="B58" s="177">
        <v>45413</v>
      </c>
      <c r="C58" s="176">
        <v>0.6</v>
      </c>
      <c r="D58" s="176">
        <v>4.2</v>
      </c>
      <c r="E58" s="176">
        <v>2.4</v>
      </c>
      <c r="F58" s="176">
        <v>100</v>
      </c>
      <c r="G58" s="176">
        <v>9.3000000000000007</v>
      </c>
      <c r="H58" s="176" t="s">
        <v>348</v>
      </c>
      <c r="I58" s="176" t="s">
        <v>349</v>
      </c>
    </row>
    <row r="59" spans="1:9" x14ac:dyDescent="0.3">
      <c r="A59" s="176" t="s">
        <v>347</v>
      </c>
      <c r="B59" s="177">
        <v>45414</v>
      </c>
      <c r="C59" s="176">
        <v>0</v>
      </c>
      <c r="D59" s="176">
        <v>6.5</v>
      </c>
      <c r="E59" s="176">
        <v>2.7</v>
      </c>
      <c r="F59" s="176">
        <v>100</v>
      </c>
      <c r="G59" s="176">
        <v>6.2</v>
      </c>
      <c r="H59" s="176" t="s">
        <v>348</v>
      </c>
      <c r="I59" s="176" t="s">
        <v>349</v>
      </c>
    </row>
    <row r="60" spans="1:9" x14ac:dyDescent="0.3">
      <c r="A60" s="176" t="s">
        <v>347</v>
      </c>
      <c r="B60" s="177">
        <v>45415</v>
      </c>
      <c r="C60" s="176">
        <v>0.7</v>
      </c>
      <c r="D60" s="176">
        <v>12.4</v>
      </c>
      <c r="E60" s="176">
        <v>6.1</v>
      </c>
      <c r="F60" s="176">
        <v>100</v>
      </c>
      <c r="G60" s="176">
        <v>0</v>
      </c>
      <c r="H60" s="176" t="s">
        <v>348</v>
      </c>
      <c r="I60" s="176" t="s">
        <v>349</v>
      </c>
    </row>
    <row r="61" spans="1:9" x14ac:dyDescent="0.3">
      <c r="A61" s="176" t="s">
        <v>347</v>
      </c>
      <c r="B61" s="177">
        <v>45416</v>
      </c>
      <c r="C61" s="176">
        <v>-1.1000000000000001</v>
      </c>
      <c r="D61" s="176">
        <v>16.3</v>
      </c>
      <c r="E61" s="176">
        <v>8.6</v>
      </c>
      <c r="F61" s="176">
        <v>100</v>
      </c>
      <c r="G61" s="176">
        <v>0.1</v>
      </c>
      <c r="H61" s="176" t="s">
        <v>348</v>
      </c>
      <c r="I61" s="176" t="s">
        <v>349</v>
      </c>
    </row>
    <row r="62" spans="1:9" x14ac:dyDescent="0.3">
      <c r="A62" s="176" t="s">
        <v>347</v>
      </c>
      <c r="B62" s="177">
        <v>45417</v>
      </c>
      <c r="C62" s="176">
        <v>4.4000000000000004</v>
      </c>
      <c r="D62" s="176">
        <v>12.8</v>
      </c>
      <c r="E62" s="176">
        <v>8.6</v>
      </c>
      <c r="F62" s="176">
        <v>100</v>
      </c>
      <c r="G62" s="176">
        <v>0.2</v>
      </c>
      <c r="H62" s="176" t="s">
        <v>348</v>
      </c>
      <c r="I62" s="176" t="s">
        <v>349</v>
      </c>
    </row>
    <row r="63" spans="1:9" x14ac:dyDescent="0.3">
      <c r="A63" s="176" t="s">
        <v>347</v>
      </c>
      <c r="B63" s="177">
        <v>45418</v>
      </c>
      <c r="C63" s="176">
        <v>3.2</v>
      </c>
      <c r="D63" s="176">
        <v>17.8</v>
      </c>
      <c r="E63" s="176">
        <v>10.5</v>
      </c>
      <c r="F63" s="176">
        <v>100</v>
      </c>
      <c r="G63" s="176">
        <v>2.5</v>
      </c>
      <c r="H63" s="176" t="s">
        <v>348</v>
      </c>
      <c r="I63" s="176" t="s">
        <v>349</v>
      </c>
    </row>
    <row r="64" spans="1:9" x14ac:dyDescent="0.3">
      <c r="A64" s="176" t="s">
        <v>347</v>
      </c>
      <c r="B64" s="177">
        <v>45419</v>
      </c>
      <c r="C64" s="176">
        <v>3.2</v>
      </c>
      <c r="D64" s="176">
        <v>7.1</v>
      </c>
      <c r="E64" s="184">
        <v>5</v>
      </c>
      <c r="F64" s="176">
        <v>100</v>
      </c>
      <c r="G64" s="176">
        <v>36.299999999999997</v>
      </c>
      <c r="H64" s="176" t="s">
        <v>348</v>
      </c>
      <c r="I64" s="176" t="s">
        <v>349</v>
      </c>
    </row>
    <row r="65" spans="1:9" x14ac:dyDescent="0.3">
      <c r="A65" s="176" t="s">
        <v>347</v>
      </c>
      <c r="B65" s="177">
        <v>45420</v>
      </c>
      <c r="C65" s="176">
        <v>3.3</v>
      </c>
      <c r="D65" s="176">
        <v>12.5</v>
      </c>
      <c r="E65" s="176">
        <v>6.6</v>
      </c>
      <c r="F65" s="176">
        <v>100</v>
      </c>
      <c r="G65" s="176">
        <v>8.4</v>
      </c>
      <c r="H65" s="176" t="s">
        <v>348</v>
      </c>
      <c r="I65" s="176" t="s">
        <v>349</v>
      </c>
    </row>
    <row r="66" spans="1:9" x14ac:dyDescent="0.3">
      <c r="A66" s="176" t="s">
        <v>347</v>
      </c>
      <c r="B66" s="177">
        <v>45421</v>
      </c>
      <c r="C66" s="176">
        <v>2.8</v>
      </c>
      <c r="D66" s="176">
        <v>20.9</v>
      </c>
      <c r="E66" s="176">
        <v>11.6</v>
      </c>
      <c r="F66" s="176">
        <v>100</v>
      </c>
      <c r="G66" s="176">
        <v>0</v>
      </c>
      <c r="H66" s="176" t="s">
        <v>348</v>
      </c>
      <c r="I66" s="176" t="s">
        <v>349</v>
      </c>
    </row>
    <row r="67" spans="1:9" x14ac:dyDescent="0.3">
      <c r="A67" s="176" t="s">
        <v>347</v>
      </c>
      <c r="B67" s="177">
        <v>45422</v>
      </c>
      <c r="C67" s="176">
        <v>4.3</v>
      </c>
      <c r="D67" s="176">
        <v>26.9</v>
      </c>
      <c r="E67" s="176">
        <v>16.100000000000001</v>
      </c>
      <c r="F67" s="176">
        <v>100</v>
      </c>
      <c r="G67" s="176">
        <v>0.2</v>
      </c>
      <c r="H67" s="176" t="s">
        <v>348</v>
      </c>
      <c r="I67" s="176" t="s">
        <v>349</v>
      </c>
    </row>
    <row r="68" spans="1:9" x14ac:dyDescent="0.3">
      <c r="A68" s="176" t="s">
        <v>347</v>
      </c>
      <c r="B68" s="177">
        <v>45423</v>
      </c>
      <c r="C68" s="176">
        <v>8.6</v>
      </c>
      <c r="D68" s="176">
        <v>25.7</v>
      </c>
      <c r="E68" s="176">
        <v>18.2</v>
      </c>
      <c r="F68" s="176">
        <v>100</v>
      </c>
      <c r="G68" s="176">
        <v>0.1</v>
      </c>
      <c r="H68" s="176" t="s">
        <v>348</v>
      </c>
      <c r="I68" s="176" t="s">
        <v>349</v>
      </c>
    </row>
    <row r="69" spans="1:9" x14ac:dyDescent="0.3">
      <c r="A69" s="176" t="s">
        <v>347</v>
      </c>
      <c r="B69" s="177">
        <v>45424</v>
      </c>
      <c r="C69" s="176">
        <v>7</v>
      </c>
      <c r="D69" s="176">
        <v>28.2</v>
      </c>
      <c r="E69" s="176">
        <v>18</v>
      </c>
      <c r="F69" s="176">
        <v>100</v>
      </c>
      <c r="G69" s="176">
        <v>0</v>
      </c>
      <c r="H69" s="176" t="s">
        <v>348</v>
      </c>
      <c r="I69" s="176" t="s">
        <v>349</v>
      </c>
    </row>
    <row r="70" spans="1:9" x14ac:dyDescent="0.3">
      <c r="A70" s="176" t="s">
        <v>347</v>
      </c>
      <c r="B70" s="177">
        <v>45425</v>
      </c>
      <c r="C70" s="176">
        <v>8.1</v>
      </c>
      <c r="D70" s="176">
        <v>20.6</v>
      </c>
      <c r="E70" s="176">
        <v>15</v>
      </c>
      <c r="F70" s="176">
        <v>100</v>
      </c>
      <c r="G70" s="176">
        <v>0</v>
      </c>
      <c r="H70" s="176" t="s">
        <v>348</v>
      </c>
      <c r="I70" s="176" t="s">
        <v>349</v>
      </c>
    </row>
    <row r="71" spans="1:9" x14ac:dyDescent="0.3">
      <c r="A71" s="176" t="s">
        <v>347</v>
      </c>
      <c r="B71" s="177">
        <v>45426</v>
      </c>
      <c r="C71" s="176">
        <v>8.9</v>
      </c>
      <c r="D71" s="176">
        <v>17.899999999999999</v>
      </c>
      <c r="E71" s="176">
        <v>12.5</v>
      </c>
      <c r="F71" s="176">
        <v>100</v>
      </c>
      <c r="G71" s="176">
        <v>17.7</v>
      </c>
      <c r="H71" s="176" t="s">
        <v>348</v>
      </c>
      <c r="I71" s="176" t="s">
        <v>349</v>
      </c>
    </row>
    <row r="72" spans="1:9" x14ac:dyDescent="0.3">
      <c r="A72" s="176" t="s">
        <v>347</v>
      </c>
      <c r="B72" s="177">
        <v>45427</v>
      </c>
      <c r="C72" s="176">
        <v>6.6</v>
      </c>
      <c r="D72" s="176">
        <v>21.7</v>
      </c>
      <c r="E72" s="176">
        <v>14.6</v>
      </c>
      <c r="F72" s="176">
        <v>100</v>
      </c>
      <c r="G72" s="176">
        <v>0.5</v>
      </c>
      <c r="H72" s="176" t="s">
        <v>348</v>
      </c>
      <c r="I72" s="176" t="s">
        <v>349</v>
      </c>
    </row>
    <row r="73" spans="1:9" x14ac:dyDescent="0.3">
      <c r="A73" s="176" t="s">
        <v>347</v>
      </c>
      <c r="B73" s="177">
        <v>45428</v>
      </c>
      <c r="C73" s="176">
        <v>7.8</v>
      </c>
      <c r="D73" s="176">
        <v>22.9</v>
      </c>
      <c r="E73" s="176">
        <v>14.4</v>
      </c>
      <c r="F73" s="176">
        <v>100</v>
      </c>
      <c r="G73" s="176">
        <v>0.5</v>
      </c>
      <c r="H73" s="176" t="s">
        <v>348</v>
      </c>
      <c r="I73" s="176" t="s">
        <v>349</v>
      </c>
    </row>
    <row r="74" spans="1:9" x14ac:dyDescent="0.3">
      <c r="A74" s="176" t="s">
        <v>347</v>
      </c>
      <c r="B74" s="177">
        <v>45429</v>
      </c>
      <c r="C74" s="176">
        <v>5</v>
      </c>
      <c r="D74" s="176">
        <v>9</v>
      </c>
      <c r="E74" s="176">
        <v>7.1</v>
      </c>
      <c r="F74" s="176">
        <v>100</v>
      </c>
      <c r="G74" s="176">
        <v>7.3</v>
      </c>
      <c r="H74" s="176" t="s">
        <v>348</v>
      </c>
      <c r="I74" s="176" t="s">
        <v>349</v>
      </c>
    </row>
    <row r="75" spans="1:9" x14ac:dyDescent="0.3">
      <c r="A75" s="176" t="s">
        <v>347</v>
      </c>
      <c r="B75" s="177">
        <v>45430</v>
      </c>
      <c r="C75" s="176">
        <v>1.8</v>
      </c>
      <c r="D75" s="176">
        <v>14.7</v>
      </c>
      <c r="E75" s="176">
        <v>8.1999999999999993</v>
      </c>
      <c r="F75" s="176">
        <v>100</v>
      </c>
      <c r="G75" s="176">
        <v>0</v>
      </c>
      <c r="H75" s="176" t="s">
        <v>348</v>
      </c>
      <c r="I75" s="176" t="s">
        <v>349</v>
      </c>
    </row>
    <row r="76" spans="1:9" x14ac:dyDescent="0.3">
      <c r="A76" s="176" t="s">
        <v>347</v>
      </c>
      <c r="B76" s="177">
        <v>45431</v>
      </c>
      <c r="C76" s="176">
        <v>2.1</v>
      </c>
      <c r="D76" s="176">
        <v>12.6</v>
      </c>
      <c r="E76" s="176">
        <v>6.9</v>
      </c>
      <c r="F76" s="176">
        <v>100</v>
      </c>
      <c r="G76" s="176">
        <v>2.8</v>
      </c>
      <c r="H76" s="176" t="s">
        <v>348</v>
      </c>
      <c r="I76" s="176" t="s">
        <v>349</v>
      </c>
    </row>
    <row r="77" spans="1:9" x14ac:dyDescent="0.3">
      <c r="A77" s="176" t="s">
        <v>347</v>
      </c>
      <c r="B77" s="177">
        <v>45432</v>
      </c>
      <c r="C77" s="176">
        <v>4.4000000000000004</v>
      </c>
      <c r="D77" s="176">
        <v>11.8</v>
      </c>
      <c r="E77" s="176">
        <v>7.5</v>
      </c>
      <c r="F77" s="176">
        <v>100</v>
      </c>
      <c r="G77" s="176">
        <v>4.7</v>
      </c>
      <c r="H77" s="176" t="s">
        <v>348</v>
      </c>
      <c r="I77" s="176" t="s">
        <v>349</v>
      </c>
    </row>
    <row r="78" spans="1:9" x14ac:dyDescent="0.3">
      <c r="A78" s="176" t="s">
        <v>347</v>
      </c>
      <c r="B78" s="177">
        <v>45433</v>
      </c>
      <c r="C78" s="176">
        <v>5.7</v>
      </c>
      <c r="D78" s="176">
        <v>17.3</v>
      </c>
      <c r="E78" s="176">
        <v>10.9</v>
      </c>
      <c r="F78" s="176">
        <v>100</v>
      </c>
      <c r="G78" s="176">
        <v>0.6</v>
      </c>
      <c r="H78" s="176" t="s">
        <v>348</v>
      </c>
      <c r="I78" s="176" t="s">
        <v>349</v>
      </c>
    </row>
    <row r="79" spans="1:9" x14ac:dyDescent="0.3">
      <c r="A79" s="176" t="s">
        <v>347</v>
      </c>
      <c r="B79" s="177">
        <v>45434</v>
      </c>
      <c r="C79" s="176">
        <v>4.0999999999999996</v>
      </c>
      <c r="D79" s="176">
        <v>12.4</v>
      </c>
      <c r="E79" s="176">
        <v>9</v>
      </c>
      <c r="F79" s="176">
        <v>100</v>
      </c>
      <c r="G79" s="176">
        <v>0</v>
      </c>
      <c r="H79" s="176" t="s">
        <v>348</v>
      </c>
      <c r="I79" s="176" t="s">
        <v>349</v>
      </c>
    </row>
    <row r="80" spans="1:9" x14ac:dyDescent="0.3">
      <c r="A80" s="176" t="s">
        <v>347</v>
      </c>
      <c r="B80" s="177">
        <v>45435</v>
      </c>
      <c r="C80" s="184">
        <v>1.8</v>
      </c>
      <c r="D80" s="176">
        <v>15.1</v>
      </c>
      <c r="E80" s="176">
        <v>8.6</v>
      </c>
      <c r="F80" s="176">
        <v>100</v>
      </c>
      <c r="G80" s="176">
        <v>0.3</v>
      </c>
      <c r="H80" s="176" t="s">
        <v>348</v>
      </c>
      <c r="I80" s="176" t="s">
        <v>349</v>
      </c>
    </row>
    <row r="81" spans="1:9" x14ac:dyDescent="0.3">
      <c r="A81" s="176" t="s">
        <v>347</v>
      </c>
      <c r="B81" s="177">
        <v>45436</v>
      </c>
      <c r="C81" s="176">
        <v>4.5999999999999996</v>
      </c>
      <c r="D81" s="176">
        <v>18.600000000000001</v>
      </c>
      <c r="E81" s="176">
        <v>10.7</v>
      </c>
      <c r="F81" s="176">
        <v>100</v>
      </c>
      <c r="G81" s="176">
        <v>0</v>
      </c>
      <c r="H81" s="176" t="s">
        <v>348</v>
      </c>
      <c r="I81" s="176" t="s">
        <v>349</v>
      </c>
    </row>
    <row r="82" spans="1:9" x14ac:dyDescent="0.3">
      <c r="A82" s="176" t="s">
        <v>347</v>
      </c>
      <c r="B82" s="177">
        <v>45437</v>
      </c>
      <c r="C82" s="176">
        <v>3.7</v>
      </c>
      <c r="D82" s="176">
        <v>20</v>
      </c>
      <c r="E82" s="176">
        <v>12.8</v>
      </c>
      <c r="F82" s="176">
        <v>100</v>
      </c>
      <c r="G82" s="176">
        <v>0.5</v>
      </c>
      <c r="H82" s="176" t="s">
        <v>348</v>
      </c>
      <c r="I82" s="176" t="s">
        <v>349</v>
      </c>
    </row>
    <row r="83" spans="1:9" x14ac:dyDescent="0.3">
      <c r="A83" s="176" t="s">
        <v>347</v>
      </c>
      <c r="B83" s="177">
        <v>45438</v>
      </c>
      <c r="C83" s="176">
        <v>8.9</v>
      </c>
      <c r="D83" s="176">
        <v>19.8</v>
      </c>
      <c r="E83" s="176">
        <v>13.3</v>
      </c>
      <c r="F83" s="176">
        <v>100</v>
      </c>
      <c r="G83" s="176">
        <v>0</v>
      </c>
      <c r="H83" s="176" t="s">
        <v>348</v>
      </c>
      <c r="I83" s="176" t="s">
        <v>349</v>
      </c>
    </row>
    <row r="84" spans="1:9" x14ac:dyDescent="0.3">
      <c r="A84" s="176" t="s">
        <v>347</v>
      </c>
      <c r="B84" s="177">
        <v>45439</v>
      </c>
      <c r="C84" s="176">
        <v>8.8000000000000007</v>
      </c>
      <c r="D84" s="176">
        <v>22.4</v>
      </c>
      <c r="E84" s="176">
        <v>15.6</v>
      </c>
      <c r="F84" s="176">
        <v>100</v>
      </c>
      <c r="G84" s="176">
        <v>0</v>
      </c>
      <c r="H84" s="176" t="s">
        <v>348</v>
      </c>
      <c r="I84" s="176" t="s">
        <v>349</v>
      </c>
    </row>
    <row r="85" spans="1:9" x14ac:dyDescent="0.3">
      <c r="A85" s="176" t="s">
        <v>347</v>
      </c>
      <c r="B85" s="177">
        <v>45440</v>
      </c>
      <c r="C85" s="176">
        <v>8.5</v>
      </c>
      <c r="D85" s="176">
        <v>26.5</v>
      </c>
      <c r="E85" s="176">
        <v>17.7</v>
      </c>
      <c r="F85" s="176">
        <v>100</v>
      </c>
      <c r="G85" s="176">
        <v>2.1</v>
      </c>
      <c r="H85" s="176" t="s">
        <v>348</v>
      </c>
      <c r="I85" s="176" t="s">
        <v>349</v>
      </c>
    </row>
    <row r="86" spans="1:9" x14ac:dyDescent="0.3">
      <c r="A86" s="176" t="s">
        <v>347</v>
      </c>
      <c r="B86" s="177">
        <v>45441</v>
      </c>
      <c r="C86" s="176">
        <v>7.9</v>
      </c>
      <c r="D86" s="176">
        <v>19</v>
      </c>
      <c r="E86" s="176">
        <v>14.4</v>
      </c>
      <c r="F86" s="176">
        <v>100</v>
      </c>
      <c r="G86" s="176">
        <v>0.2</v>
      </c>
      <c r="H86" s="176" t="s">
        <v>348</v>
      </c>
      <c r="I86" s="176" t="s">
        <v>349</v>
      </c>
    </row>
    <row r="87" spans="1:9" x14ac:dyDescent="0.3">
      <c r="A87" s="176" t="s">
        <v>347</v>
      </c>
      <c r="B87" s="177">
        <v>45442</v>
      </c>
      <c r="C87" s="176">
        <v>6.5</v>
      </c>
      <c r="D87" s="176">
        <v>17.3</v>
      </c>
      <c r="E87" s="176">
        <v>11</v>
      </c>
      <c r="F87" s="176">
        <v>100</v>
      </c>
      <c r="G87" s="176">
        <v>0.1</v>
      </c>
      <c r="H87" s="176" t="s">
        <v>348</v>
      </c>
      <c r="I87" s="176" t="s">
        <v>349</v>
      </c>
    </row>
    <row r="88" spans="1:9" x14ac:dyDescent="0.3">
      <c r="A88" s="176" t="s">
        <v>347</v>
      </c>
      <c r="B88" s="177">
        <v>45443</v>
      </c>
      <c r="C88" s="176">
        <v>5.9</v>
      </c>
      <c r="D88" s="176">
        <v>18.899999999999999</v>
      </c>
      <c r="E88" s="176">
        <v>12.1</v>
      </c>
      <c r="F88" s="176">
        <v>100</v>
      </c>
      <c r="G88" s="176">
        <v>0</v>
      </c>
      <c r="H88" s="176" t="s">
        <v>348</v>
      </c>
      <c r="I88" s="176" t="s">
        <v>349</v>
      </c>
    </row>
    <row r="89" spans="1:9" x14ac:dyDescent="0.3">
      <c r="A89" s="176" t="s">
        <v>347</v>
      </c>
      <c r="B89" s="177">
        <v>45444</v>
      </c>
      <c r="C89" s="176">
        <v>2.5</v>
      </c>
      <c r="D89" s="176">
        <v>21.4</v>
      </c>
      <c r="E89" s="176">
        <v>13.2</v>
      </c>
      <c r="F89" s="176">
        <v>100</v>
      </c>
      <c r="G89" s="176">
        <v>0</v>
      </c>
      <c r="H89" s="176" t="s">
        <v>348</v>
      </c>
      <c r="I89" s="176" t="s">
        <v>349</v>
      </c>
    </row>
    <row r="90" spans="1:9" x14ac:dyDescent="0.3">
      <c r="A90" s="176" t="s">
        <v>347</v>
      </c>
      <c r="B90" s="177">
        <v>45445</v>
      </c>
      <c r="C90" s="176">
        <v>9.1</v>
      </c>
      <c r="D90" s="176">
        <v>22.8</v>
      </c>
      <c r="E90" s="176">
        <v>16.100000000000001</v>
      </c>
      <c r="F90" s="176">
        <v>100</v>
      </c>
      <c r="G90" s="176">
        <v>0</v>
      </c>
      <c r="H90" s="176" t="s">
        <v>348</v>
      </c>
      <c r="I90" s="176" t="s">
        <v>349</v>
      </c>
    </row>
    <row r="91" spans="1:9" x14ac:dyDescent="0.3">
      <c r="A91" s="176" t="s">
        <v>347</v>
      </c>
      <c r="B91" s="177">
        <v>45446</v>
      </c>
      <c r="C91" s="176">
        <v>9</v>
      </c>
      <c r="D91" s="176">
        <v>21.6</v>
      </c>
      <c r="E91" s="176">
        <v>14.9</v>
      </c>
      <c r="F91" s="176">
        <v>100</v>
      </c>
      <c r="G91" s="176">
        <v>3</v>
      </c>
      <c r="H91" s="176" t="s">
        <v>348</v>
      </c>
      <c r="I91" s="176" t="s">
        <v>349</v>
      </c>
    </row>
    <row r="92" spans="1:9" x14ac:dyDescent="0.3">
      <c r="A92" s="176" t="s">
        <v>347</v>
      </c>
      <c r="B92" s="177">
        <v>45447</v>
      </c>
      <c r="C92" s="176">
        <v>9</v>
      </c>
      <c r="D92" s="176">
        <v>19.600000000000001</v>
      </c>
      <c r="E92" s="176">
        <v>13.9</v>
      </c>
      <c r="F92" s="176">
        <v>100</v>
      </c>
      <c r="G92" s="176">
        <v>1.3</v>
      </c>
      <c r="H92" s="176" t="s">
        <v>348</v>
      </c>
      <c r="I92" s="176" t="s">
        <v>349</v>
      </c>
    </row>
    <row r="93" spans="1:9" x14ac:dyDescent="0.3">
      <c r="A93" s="176" t="s">
        <v>347</v>
      </c>
      <c r="B93" s="177">
        <v>45448</v>
      </c>
      <c r="C93" s="176">
        <v>9.1999999999999993</v>
      </c>
      <c r="D93" s="176">
        <v>21.5</v>
      </c>
      <c r="E93" s="176">
        <v>15.6</v>
      </c>
      <c r="F93" s="176">
        <v>100</v>
      </c>
      <c r="G93" s="176">
        <v>0</v>
      </c>
      <c r="H93" s="176" t="s">
        <v>348</v>
      </c>
      <c r="I93" s="176" t="s">
        <v>349</v>
      </c>
    </row>
    <row r="94" spans="1:9" x14ac:dyDescent="0.3">
      <c r="A94" s="176" t="s">
        <v>347</v>
      </c>
      <c r="B94" s="177">
        <v>45449</v>
      </c>
      <c r="C94" s="176">
        <v>4.0999999999999996</v>
      </c>
      <c r="D94" s="176">
        <v>25.9</v>
      </c>
      <c r="E94" s="176">
        <v>15.9</v>
      </c>
      <c r="F94" s="176">
        <v>100</v>
      </c>
      <c r="G94" s="176">
        <v>0</v>
      </c>
      <c r="H94" s="176" t="s">
        <v>348</v>
      </c>
      <c r="I94" s="176" t="s">
        <v>349</v>
      </c>
    </row>
    <row r="95" spans="1:9" x14ac:dyDescent="0.3">
      <c r="A95" s="176" t="s">
        <v>347</v>
      </c>
      <c r="B95" s="177">
        <v>45450</v>
      </c>
      <c r="C95" s="176">
        <v>10.8</v>
      </c>
      <c r="D95" s="176">
        <v>20.7</v>
      </c>
      <c r="E95" s="176">
        <v>15.5</v>
      </c>
      <c r="F95" s="176">
        <v>100</v>
      </c>
      <c r="G95" s="176">
        <v>0</v>
      </c>
      <c r="H95" s="176" t="s">
        <v>348</v>
      </c>
      <c r="I95" s="176" t="s">
        <v>349</v>
      </c>
    </row>
    <row r="96" spans="1:9" x14ac:dyDescent="0.3">
      <c r="A96" s="176" t="s">
        <v>347</v>
      </c>
      <c r="B96" s="177">
        <v>45451</v>
      </c>
      <c r="C96" s="176">
        <v>9</v>
      </c>
      <c r="D96" s="176">
        <v>18.7</v>
      </c>
      <c r="E96" s="176">
        <v>13.4</v>
      </c>
      <c r="F96" s="176">
        <v>100</v>
      </c>
      <c r="G96" s="176">
        <v>0</v>
      </c>
      <c r="H96" s="176" t="s">
        <v>348</v>
      </c>
      <c r="I96" s="176" t="s">
        <v>349</v>
      </c>
    </row>
    <row r="97" spans="1:9" x14ac:dyDescent="0.3">
      <c r="A97" s="176" t="s">
        <v>347</v>
      </c>
      <c r="B97" s="177">
        <v>45452</v>
      </c>
      <c r="C97" s="176">
        <v>7.8</v>
      </c>
      <c r="D97" s="176">
        <v>21.9</v>
      </c>
      <c r="E97" s="176">
        <v>14.2</v>
      </c>
      <c r="F97" s="176">
        <v>100</v>
      </c>
      <c r="G97" s="176">
        <v>0</v>
      </c>
      <c r="H97" s="176" t="s">
        <v>348</v>
      </c>
      <c r="I97" s="176" t="s">
        <v>349</v>
      </c>
    </row>
    <row r="98" spans="1:9" x14ac:dyDescent="0.3">
      <c r="A98" s="176" t="s">
        <v>347</v>
      </c>
      <c r="B98" s="177">
        <v>45453</v>
      </c>
      <c r="C98" s="176">
        <v>12.8</v>
      </c>
      <c r="D98" s="176">
        <v>25</v>
      </c>
      <c r="E98" s="176">
        <v>18.399999999999999</v>
      </c>
      <c r="F98" s="176">
        <v>100</v>
      </c>
      <c r="G98" s="176">
        <v>0.1</v>
      </c>
      <c r="H98" s="176" t="s">
        <v>348</v>
      </c>
      <c r="I98" s="176" t="s">
        <v>349</v>
      </c>
    </row>
    <row r="99" spans="1:9" x14ac:dyDescent="0.3">
      <c r="A99" s="176" t="s">
        <v>347</v>
      </c>
      <c r="B99" s="177">
        <v>45454</v>
      </c>
      <c r="C99" s="176">
        <v>10.4</v>
      </c>
      <c r="D99" s="176">
        <v>29.7</v>
      </c>
      <c r="E99" s="176">
        <v>20.100000000000001</v>
      </c>
      <c r="F99" s="176">
        <v>100</v>
      </c>
      <c r="G99" s="176">
        <v>0.2</v>
      </c>
      <c r="H99" s="176" t="s">
        <v>348</v>
      </c>
      <c r="I99" s="176" t="s">
        <v>349</v>
      </c>
    </row>
    <row r="100" spans="1:9" x14ac:dyDescent="0.3">
      <c r="A100" s="176" t="s">
        <v>347</v>
      </c>
      <c r="B100" s="177">
        <v>45455</v>
      </c>
      <c r="C100" s="176">
        <v>7.4</v>
      </c>
      <c r="D100" s="176">
        <v>24.5</v>
      </c>
      <c r="E100" s="176">
        <v>16.899999999999999</v>
      </c>
      <c r="F100" s="176">
        <v>100</v>
      </c>
      <c r="G100" s="176">
        <v>0</v>
      </c>
      <c r="H100" s="176" t="s">
        <v>348</v>
      </c>
      <c r="I100" s="176" t="s">
        <v>349</v>
      </c>
    </row>
    <row r="101" spans="1:9" x14ac:dyDescent="0.3">
      <c r="A101" s="176" t="s">
        <v>347</v>
      </c>
      <c r="B101" s="177">
        <v>45456</v>
      </c>
      <c r="C101" s="176">
        <v>4.5999999999999996</v>
      </c>
      <c r="D101" s="176">
        <v>24.2</v>
      </c>
      <c r="E101" s="176">
        <v>15.5</v>
      </c>
      <c r="F101" s="176">
        <v>100</v>
      </c>
      <c r="G101" s="176">
        <v>0</v>
      </c>
      <c r="H101" s="176" t="s">
        <v>348</v>
      </c>
      <c r="I101" s="176" t="s">
        <v>349</v>
      </c>
    </row>
    <row r="102" spans="1:9" x14ac:dyDescent="0.3">
      <c r="A102" s="176" t="s">
        <v>347</v>
      </c>
      <c r="B102" s="177">
        <v>45457</v>
      </c>
      <c r="C102" s="176">
        <v>11</v>
      </c>
      <c r="D102" s="176">
        <v>28</v>
      </c>
      <c r="E102" s="176">
        <v>19.3</v>
      </c>
      <c r="F102" s="176">
        <v>100</v>
      </c>
      <c r="G102" s="176">
        <v>0</v>
      </c>
      <c r="H102" s="176" t="s">
        <v>348</v>
      </c>
      <c r="I102" s="176" t="s">
        <v>349</v>
      </c>
    </row>
    <row r="103" spans="1:9" x14ac:dyDescent="0.3">
      <c r="A103" s="176" t="s">
        <v>347</v>
      </c>
      <c r="B103" s="177">
        <v>45458</v>
      </c>
      <c r="C103" s="176">
        <v>9.6</v>
      </c>
      <c r="D103" s="176">
        <v>19.3</v>
      </c>
      <c r="E103" s="176">
        <v>14.3</v>
      </c>
      <c r="F103" s="176">
        <v>100</v>
      </c>
      <c r="G103" s="176">
        <v>0.1</v>
      </c>
      <c r="H103" s="176" t="s">
        <v>348</v>
      </c>
      <c r="I103" s="176" t="s">
        <v>349</v>
      </c>
    </row>
    <row r="104" spans="1:9" x14ac:dyDescent="0.3">
      <c r="A104" s="176" t="s">
        <v>347</v>
      </c>
      <c r="B104" s="177">
        <v>45459</v>
      </c>
      <c r="C104" s="176">
        <v>6.1</v>
      </c>
      <c r="D104" s="176">
        <v>11.2</v>
      </c>
      <c r="E104" s="176">
        <v>9</v>
      </c>
      <c r="F104" s="176">
        <v>100</v>
      </c>
      <c r="G104" s="176">
        <v>13.7</v>
      </c>
      <c r="H104" s="176" t="s">
        <v>348</v>
      </c>
      <c r="I104" s="176" t="s">
        <v>349</v>
      </c>
    </row>
    <row r="105" spans="1:9" x14ac:dyDescent="0.3">
      <c r="A105" s="176" t="s">
        <v>347</v>
      </c>
      <c r="B105" s="177">
        <v>45460</v>
      </c>
      <c r="C105" s="176">
        <v>6.3</v>
      </c>
      <c r="D105" s="176">
        <v>11.4</v>
      </c>
      <c r="E105" s="176">
        <v>8.6999999999999993</v>
      </c>
      <c r="F105" s="176">
        <v>100</v>
      </c>
      <c r="G105" s="176">
        <v>2.2000000000000002</v>
      </c>
      <c r="H105" s="176" t="s">
        <v>348</v>
      </c>
      <c r="I105" s="176" t="s">
        <v>349</v>
      </c>
    </row>
    <row r="106" spans="1:9" x14ac:dyDescent="0.3">
      <c r="A106" s="176" t="s">
        <v>347</v>
      </c>
      <c r="B106" s="177">
        <v>45461</v>
      </c>
      <c r="C106" s="176">
        <v>5</v>
      </c>
      <c r="D106" s="176">
        <v>11.1</v>
      </c>
      <c r="E106" s="176">
        <v>7.2</v>
      </c>
      <c r="F106" s="176">
        <v>100</v>
      </c>
      <c r="G106" s="176">
        <v>1.4</v>
      </c>
      <c r="H106" s="176" t="s">
        <v>348</v>
      </c>
      <c r="I106" s="176" t="s">
        <v>349</v>
      </c>
    </row>
    <row r="107" spans="1:9" x14ac:dyDescent="0.3">
      <c r="A107" s="176" t="s">
        <v>347</v>
      </c>
      <c r="B107" s="177">
        <v>45462</v>
      </c>
      <c r="C107" s="176">
        <v>2.7</v>
      </c>
      <c r="D107" s="176">
        <v>18</v>
      </c>
      <c r="E107" s="176">
        <v>11.2</v>
      </c>
      <c r="F107" s="176">
        <v>100</v>
      </c>
      <c r="G107" s="176">
        <v>0</v>
      </c>
      <c r="H107" s="176" t="s">
        <v>348</v>
      </c>
      <c r="I107" s="176" t="s">
        <v>349</v>
      </c>
    </row>
    <row r="108" spans="1:9" x14ac:dyDescent="0.3">
      <c r="A108" s="176" t="s">
        <v>347</v>
      </c>
      <c r="B108" s="177">
        <v>45463</v>
      </c>
      <c r="C108" s="176">
        <v>5.6</v>
      </c>
      <c r="D108" s="176">
        <v>23.1</v>
      </c>
      <c r="E108" s="176">
        <v>14.6</v>
      </c>
      <c r="F108" s="176">
        <v>100</v>
      </c>
      <c r="G108" s="176">
        <v>0</v>
      </c>
      <c r="H108" s="176" t="s">
        <v>348</v>
      </c>
      <c r="I108" s="176" t="s">
        <v>349</v>
      </c>
    </row>
    <row r="109" spans="1:9" x14ac:dyDescent="0.3">
      <c r="A109" s="176" t="s">
        <v>347</v>
      </c>
      <c r="B109" s="177">
        <v>45464</v>
      </c>
      <c r="C109" s="176">
        <v>8.4</v>
      </c>
      <c r="D109" s="176">
        <v>22.9</v>
      </c>
      <c r="E109" s="176">
        <v>14.8</v>
      </c>
      <c r="F109" s="176">
        <v>100</v>
      </c>
      <c r="G109" s="176">
        <v>7.8</v>
      </c>
      <c r="H109" s="176" t="s">
        <v>348</v>
      </c>
      <c r="I109" s="176" t="s">
        <v>349</v>
      </c>
    </row>
    <row r="110" spans="1:9" x14ac:dyDescent="0.3">
      <c r="A110" s="176" t="s">
        <v>347</v>
      </c>
      <c r="B110" s="177">
        <v>45465</v>
      </c>
      <c r="C110" s="176">
        <v>8.6</v>
      </c>
      <c r="D110" s="176">
        <v>27.8</v>
      </c>
      <c r="E110" s="176">
        <v>18.8</v>
      </c>
      <c r="F110" s="176">
        <v>100</v>
      </c>
      <c r="G110" s="176">
        <v>0.2</v>
      </c>
      <c r="H110" s="176" t="s">
        <v>348</v>
      </c>
      <c r="I110" s="176" t="s">
        <v>349</v>
      </c>
    </row>
    <row r="111" spans="1:9" x14ac:dyDescent="0.3">
      <c r="A111" s="176" t="s">
        <v>347</v>
      </c>
      <c r="B111" s="177">
        <v>45466</v>
      </c>
      <c r="C111" s="176">
        <v>10.5</v>
      </c>
      <c r="D111" s="176">
        <v>30.5</v>
      </c>
      <c r="E111" s="176">
        <v>21.9</v>
      </c>
      <c r="F111" s="176">
        <v>100</v>
      </c>
      <c r="G111" s="176">
        <v>0.1</v>
      </c>
      <c r="H111" s="176" t="s">
        <v>348</v>
      </c>
      <c r="I111" s="176" t="s">
        <v>349</v>
      </c>
    </row>
    <row r="112" spans="1:9" x14ac:dyDescent="0.3">
      <c r="A112" s="176" t="s">
        <v>347</v>
      </c>
      <c r="B112" s="177">
        <v>45467</v>
      </c>
      <c r="C112" s="176">
        <v>9.1</v>
      </c>
      <c r="D112" s="176">
        <v>26.2</v>
      </c>
      <c r="E112" s="176">
        <v>19.899999999999999</v>
      </c>
      <c r="F112" s="176">
        <v>100</v>
      </c>
      <c r="G112" s="176">
        <v>0</v>
      </c>
      <c r="H112" s="176" t="s">
        <v>348</v>
      </c>
      <c r="I112" s="176" t="s">
        <v>349</v>
      </c>
    </row>
    <row r="113" spans="1:9" x14ac:dyDescent="0.3">
      <c r="A113" s="176" t="s">
        <v>347</v>
      </c>
      <c r="B113" s="177">
        <v>45468</v>
      </c>
      <c r="C113" s="176">
        <v>9.8000000000000007</v>
      </c>
      <c r="D113" s="176">
        <v>22.3</v>
      </c>
      <c r="E113" s="176">
        <v>16.8</v>
      </c>
      <c r="F113" s="176">
        <v>100</v>
      </c>
      <c r="G113" s="176">
        <v>0</v>
      </c>
      <c r="H113" s="176" t="s">
        <v>348</v>
      </c>
      <c r="I113" s="176" t="s">
        <v>349</v>
      </c>
    </row>
    <row r="114" spans="1:9" x14ac:dyDescent="0.3">
      <c r="A114" s="176" t="s">
        <v>347</v>
      </c>
      <c r="B114" s="177">
        <v>45469</v>
      </c>
      <c r="C114" s="176">
        <v>7</v>
      </c>
      <c r="D114" s="176">
        <v>26.3</v>
      </c>
      <c r="E114" s="176">
        <v>17.2</v>
      </c>
      <c r="F114" s="176">
        <v>100</v>
      </c>
      <c r="G114" s="176">
        <v>0</v>
      </c>
      <c r="H114" s="176" t="s">
        <v>348</v>
      </c>
      <c r="I114" s="176" t="s">
        <v>349</v>
      </c>
    </row>
    <row r="115" spans="1:9" x14ac:dyDescent="0.3">
      <c r="A115" s="176" t="s">
        <v>347</v>
      </c>
      <c r="B115" s="177">
        <v>45470</v>
      </c>
      <c r="C115" s="176">
        <v>10.4</v>
      </c>
      <c r="D115" s="176">
        <v>20.7</v>
      </c>
      <c r="E115" s="176">
        <v>15.2</v>
      </c>
      <c r="F115" s="176">
        <v>100</v>
      </c>
      <c r="G115" s="176">
        <v>7.2</v>
      </c>
      <c r="H115" s="176" t="s">
        <v>348</v>
      </c>
      <c r="I115" s="176" t="s">
        <v>349</v>
      </c>
    </row>
    <row r="116" spans="1:9" x14ac:dyDescent="0.3">
      <c r="A116" s="176" t="s">
        <v>347</v>
      </c>
      <c r="B116" s="177">
        <v>45471</v>
      </c>
      <c r="C116" s="176">
        <v>10.199999999999999</v>
      </c>
      <c r="D116" s="176">
        <v>19.399999999999999</v>
      </c>
      <c r="E116" s="176">
        <v>13.6</v>
      </c>
      <c r="F116" s="176">
        <v>100</v>
      </c>
      <c r="G116" s="176">
        <v>15</v>
      </c>
      <c r="H116" s="176" t="s">
        <v>348</v>
      </c>
      <c r="I116" s="176" t="s">
        <v>349</v>
      </c>
    </row>
    <row r="117" spans="1:9" x14ac:dyDescent="0.3">
      <c r="A117" s="176" t="s">
        <v>347</v>
      </c>
      <c r="B117" s="177">
        <v>45472</v>
      </c>
      <c r="C117" s="176">
        <v>6.4</v>
      </c>
      <c r="D117" s="176">
        <v>22.4</v>
      </c>
      <c r="E117" s="176">
        <v>15.7</v>
      </c>
      <c r="F117" s="176">
        <v>100</v>
      </c>
      <c r="G117" s="176">
        <v>0.1</v>
      </c>
      <c r="H117" s="176" t="s">
        <v>348</v>
      </c>
      <c r="I117" s="176" t="s">
        <v>349</v>
      </c>
    </row>
    <row r="118" spans="1:9" x14ac:dyDescent="0.3">
      <c r="A118" s="176" t="s">
        <v>347</v>
      </c>
      <c r="B118" s="177">
        <v>45473</v>
      </c>
      <c r="C118" s="176">
        <v>11.9</v>
      </c>
      <c r="D118" s="176">
        <v>22.3</v>
      </c>
      <c r="E118" s="176">
        <v>15.6</v>
      </c>
      <c r="F118" s="176">
        <v>100</v>
      </c>
      <c r="G118" s="176">
        <v>3.9</v>
      </c>
      <c r="H118" s="176" t="s">
        <v>348</v>
      </c>
      <c r="I118" s="176" t="s">
        <v>349</v>
      </c>
    </row>
    <row r="119" spans="1:9" x14ac:dyDescent="0.3">
      <c r="A119" s="176" t="s">
        <v>347</v>
      </c>
      <c r="B119" s="177">
        <v>45474</v>
      </c>
      <c r="C119" s="176">
        <v>12.8</v>
      </c>
      <c r="D119" s="176">
        <v>21.3</v>
      </c>
      <c r="E119" s="176">
        <v>15.9</v>
      </c>
      <c r="F119" s="176">
        <v>100</v>
      </c>
      <c r="G119" s="176">
        <v>2.4</v>
      </c>
      <c r="H119" s="176" t="s">
        <v>348</v>
      </c>
      <c r="I119" s="176" t="s">
        <v>349</v>
      </c>
    </row>
    <row r="120" spans="1:9" x14ac:dyDescent="0.3">
      <c r="A120" s="176" t="s">
        <v>347</v>
      </c>
      <c r="B120" s="177">
        <v>45475</v>
      </c>
      <c r="C120" s="176">
        <v>11.7</v>
      </c>
      <c r="D120" s="176">
        <v>23.6</v>
      </c>
      <c r="E120" s="176">
        <v>16.399999999999999</v>
      </c>
      <c r="F120" s="176">
        <v>100</v>
      </c>
      <c r="G120" s="176">
        <v>0.2</v>
      </c>
      <c r="H120" s="176" t="s">
        <v>348</v>
      </c>
      <c r="I120" s="176" t="s">
        <v>349</v>
      </c>
    </row>
    <row r="121" spans="1:9" x14ac:dyDescent="0.3">
      <c r="A121" s="176" t="s">
        <v>347</v>
      </c>
      <c r="B121" s="177">
        <v>45476</v>
      </c>
      <c r="C121" s="176">
        <v>9.9</v>
      </c>
      <c r="D121" s="176">
        <v>18.2</v>
      </c>
      <c r="E121" s="176">
        <v>14.2</v>
      </c>
      <c r="F121" s="176">
        <v>100</v>
      </c>
      <c r="G121" s="176">
        <v>0.5</v>
      </c>
      <c r="H121" s="176" t="s">
        <v>348</v>
      </c>
      <c r="I121" s="176" t="s">
        <v>349</v>
      </c>
    </row>
    <row r="122" spans="1:9" x14ac:dyDescent="0.3">
      <c r="A122" s="176" t="s">
        <v>347</v>
      </c>
      <c r="B122" s="177">
        <v>45477</v>
      </c>
      <c r="C122" s="176">
        <v>12.6</v>
      </c>
      <c r="D122" s="176">
        <v>23.1</v>
      </c>
      <c r="E122" s="176">
        <v>17.5</v>
      </c>
      <c r="F122" s="176">
        <v>100</v>
      </c>
      <c r="G122" s="176">
        <v>0</v>
      </c>
      <c r="H122" s="176" t="s">
        <v>348</v>
      </c>
      <c r="I122" s="176" t="s">
        <v>349</v>
      </c>
    </row>
    <row r="123" spans="1:9" x14ac:dyDescent="0.3">
      <c r="A123" s="176" t="s">
        <v>347</v>
      </c>
      <c r="B123" s="177">
        <v>45478</v>
      </c>
      <c r="C123" s="176">
        <v>9.1999999999999993</v>
      </c>
      <c r="D123" s="176">
        <v>24.5</v>
      </c>
      <c r="E123" s="176">
        <v>17.8</v>
      </c>
      <c r="F123" s="176">
        <v>100</v>
      </c>
      <c r="G123" s="176">
        <v>0</v>
      </c>
      <c r="H123" s="176" t="s">
        <v>348</v>
      </c>
      <c r="I123" s="176" t="s">
        <v>349</v>
      </c>
    </row>
    <row r="124" spans="1:9" x14ac:dyDescent="0.3">
      <c r="A124" s="176" t="s">
        <v>347</v>
      </c>
      <c r="B124" s="177">
        <v>45479</v>
      </c>
      <c r="C124" s="176">
        <v>12.1</v>
      </c>
      <c r="D124" s="176">
        <v>25</v>
      </c>
      <c r="E124" s="176">
        <v>18.8</v>
      </c>
      <c r="F124" s="176">
        <v>100</v>
      </c>
      <c r="G124" s="176">
        <v>0</v>
      </c>
      <c r="H124" s="176" t="s">
        <v>348</v>
      </c>
      <c r="I124" s="176" t="s">
        <v>349</v>
      </c>
    </row>
    <row r="125" spans="1:9" x14ac:dyDescent="0.3">
      <c r="A125" s="176" t="s">
        <v>347</v>
      </c>
      <c r="B125" s="177">
        <v>45480</v>
      </c>
      <c r="C125" s="176">
        <v>11.5</v>
      </c>
      <c r="D125" s="176">
        <v>29</v>
      </c>
      <c r="E125" s="176">
        <v>21</v>
      </c>
      <c r="F125" s="176">
        <v>100</v>
      </c>
      <c r="G125" s="176">
        <v>0</v>
      </c>
      <c r="H125" s="176" t="s">
        <v>348</v>
      </c>
      <c r="I125" s="176" t="s">
        <v>349</v>
      </c>
    </row>
    <row r="126" spans="1:9" x14ac:dyDescent="0.3">
      <c r="A126" s="176" t="s">
        <v>347</v>
      </c>
      <c r="B126" s="177">
        <v>45481</v>
      </c>
      <c r="C126" s="176">
        <v>11.9</v>
      </c>
      <c r="D126" s="176">
        <v>31.9</v>
      </c>
      <c r="E126" s="176">
        <v>22.9</v>
      </c>
      <c r="F126" s="176">
        <v>100</v>
      </c>
      <c r="G126" s="176">
        <v>0.1</v>
      </c>
      <c r="H126" s="176" t="s">
        <v>348</v>
      </c>
      <c r="I126" s="176" t="s">
        <v>349</v>
      </c>
    </row>
    <row r="127" spans="1:9" x14ac:dyDescent="0.3">
      <c r="A127" s="176" t="s">
        <v>347</v>
      </c>
      <c r="B127" s="177">
        <v>45482</v>
      </c>
      <c r="C127" s="176">
        <v>13.3</v>
      </c>
      <c r="D127" s="176">
        <v>30.9</v>
      </c>
      <c r="E127" s="176">
        <v>22.8</v>
      </c>
      <c r="F127" s="176">
        <v>100</v>
      </c>
      <c r="G127" s="176">
        <v>0</v>
      </c>
      <c r="H127" s="176" t="s">
        <v>348</v>
      </c>
      <c r="I127" s="176" t="s">
        <v>349</v>
      </c>
    </row>
    <row r="128" spans="1:9" x14ac:dyDescent="0.3">
      <c r="A128" s="176" t="s">
        <v>347</v>
      </c>
      <c r="B128" s="177">
        <v>45483</v>
      </c>
      <c r="C128" s="176">
        <v>12.7</v>
      </c>
      <c r="D128" s="184">
        <v>34.6</v>
      </c>
      <c r="E128" s="184">
        <v>25.3</v>
      </c>
      <c r="F128" s="176">
        <v>100</v>
      </c>
      <c r="G128" s="176">
        <v>0</v>
      </c>
      <c r="H128" s="176" t="s">
        <v>348</v>
      </c>
      <c r="I128" s="176" t="s">
        <v>349</v>
      </c>
    </row>
    <row r="129" spans="1:9" x14ac:dyDescent="0.3">
      <c r="A129" s="176" t="s">
        <v>347</v>
      </c>
      <c r="B129" s="177">
        <v>45484</v>
      </c>
      <c r="C129" s="176">
        <v>15.9</v>
      </c>
      <c r="D129" s="176">
        <v>34.299999999999997</v>
      </c>
      <c r="E129" s="176">
        <v>25.1</v>
      </c>
      <c r="F129" s="176">
        <v>100</v>
      </c>
      <c r="G129" s="176">
        <v>0</v>
      </c>
      <c r="H129" s="176" t="s">
        <v>348</v>
      </c>
      <c r="I129" s="176" t="s">
        <v>349</v>
      </c>
    </row>
    <row r="130" spans="1:9" x14ac:dyDescent="0.3">
      <c r="A130" s="176" t="s">
        <v>347</v>
      </c>
      <c r="B130" s="177">
        <v>45485</v>
      </c>
      <c r="C130" s="176">
        <v>16</v>
      </c>
      <c r="D130" s="176">
        <v>25.3</v>
      </c>
      <c r="E130" s="176">
        <v>20.9</v>
      </c>
      <c r="F130" s="176">
        <v>100</v>
      </c>
      <c r="G130" s="176">
        <v>0</v>
      </c>
      <c r="H130" s="176" t="s">
        <v>348</v>
      </c>
      <c r="I130" s="176" t="s">
        <v>349</v>
      </c>
    </row>
    <row r="131" spans="1:9" x14ac:dyDescent="0.3">
      <c r="A131" s="176" t="s">
        <v>347</v>
      </c>
      <c r="B131" s="177">
        <v>45486</v>
      </c>
      <c r="C131" s="176">
        <v>12.8</v>
      </c>
      <c r="D131" s="176">
        <v>28.6</v>
      </c>
      <c r="E131" s="176">
        <v>20.8</v>
      </c>
      <c r="F131" s="176">
        <v>100</v>
      </c>
      <c r="G131" s="176">
        <v>0</v>
      </c>
      <c r="H131" s="176" t="s">
        <v>348</v>
      </c>
      <c r="I131" s="176" t="s">
        <v>349</v>
      </c>
    </row>
    <row r="132" spans="1:9" x14ac:dyDescent="0.3">
      <c r="A132" s="176" t="s">
        <v>347</v>
      </c>
      <c r="B132" s="177">
        <v>45487</v>
      </c>
      <c r="C132" s="176">
        <v>13.7</v>
      </c>
      <c r="D132" s="176">
        <v>25.6</v>
      </c>
      <c r="E132" s="176">
        <v>19.5</v>
      </c>
      <c r="F132" s="176">
        <v>100</v>
      </c>
      <c r="G132" s="176">
        <v>0</v>
      </c>
      <c r="H132" s="176" t="s">
        <v>348</v>
      </c>
      <c r="I132" s="176" t="s">
        <v>349</v>
      </c>
    </row>
    <row r="133" spans="1:9" x14ac:dyDescent="0.3">
      <c r="A133" s="176" t="s">
        <v>347</v>
      </c>
      <c r="B133" s="177">
        <v>45488</v>
      </c>
      <c r="C133" s="176">
        <v>11.4</v>
      </c>
      <c r="D133" s="176">
        <v>29</v>
      </c>
      <c r="E133" s="176">
        <v>20.8</v>
      </c>
      <c r="F133" s="176">
        <v>100</v>
      </c>
      <c r="G133" s="176">
        <v>0</v>
      </c>
      <c r="H133" s="176" t="s">
        <v>348</v>
      </c>
      <c r="I133" s="176" t="s">
        <v>349</v>
      </c>
    </row>
    <row r="134" spans="1:9" x14ac:dyDescent="0.3">
      <c r="A134" s="176" t="s">
        <v>347</v>
      </c>
      <c r="B134" s="177">
        <v>45489</v>
      </c>
      <c r="C134" s="176">
        <v>15.2</v>
      </c>
      <c r="D134" s="176">
        <v>29.1</v>
      </c>
      <c r="E134" s="176">
        <v>22.6</v>
      </c>
      <c r="F134" s="176">
        <v>100</v>
      </c>
      <c r="G134" s="176">
        <v>0</v>
      </c>
      <c r="H134" s="176" t="s">
        <v>348</v>
      </c>
      <c r="I134" s="176" t="s">
        <v>349</v>
      </c>
    </row>
    <row r="135" spans="1:9" x14ac:dyDescent="0.3">
      <c r="A135" s="176" t="s">
        <v>347</v>
      </c>
      <c r="B135" s="177">
        <v>45490</v>
      </c>
      <c r="C135" s="176">
        <v>15.2</v>
      </c>
      <c r="D135" s="176">
        <v>32.9</v>
      </c>
      <c r="E135" s="176">
        <v>23.8</v>
      </c>
      <c r="F135" s="176">
        <v>100</v>
      </c>
      <c r="G135" s="176">
        <v>0.8</v>
      </c>
      <c r="H135" s="176" t="s">
        <v>348</v>
      </c>
      <c r="I135" s="176" t="s">
        <v>349</v>
      </c>
    </row>
    <row r="136" spans="1:9" x14ac:dyDescent="0.3">
      <c r="A136" s="176" t="s">
        <v>347</v>
      </c>
      <c r="B136" s="177">
        <v>45491</v>
      </c>
      <c r="C136" s="176">
        <v>16.600000000000001</v>
      </c>
      <c r="D136" s="176">
        <v>28.1</v>
      </c>
      <c r="E136" s="176">
        <v>21.7</v>
      </c>
      <c r="F136" s="176">
        <v>100</v>
      </c>
      <c r="G136" s="176">
        <v>0</v>
      </c>
      <c r="H136" s="176" t="s">
        <v>348</v>
      </c>
      <c r="I136" s="176" t="s">
        <v>349</v>
      </c>
    </row>
    <row r="137" spans="1:9" x14ac:dyDescent="0.3">
      <c r="A137" s="176" t="s">
        <v>347</v>
      </c>
      <c r="B137" s="177">
        <v>45492</v>
      </c>
      <c r="C137" s="176">
        <v>12.8</v>
      </c>
      <c r="D137" s="176">
        <v>32.299999999999997</v>
      </c>
      <c r="E137" s="176">
        <v>22.6</v>
      </c>
      <c r="F137" s="176">
        <v>100</v>
      </c>
      <c r="G137" s="176">
        <v>0</v>
      </c>
      <c r="H137" s="176" t="s">
        <v>348</v>
      </c>
      <c r="I137" s="176" t="s">
        <v>349</v>
      </c>
    </row>
    <row r="138" spans="1:9" x14ac:dyDescent="0.3">
      <c r="A138" s="176" t="s">
        <v>347</v>
      </c>
      <c r="B138" s="177">
        <v>45493</v>
      </c>
      <c r="C138" s="176">
        <v>13.3</v>
      </c>
      <c r="D138" s="176">
        <v>31.6</v>
      </c>
      <c r="E138" s="176">
        <v>22.9</v>
      </c>
      <c r="F138" s="176">
        <v>100</v>
      </c>
      <c r="G138" s="176">
        <v>0</v>
      </c>
      <c r="H138" s="176" t="s">
        <v>348</v>
      </c>
      <c r="I138" s="176" t="s">
        <v>349</v>
      </c>
    </row>
    <row r="139" spans="1:9" x14ac:dyDescent="0.3">
      <c r="A139" s="176" t="s">
        <v>347</v>
      </c>
      <c r="B139" s="177">
        <v>45494</v>
      </c>
      <c r="C139" s="176">
        <v>14.6</v>
      </c>
      <c r="D139" s="176">
        <v>30.7</v>
      </c>
      <c r="E139" s="176">
        <v>23.5</v>
      </c>
      <c r="F139" s="176">
        <v>100</v>
      </c>
      <c r="G139" s="176">
        <v>0</v>
      </c>
      <c r="H139" s="176" t="s">
        <v>348</v>
      </c>
      <c r="I139" s="176" t="s">
        <v>349</v>
      </c>
    </row>
    <row r="140" spans="1:9" x14ac:dyDescent="0.3">
      <c r="A140" s="176" t="s">
        <v>347</v>
      </c>
      <c r="B140" s="177">
        <v>45495</v>
      </c>
      <c r="C140" s="176">
        <v>14.3</v>
      </c>
      <c r="D140" s="176">
        <v>30.8</v>
      </c>
      <c r="E140" s="176">
        <v>22.8</v>
      </c>
      <c r="F140" s="176">
        <v>100</v>
      </c>
      <c r="G140" s="176">
        <v>0</v>
      </c>
      <c r="H140" s="176" t="s">
        <v>348</v>
      </c>
      <c r="I140" s="176" t="s">
        <v>349</v>
      </c>
    </row>
    <row r="141" spans="1:9" x14ac:dyDescent="0.3">
      <c r="A141" s="176" t="s">
        <v>347</v>
      </c>
      <c r="B141" s="177">
        <v>45496</v>
      </c>
      <c r="C141" s="176">
        <v>13.7</v>
      </c>
      <c r="D141" s="176">
        <v>34.6</v>
      </c>
      <c r="E141" s="176">
        <v>24.3</v>
      </c>
      <c r="F141" s="176">
        <v>100</v>
      </c>
      <c r="G141" s="176">
        <v>0</v>
      </c>
      <c r="H141" s="176" t="s">
        <v>348</v>
      </c>
      <c r="I141" s="176" t="s">
        <v>349</v>
      </c>
    </row>
    <row r="142" spans="1:9" x14ac:dyDescent="0.3">
      <c r="A142" s="176" t="s">
        <v>347</v>
      </c>
      <c r="B142" s="177">
        <v>45497</v>
      </c>
      <c r="C142" s="176">
        <v>9.1999999999999993</v>
      </c>
      <c r="D142" s="176">
        <v>34.9</v>
      </c>
      <c r="E142" s="176">
        <v>24.1</v>
      </c>
      <c r="F142" s="176">
        <v>100</v>
      </c>
      <c r="G142" s="176">
        <v>0</v>
      </c>
      <c r="H142" s="176" t="s">
        <v>348</v>
      </c>
      <c r="I142" s="176" t="s">
        <v>349</v>
      </c>
    </row>
    <row r="143" spans="1:9" x14ac:dyDescent="0.3">
      <c r="A143" s="176" t="s">
        <v>347</v>
      </c>
      <c r="B143" s="177">
        <v>45498</v>
      </c>
      <c r="C143" s="176">
        <v>12.2</v>
      </c>
      <c r="D143" s="176">
        <v>28.1</v>
      </c>
      <c r="E143" s="176">
        <v>22.6</v>
      </c>
      <c r="F143" s="176">
        <v>100</v>
      </c>
      <c r="G143" s="176">
        <v>0</v>
      </c>
      <c r="H143" s="176" t="s">
        <v>348</v>
      </c>
      <c r="I143" s="176" t="s">
        <v>349</v>
      </c>
    </row>
    <row r="144" spans="1:9" x14ac:dyDescent="0.3">
      <c r="A144" s="176" t="s">
        <v>347</v>
      </c>
      <c r="B144" s="177">
        <v>45499</v>
      </c>
      <c r="C144" s="176">
        <v>11.2</v>
      </c>
      <c r="D144" s="176">
        <v>25.5</v>
      </c>
      <c r="E144" s="176">
        <v>18.2</v>
      </c>
      <c r="F144" s="176">
        <v>100</v>
      </c>
      <c r="G144" s="176">
        <v>0</v>
      </c>
      <c r="H144" s="176" t="s">
        <v>348</v>
      </c>
      <c r="I144" s="176" t="s">
        <v>349</v>
      </c>
    </row>
    <row r="145" spans="1:9" x14ac:dyDescent="0.3">
      <c r="A145" s="176" t="s">
        <v>347</v>
      </c>
      <c r="B145" s="177">
        <v>45500</v>
      </c>
      <c r="C145" s="176">
        <v>7.3</v>
      </c>
      <c r="D145" s="176">
        <v>22.4</v>
      </c>
      <c r="E145" s="176">
        <v>15.8</v>
      </c>
      <c r="F145" s="176">
        <v>100</v>
      </c>
      <c r="G145" s="176">
        <v>0</v>
      </c>
      <c r="H145" s="176" t="s">
        <v>348</v>
      </c>
      <c r="I145" s="176" t="s">
        <v>349</v>
      </c>
    </row>
    <row r="146" spans="1:9" x14ac:dyDescent="0.3">
      <c r="A146" s="176" t="s">
        <v>347</v>
      </c>
      <c r="B146" s="177">
        <v>45501</v>
      </c>
      <c r="C146" s="176">
        <v>8.3000000000000007</v>
      </c>
      <c r="D146" s="176">
        <v>27.2</v>
      </c>
      <c r="E146" s="176">
        <v>18.399999999999999</v>
      </c>
      <c r="F146" s="176">
        <v>100</v>
      </c>
      <c r="G146" s="176">
        <v>0</v>
      </c>
      <c r="H146" s="176" t="s">
        <v>348</v>
      </c>
      <c r="I146" s="176" t="s">
        <v>349</v>
      </c>
    </row>
    <row r="147" spans="1:9" x14ac:dyDescent="0.3">
      <c r="A147" s="176" t="s">
        <v>347</v>
      </c>
      <c r="B147" s="177">
        <v>45502</v>
      </c>
      <c r="C147" s="176">
        <v>11.2</v>
      </c>
      <c r="D147" s="176">
        <v>29.1</v>
      </c>
      <c r="E147" s="176">
        <v>21.1</v>
      </c>
      <c r="F147" s="176">
        <v>100</v>
      </c>
      <c r="G147" s="176">
        <v>0.1</v>
      </c>
      <c r="H147" s="176" t="s">
        <v>348</v>
      </c>
      <c r="I147" s="176" t="s">
        <v>349</v>
      </c>
    </row>
    <row r="148" spans="1:9" x14ac:dyDescent="0.3">
      <c r="A148" s="176" t="s">
        <v>347</v>
      </c>
      <c r="B148" s="177">
        <v>45503</v>
      </c>
      <c r="C148" s="176">
        <v>17.600000000000001</v>
      </c>
      <c r="D148" s="176">
        <v>28.2</v>
      </c>
      <c r="E148" s="176">
        <v>21.7</v>
      </c>
      <c r="F148" s="176">
        <v>100</v>
      </c>
      <c r="G148" s="176">
        <v>0.1</v>
      </c>
      <c r="H148" s="176" t="s">
        <v>348</v>
      </c>
      <c r="I148" s="176" t="s">
        <v>349</v>
      </c>
    </row>
    <row r="149" spans="1:9" x14ac:dyDescent="0.3">
      <c r="A149" s="176" t="s">
        <v>347</v>
      </c>
      <c r="B149" s="177">
        <v>45504</v>
      </c>
      <c r="C149" s="176">
        <v>15.4</v>
      </c>
      <c r="D149" s="176">
        <v>29.4</v>
      </c>
      <c r="E149" s="176">
        <v>23.1</v>
      </c>
      <c r="F149" s="176">
        <v>100</v>
      </c>
      <c r="G149" s="176">
        <v>0</v>
      </c>
      <c r="H149" s="176" t="s">
        <v>348</v>
      </c>
      <c r="I149" s="176" t="s">
        <v>349</v>
      </c>
    </row>
    <row r="150" spans="1:9" x14ac:dyDescent="0.3">
      <c r="A150" s="176" t="s">
        <v>347</v>
      </c>
      <c r="B150" s="177">
        <v>45505</v>
      </c>
      <c r="C150" s="176">
        <v>12.3</v>
      </c>
      <c r="D150" s="176">
        <v>33</v>
      </c>
      <c r="E150" s="176">
        <v>22.9</v>
      </c>
      <c r="F150" s="176">
        <v>100</v>
      </c>
      <c r="G150" s="176">
        <v>0</v>
      </c>
      <c r="H150" s="176" t="s">
        <v>348</v>
      </c>
      <c r="I150" s="176" t="s">
        <v>349</v>
      </c>
    </row>
    <row r="151" spans="1:9" x14ac:dyDescent="0.3">
      <c r="A151" s="176" t="s">
        <v>347</v>
      </c>
      <c r="B151" s="177">
        <v>45506</v>
      </c>
      <c r="C151" s="176">
        <v>13.2</v>
      </c>
      <c r="D151" s="176">
        <v>29.9</v>
      </c>
      <c r="E151" s="176">
        <v>22.3</v>
      </c>
      <c r="F151" s="176">
        <v>100</v>
      </c>
      <c r="G151" s="176">
        <v>0</v>
      </c>
      <c r="H151" s="176" t="s">
        <v>348</v>
      </c>
      <c r="I151" s="176" t="s">
        <v>349</v>
      </c>
    </row>
    <row r="152" spans="1:9" x14ac:dyDescent="0.3">
      <c r="A152" s="176" t="s">
        <v>347</v>
      </c>
      <c r="B152" s="177">
        <v>45507</v>
      </c>
      <c r="C152" s="176">
        <v>11.7</v>
      </c>
      <c r="D152" s="176">
        <v>30.6</v>
      </c>
      <c r="E152" s="176">
        <v>20.9</v>
      </c>
      <c r="F152" s="176">
        <v>100</v>
      </c>
      <c r="G152" s="176">
        <v>0</v>
      </c>
      <c r="H152" s="176" t="s">
        <v>348</v>
      </c>
      <c r="I152" s="176" t="s">
        <v>349</v>
      </c>
    </row>
    <row r="153" spans="1:9" x14ac:dyDescent="0.3">
      <c r="A153" s="176" t="s">
        <v>347</v>
      </c>
      <c r="B153" s="177">
        <v>45508</v>
      </c>
      <c r="C153" s="176">
        <v>12.8</v>
      </c>
      <c r="D153" s="176">
        <v>24.3</v>
      </c>
      <c r="E153" s="176">
        <v>18.600000000000001</v>
      </c>
      <c r="F153" s="176">
        <v>100</v>
      </c>
      <c r="G153" s="176">
        <v>0.2</v>
      </c>
      <c r="H153" s="176" t="s">
        <v>348</v>
      </c>
      <c r="I153" s="176" t="s">
        <v>349</v>
      </c>
    </row>
    <row r="154" spans="1:9" x14ac:dyDescent="0.3">
      <c r="A154" s="176" t="s">
        <v>347</v>
      </c>
      <c r="B154" s="177">
        <v>45509</v>
      </c>
      <c r="C154" s="176">
        <v>12.1</v>
      </c>
      <c r="D154" s="176">
        <v>27.6</v>
      </c>
      <c r="E154" s="176">
        <v>19.7</v>
      </c>
      <c r="F154" s="176">
        <v>100</v>
      </c>
      <c r="G154" s="176">
        <v>0.1</v>
      </c>
      <c r="H154" s="176" t="s">
        <v>348</v>
      </c>
      <c r="I154" s="176" t="s">
        <v>349</v>
      </c>
    </row>
    <row r="155" spans="1:9" x14ac:dyDescent="0.3">
      <c r="A155" s="176" t="s">
        <v>347</v>
      </c>
      <c r="B155" s="177">
        <v>45510</v>
      </c>
      <c r="C155" s="176">
        <v>12.2</v>
      </c>
      <c r="D155" s="176">
        <v>21.5</v>
      </c>
      <c r="E155" s="176">
        <v>16.5</v>
      </c>
      <c r="F155" s="176">
        <v>100</v>
      </c>
      <c r="G155" s="176">
        <v>3.3</v>
      </c>
      <c r="H155" s="176" t="s">
        <v>348</v>
      </c>
      <c r="I155" s="176" t="s">
        <v>349</v>
      </c>
    </row>
    <row r="156" spans="1:9" x14ac:dyDescent="0.3">
      <c r="A156" s="176" t="s">
        <v>347</v>
      </c>
      <c r="B156" s="177">
        <v>45511</v>
      </c>
      <c r="C156" s="176">
        <v>12.1</v>
      </c>
      <c r="D156" s="176">
        <v>21.3</v>
      </c>
      <c r="E156" s="176">
        <v>15.4</v>
      </c>
      <c r="F156" s="176">
        <v>100</v>
      </c>
      <c r="G156" s="176">
        <v>2.9</v>
      </c>
      <c r="H156" s="176" t="s">
        <v>348</v>
      </c>
      <c r="I156" s="176" t="s">
        <v>349</v>
      </c>
    </row>
    <row r="157" spans="1:9" x14ac:dyDescent="0.3">
      <c r="A157" s="176" t="s">
        <v>347</v>
      </c>
      <c r="B157" s="177">
        <v>45512</v>
      </c>
      <c r="C157" s="176">
        <v>7.8</v>
      </c>
      <c r="D157" s="176">
        <v>22.4</v>
      </c>
      <c r="E157" s="176">
        <v>14.9</v>
      </c>
      <c r="F157" s="176">
        <v>100</v>
      </c>
      <c r="G157" s="176">
        <v>0</v>
      </c>
      <c r="H157" s="176" t="s">
        <v>348</v>
      </c>
      <c r="I157" s="176" t="s">
        <v>349</v>
      </c>
    </row>
    <row r="158" spans="1:9" x14ac:dyDescent="0.3">
      <c r="A158" s="176" t="s">
        <v>347</v>
      </c>
      <c r="B158" s="177">
        <v>45513</v>
      </c>
      <c r="C158" s="176">
        <v>6.9</v>
      </c>
      <c r="D158" s="176">
        <v>23.6</v>
      </c>
      <c r="E158" s="176">
        <v>15.2</v>
      </c>
      <c r="F158" s="176">
        <v>100</v>
      </c>
      <c r="G158" s="176">
        <v>0</v>
      </c>
      <c r="H158" s="176" t="s">
        <v>348</v>
      </c>
      <c r="I158" s="176" t="s">
        <v>349</v>
      </c>
    </row>
    <row r="159" spans="1:9" x14ac:dyDescent="0.3">
      <c r="A159" s="176" t="s">
        <v>347</v>
      </c>
      <c r="B159" s="177">
        <v>45514</v>
      </c>
      <c r="C159" s="176">
        <v>8</v>
      </c>
      <c r="D159" s="176">
        <v>25.8</v>
      </c>
      <c r="E159" s="176">
        <v>17.3</v>
      </c>
      <c r="F159" s="176">
        <v>100</v>
      </c>
      <c r="G159" s="176">
        <v>0</v>
      </c>
      <c r="H159" s="176" t="s">
        <v>348</v>
      </c>
      <c r="I159" s="176" t="s">
        <v>349</v>
      </c>
    </row>
    <row r="160" spans="1:9" x14ac:dyDescent="0.3">
      <c r="A160" s="176" t="s">
        <v>347</v>
      </c>
      <c r="B160" s="177">
        <v>45515</v>
      </c>
      <c r="C160" s="176">
        <v>10.7</v>
      </c>
      <c r="D160" s="176">
        <v>28.5</v>
      </c>
      <c r="E160" s="176">
        <v>18.2</v>
      </c>
      <c r="F160" s="176">
        <v>100</v>
      </c>
      <c r="G160" s="176">
        <v>1.2</v>
      </c>
      <c r="H160" s="176" t="s">
        <v>348</v>
      </c>
      <c r="I160" s="176" t="s">
        <v>349</v>
      </c>
    </row>
    <row r="161" spans="1:9" x14ac:dyDescent="0.3">
      <c r="A161" s="176" t="s">
        <v>347</v>
      </c>
      <c r="B161" s="177">
        <v>45516</v>
      </c>
      <c r="C161" s="176">
        <v>12.7</v>
      </c>
      <c r="D161" s="176">
        <v>28.2</v>
      </c>
      <c r="E161" s="176">
        <v>19.7</v>
      </c>
      <c r="F161" s="176">
        <v>100</v>
      </c>
      <c r="G161" s="176">
        <v>0</v>
      </c>
      <c r="H161" s="176" t="s">
        <v>348</v>
      </c>
      <c r="I161" s="176" t="s">
        <v>349</v>
      </c>
    </row>
    <row r="162" spans="1:9" x14ac:dyDescent="0.3">
      <c r="A162" s="176" t="s">
        <v>347</v>
      </c>
      <c r="B162" s="177">
        <v>45517</v>
      </c>
      <c r="C162" s="176">
        <v>10.6</v>
      </c>
      <c r="D162" s="176">
        <v>28.8</v>
      </c>
      <c r="E162" s="176">
        <v>19.899999999999999</v>
      </c>
      <c r="F162" s="176">
        <v>100</v>
      </c>
      <c r="G162" s="176">
        <v>0.1</v>
      </c>
      <c r="H162" s="176" t="s">
        <v>348</v>
      </c>
      <c r="I162" s="176" t="s">
        <v>349</v>
      </c>
    </row>
    <row r="163" spans="1:9" x14ac:dyDescent="0.3">
      <c r="A163" s="176" t="s">
        <v>347</v>
      </c>
      <c r="B163" s="177">
        <v>45518</v>
      </c>
      <c r="C163" s="176">
        <v>11.8</v>
      </c>
      <c r="D163" s="176">
        <v>28.3</v>
      </c>
      <c r="E163" s="176">
        <v>20.100000000000001</v>
      </c>
      <c r="F163" s="176">
        <v>100</v>
      </c>
      <c r="G163" s="176">
        <v>0</v>
      </c>
      <c r="H163" s="176" t="s">
        <v>348</v>
      </c>
      <c r="I163" s="176" t="s">
        <v>349</v>
      </c>
    </row>
    <row r="164" spans="1:9" x14ac:dyDescent="0.3">
      <c r="A164" s="176" t="s">
        <v>347</v>
      </c>
      <c r="B164" s="177">
        <v>45519</v>
      </c>
      <c r="C164" s="176">
        <v>13</v>
      </c>
      <c r="D164" s="176">
        <v>25.1</v>
      </c>
      <c r="E164" s="176">
        <v>18.3</v>
      </c>
      <c r="F164" s="176">
        <v>100</v>
      </c>
      <c r="G164" s="176">
        <v>0.9</v>
      </c>
      <c r="H164" s="176" t="s">
        <v>348</v>
      </c>
      <c r="I164" s="176" t="s">
        <v>349</v>
      </c>
    </row>
    <row r="165" spans="1:9" x14ac:dyDescent="0.3">
      <c r="A165" s="176" t="s">
        <v>347</v>
      </c>
      <c r="B165" s="177">
        <v>45520</v>
      </c>
      <c r="C165" s="176">
        <v>12</v>
      </c>
      <c r="D165" s="176">
        <v>22.7</v>
      </c>
      <c r="E165" s="176">
        <v>16.3</v>
      </c>
      <c r="F165" s="176">
        <v>100</v>
      </c>
      <c r="G165" s="176">
        <v>1.6</v>
      </c>
      <c r="H165" s="176" t="s">
        <v>348</v>
      </c>
      <c r="I165" s="176" t="s">
        <v>349</v>
      </c>
    </row>
    <row r="166" spans="1:9" x14ac:dyDescent="0.3">
      <c r="A166" s="176" t="s">
        <v>347</v>
      </c>
      <c r="B166" s="177">
        <v>45521</v>
      </c>
      <c r="C166" s="176">
        <v>8.8000000000000007</v>
      </c>
      <c r="D166" s="176">
        <v>28.4</v>
      </c>
      <c r="E166" s="176">
        <v>18.100000000000001</v>
      </c>
      <c r="F166" s="176">
        <v>100</v>
      </c>
      <c r="G166" s="176">
        <v>0</v>
      </c>
      <c r="H166" s="176" t="s">
        <v>348</v>
      </c>
      <c r="I166" s="176" t="s">
        <v>349</v>
      </c>
    </row>
    <row r="167" spans="1:9" x14ac:dyDescent="0.3">
      <c r="A167" s="176" t="s">
        <v>347</v>
      </c>
      <c r="B167" s="177">
        <v>45522</v>
      </c>
      <c r="C167" s="176">
        <v>11</v>
      </c>
      <c r="D167" s="176">
        <v>28.1</v>
      </c>
      <c r="E167" s="176">
        <v>19.3</v>
      </c>
      <c r="F167" s="176">
        <v>100</v>
      </c>
      <c r="G167" s="176">
        <v>0</v>
      </c>
      <c r="H167" s="176" t="s">
        <v>348</v>
      </c>
      <c r="I167" s="176" t="s">
        <v>349</v>
      </c>
    </row>
    <row r="168" spans="1:9" x14ac:dyDescent="0.3">
      <c r="A168" s="176" t="s">
        <v>347</v>
      </c>
      <c r="B168" s="177">
        <v>45523</v>
      </c>
      <c r="C168" s="176">
        <v>12</v>
      </c>
      <c r="D168" s="176">
        <v>33.200000000000003</v>
      </c>
      <c r="E168" s="176">
        <v>22.8</v>
      </c>
      <c r="F168" s="176">
        <v>100</v>
      </c>
      <c r="G168" s="176">
        <v>0.2</v>
      </c>
      <c r="H168" s="176" t="s">
        <v>348</v>
      </c>
      <c r="I168" s="176" t="s">
        <v>349</v>
      </c>
    </row>
    <row r="169" spans="1:9" x14ac:dyDescent="0.3">
      <c r="A169" s="176" t="s">
        <v>347</v>
      </c>
      <c r="B169" s="177">
        <v>45524</v>
      </c>
      <c r="C169" s="176">
        <v>16.2</v>
      </c>
      <c r="D169" s="176">
        <v>29.5</v>
      </c>
      <c r="E169" s="176">
        <v>22.6</v>
      </c>
      <c r="F169" s="176">
        <v>100</v>
      </c>
      <c r="G169" s="176">
        <v>0</v>
      </c>
      <c r="H169" s="176" t="s">
        <v>348</v>
      </c>
      <c r="I169" s="176" t="s">
        <v>349</v>
      </c>
    </row>
    <row r="170" spans="1:9" x14ac:dyDescent="0.3">
      <c r="A170" s="176" t="s">
        <v>347</v>
      </c>
      <c r="B170" s="177">
        <v>45525</v>
      </c>
      <c r="C170" s="176">
        <v>10.6</v>
      </c>
      <c r="D170" s="176">
        <v>24.9</v>
      </c>
      <c r="E170" s="176">
        <v>18.5</v>
      </c>
      <c r="F170" s="176">
        <v>100</v>
      </c>
      <c r="G170" s="176">
        <v>0</v>
      </c>
      <c r="H170" s="176" t="s">
        <v>348</v>
      </c>
      <c r="I170" s="176" t="s">
        <v>349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F06E-C0C0-4525-920E-CE8F5E131AF4}">
  <sheetPr>
    <tabColor rgb="FFFFFF00"/>
  </sheetPr>
  <dimension ref="A1:I173"/>
  <sheetViews>
    <sheetView tabSelected="1" topLeftCell="A59" workbookViewId="0">
      <selection activeCell="B65" sqref="B65:B172"/>
    </sheetView>
  </sheetViews>
  <sheetFormatPr defaultColWidth="9" defaultRowHeight="14.4" x14ac:dyDescent="0.3"/>
  <cols>
    <col min="1" max="1" width="24" style="176" bestFit="1" customWidth="1"/>
    <col min="2" max="2" width="22" style="176" bestFit="1" customWidth="1"/>
    <col min="3" max="3" width="25.19921875" style="176" customWidth="1"/>
    <col min="4" max="4" width="18.19921875" style="176" customWidth="1"/>
    <col min="5" max="5" width="17.59765625" style="176" customWidth="1"/>
    <col min="6" max="6" width="33" style="176" bestFit="1" customWidth="1"/>
    <col min="7" max="7" width="10.8984375" style="176" bestFit="1" customWidth="1"/>
    <col min="8" max="8" width="15.5" style="176" bestFit="1" customWidth="1"/>
    <col min="9" max="16384" width="9" style="176"/>
  </cols>
  <sheetData>
    <row r="1" spans="1:9" x14ac:dyDescent="0.3">
      <c r="A1" s="176" t="s">
        <v>338</v>
      </c>
      <c r="B1" s="176" t="s">
        <v>339</v>
      </c>
      <c r="C1" s="176" t="s">
        <v>340</v>
      </c>
      <c r="D1" s="176" t="s">
        <v>341</v>
      </c>
      <c r="E1" s="176" t="s">
        <v>342</v>
      </c>
      <c r="F1" s="176" t="s">
        <v>343</v>
      </c>
      <c r="G1" s="176" t="s">
        <v>344</v>
      </c>
      <c r="H1" s="176" t="s">
        <v>345</v>
      </c>
      <c r="I1" s="176" t="s">
        <v>346</v>
      </c>
    </row>
    <row r="2" spans="1:9" x14ac:dyDescent="0.3">
      <c r="A2" s="176" t="s">
        <v>347</v>
      </c>
      <c r="B2" s="177">
        <v>45357</v>
      </c>
      <c r="C2" s="176">
        <v>-20.6</v>
      </c>
      <c r="D2" s="176">
        <v>-4.4000000000000004</v>
      </c>
      <c r="E2" s="176">
        <v>-13.9</v>
      </c>
      <c r="F2" s="176">
        <v>100</v>
      </c>
      <c r="G2" s="176">
        <v>0</v>
      </c>
      <c r="H2" s="176" t="s">
        <v>348</v>
      </c>
      <c r="I2" s="176" t="s">
        <v>349</v>
      </c>
    </row>
    <row r="3" spans="1:9" x14ac:dyDescent="0.3">
      <c r="A3" s="176" t="s">
        <v>347</v>
      </c>
      <c r="B3" s="177">
        <v>45358</v>
      </c>
      <c r="C3" s="176">
        <v>-22.3</v>
      </c>
      <c r="D3" s="176">
        <v>-1.2</v>
      </c>
      <c r="E3" s="176">
        <v>-12.2</v>
      </c>
      <c r="F3" s="176">
        <v>100</v>
      </c>
      <c r="G3" s="176">
        <v>0.6</v>
      </c>
      <c r="H3" s="176" t="s">
        <v>348</v>
      </c>
      <c r="I3" s="176" t="s">
        <v>349</v>
      </c>
    </row>
    <row r="4" spans="1:9" x14ac:dyDescent="0.3">
      <c r="A4" s="176" t="s">
        <v>347</v>
      </c>
      <c r="B4" s="177">
        <v>45359</v>
      </c>
      <c r="C4" s="176">
        <v>-8.6</v>
      </c>
      <c r="D4" s="176">
        <v>8.8000000000000007</v>
      </c>
      <c r="E4" s="176">
        <v>1.1000000000000001</v>
      </c>
      <c r="F4" s="176">
        <v>100</v>
      </c>
      <c r="G4" s="176">
        <v>0</v>
      </c>
      <c r="H4" s="176" t="s">
        <v>348</v>
      </c>
      <c r="I4" s="176" t="s">
        <v>349</v>
      </c>
    </row>
    <row r="5" spans="1:9" x14ac:dyDescent="0.3">
      <c r="A5" s="176" t="s">
        <v>347</v>
      </c>
      <c r="B5" s="177">
        <v>45360</v>
      </c>
      <c r="C5" s="176">
        <v>0.3</v>
      </c>
      <c r="D5" s="176">
        <v>12.8</v>
      </c>
      <c r="E5" s="176">
        <v>5.8</v>
      </c>
      <c r="F5" s="176">
        <v>100</v>
      </c>
      <c r="G5" s="176">
        <v>0</v>
      </c>
      <c r="H5" s="176" t="s">
        <v>348</v>
      </c>
      <c r="I5" s="176" t="s">
        <v>349</v>
      </c>
    </row>
    <row r="6" spans="1:9" x14ac:dyDescent="0.3">
      <c r="A6" s="176" t="s">
        <v>347</v>
      </c>
      <c r="B6" s="177">
        <v>45361</v>
      </c>
      <c r="C6" s="176">
        <v>-0.4</v>
      </c>
      <c r="D6" s="176">
        <v>11.6</v>
      </c>
      <c r="E6" s="176">
        <v>5.6</v>
      </c>
      <c r="F6" s="176">
        <v>100</v>
      </c>
      <c r="G6" s="176">
        <v>0</v>
      </c>
      <c r="H6" s="176" t="s">
        <v>348</v>
      </c>
      <c r="I6" s="176" t="s">
        <v>349</v>
      </c>
    </row>
    <row r="7" spans="1:9" x14ac:dyDescent="0.3">
      <c r="A7" s="176" t="s">
        <v>347</v>
      </c>
      <c r="B7" s="177">
        <v>45362</v>
      </c>
      <c r="C7" s="176">
        <v>0.3</v>
      </c>
      <c r="D7" s="176">
        <v>10.5</v>
      </c>
      <c r="E7" s="176">
        <v>5</v>
      </c>
      <c r="F7" s="176">
        <v>100</v>
      </c>
      <c r="G7" s="176">
        <v>0</v>
      </c>
      <c r="H7" s="176" t="s">
        <v>348</v>
      </c>
      <c r="I7" s="176" t="s">
        <v>349</v>
      </c>
    </row>
    <row r="8" spans="1:9" x14ac:dyDescent="0.3">
      <c r="A8" s="176" t="s">
        <v>347</v>
      </c>
      <c r="B8" s="177">
        <v>45363</v>
      </c>
      <c r="C8" s="176">
        <v>-0.3</v>
      </c>
      <c r="D8" s="176">
        <v>11.4</v>
      </c>
      <c r="E8" s="176">
        <v>5.4</v>
      </c>
      <c r="F8" s="176">
        <v>100</v>
      </c>
      <c r="G8" s="176">
        <v>0</v>
      </c>
      <c r="H8" s="176" t="s">
        <v>348</v>
      </c>
      <c r="I8" s="176" t="s">
        <v>349</v>
      </c>
    </row>
    <row r="9" spans="1:9" x14ac:dyDescent="0.3">
      <c r="A9" s="176" t="s">
        <v>347</v>
      </c>
      <c r="B9" s="177">
        <v>45364</v>
      </c>
      <c r="C9" s="176">
        <v>-0.9</v>
      </c>
      <c r="D9" s="176">
        <v>8.6</v>
      </c>
      <c r="E9" s="176">
        <v>2.8</v>
      </c>
      <c r="F9" s="176">
        <v>100</v>
      </c>
      <c r="G9" s="176">
        <v>0</v>
      </c>
      <c r="H9" s="176" t="s">
        <v>348</v>
      </c>
      <c r="I9" s="176" t="s">
        <v>349</v>
      </c>
    </row>
    <row r="10" spans="1:9" x14ac:dyDescent="0.3">
      <c r="A10" s="176" t="s">
        <v>347</v>
      </c>
      <c r="B10" s="177">
        <v>45365</v>
      </c>
      <c r="C10" s="176">
        <v>-4.0999999999999996</v>
      </c>
      <c r="D10" s="176">
        <v>10.5</v>
      </c>
      <c r="E10" s="176">
        <v>2.4</v>
      </c>
      <c r="F10" s="176">
        <v>100</v>
      </c>
      <c r="G10" s="176">
        <v>0</v>
      </c>
      <c r="H10" s="176" t="s">
        <v>348</v>
      </c>
      <c r="I10" s="176" t="s">
        <v>349</v>
      </c>
    </row>
    <row r="11" spans="1:9" x14ac:dyDescent="0.3">
      <c r="A11" s="176" t="s">
        <v>347</v>
      </c>
      <c r="B11" s="177">
        <v>45366</v>
      </c>
      <c r="C11" s="176">
        <v>-0.8</v>
      </c>
      <c r="D11" s="176">
        <v>14.8</v>
      </c>
      <c r="E11" s="176">
        <v>6.6</v>
      </c>
      <c r="F11" s="176">
        <v>100</v>
      </c>
      <c r="G11" s="176">
        <v>0</v>
      </c>
      <c r="H11" s="176" t="s">
        <v>348</v>
      </c>
      <c r="I11" s="176" t="s">
        <v>349</v>
      </c>
    </row>
    <row r="12" spans="1:9" x14ac:dyDescent="0.3">
      <c r="A12" s="176" t="s">
        <v>347</v>
      </c>
      <c r="B12" s="177">
        <v>45367</v>
      </c>
      <c r="C12" s="176">
        <v>-3</v>
      </c>
      <c r="D12" s="176">
        <v>15.3</v>
      </c>
      <c r="E12" s="176">
        <v>5.0999999999999996</v>
      </c>
      <c r="F12" s="176">
        <v>100</v>
      </c>
      <c r="G12" s="176">
        <v>0</v>
      </c>
      <c r="H12" s="176" t="s">
        <v>348</v>
      </c>
      <c r="I12" s="176" t="s">
        <v>349</v>
      </c>
    </row>
    <row r="13" spans="1:9" x14ac:dyDescent="0.3">
      <c r="A13" s="176" t="s">
        <v>347</v>
      </c>
      <c r="B13" s="177">
        <v>45368</v>
      </c>
      <c r="C13" s="176">
        <v>-4.0999999999999996</v>
      </c>
      <c r="D13" s="176">
        <v>20</v>
      </c>
      <c r="E13" s="176">
        <v>7</v>
      </c>
      <c r="F13" s="176">
        <v>100</v>
      </c>
      <c r="G13" s="176">
        <v>0</v>
      </c>
      <c r="H13" s="176" t="s">
        <v>348</v>
      </c>
      <c r="I13" s="176" t="s">
        <v>349</v>
      </c>
    </row>
    <row r="14" spans="1:9" x14ac:dyDescent="0.3">
      <c r="A14" s="176" t="s">
        <v>347</v>
      </c>
      <c r="B14" s="177">
        <v>45369</v>
      </c>
      <c r="C14" s="176">
        <v>2.2999999999999998</v>
      </c>
      <c r="D14" s="176">
        <v>19.7</v>
      </c>
      <c r="E14" s="176">
        <v>11.4</v>
      </c>
      <c r="F14" s="176">
        <v>100</v>
      </c>
      <c r="G14" s="176">
        <v>0</v>
      </c>
      <c r="H14" s="176" t="s">
        <v>348</v>
      </c>
      <c r="I14" s="176" t="s">
        <v>349</v>
      </c>
    </row>
    <row r="15" spans="1:9" x14ac:dyDescent="0.3">
      <c r="A15" s="176" t="s">
        <v>347</v>
      </c>
      <c r="B15" s="177">
        <v>45370</v>
      </c>
      <c r="C15" s="176">
        <v>-1.3</v>
      </c>
      <c r="D15" s="176">
        <v>8.3000000000000007</v>
      </c>
      <c r="E15" s="176">
        <v>3.9</v>
      </c>
      <c r="F15" s="176">
        <v>100</v>
      </c>
      <c r="G15" s="176">
        <v>0.2</v>
      </c>
      <c r="H15" s="176" t="s">
        <v>348</v>
      </c>
      <c r="I15" s="176" t="s">
        <v>349</v>
      </c>
    </row>
    <row r="16" spans="1:9" x14ac:dyDescent="0.3">
      <c r="A16" s="176" t="s">
        <v>347</v>
      </c>
      <c r="B16" s="177">
        <v>45371</v>
      </c>
      <c r="C16" s="176">
        <v>-7.2</v>
      </c>
      <c r="D16" s="176">
        <v>-1.2</v>
      </c>
      <c r="E16" s="176">
        <v>-4.2</v>
      </c>
      <c r="F16" s="176">
        <v>100</v>
      </c>
      <c r="G16" s="176">
        <v>2.2999999999999998</v>
      </c>
      <c r="H16" s="176" t="s">
        <v>348</v>
      </c>
      <c r="I16" s="176" t="s">
        <v>349</v>
      </c>
    </row>
    <row r="17" spans="1:9" x14ac:dyDescent="0.3">
      <c r="A17" s="176" t="s">
        <v>347</v>
      </c>
      <c r="B17" s="177">
        <v>45372</v>
      </c>
      <c r="C17" s="176">
        <v>-8.3000000000000007</v>
      </c>
      <c r="D17" s="176">
        <v>-5</v>
      </c>
      <c r="E17" s="176">
        <v>-7.1</v>
      </c>
      <c r="F17" s="176">
        <v>100</v>
      </c>
      <c r="G17" s="176">
        <v>10.9</v>
      </c>
      <c r="H17" s="176" t="s">
        <v>348</v>
      </c>
      <c r="I17" s="176" t="s">
        <v>349</v>
      </c>
    </row>
    <row r="18" spans="1:9" x14ac:dyDescent="0.3">
      <c r="A18" s="176" t="s">
        <v>347</v>
      </c>
      <c r="B18" s="177">
        <v>45373</v>
      </c>
      <c r="C18" s="176">
        <v>-10.6</v>
      </c>
      <c r="D18" s="176">
        <v>-5.4</v>
      </c>
      <c r="E18" s="176">
        <v>-7.2</v>
      </c>
      <c r="F18" s="176">
        <v>100</v>
      </c>
      <c r="G18" s="176">
        <v>2.1</v>
      </c>
      <c r="H18" s="176" t="s">
        <v>348</v>
      </c>
      <c r="I18" s="176" t="s">
        <v>349</v>
      </c>
    </row>
    <row r="19" spans="1:9" x14ac:dyDescent="0.3">
      <c r="A19" s="176" t="s">
        <v>347</v>
      </c>
      <c r="B19" s="177">
        <v>45374</v>
      </c>
      <c r="C19" s="176">
        <v>-8.1999999999999993</v>
      </c>
      <c r="D19" s="176">
        <v>-6.1</v>
      </c>
      <c r="E19" s="176">
        <v>-7.1</v>
      </c>
      <c r="F19" s="176">
        <v>100</v>
      </c>
      <c r="G19" s="176">
        <v>5.0999999999999996</v>
      </c>
      <c r="H19" s="176" t="s">
        <v>348</v>
      </c>
      <c r="I19" s="176" t="s">
        <v>349</v>
      </c>
    </row>
    <row r="20" spans="1:9" x14ac:dyDescent="0.3">
      <c r="A20" s="176" t="s">
        <v>347</v>
      </c>
      <c r="B20" s="177">
        <v>45375</v>
      </c>
      <c r="C20" s="176">
        <v>-8.9</v>
      </c>
      <c r="D20" s="176">
        <v>-2.7</v>
      </c>
      <c r="E20" s="176">
        <v>-6.6</v>
      </c>
      <c r="F20" s="176">
        <v>100</v>
      </c>
      <c r="G20" s="176">
        <v>2.9</v>
      </c>
      <c r="H20" s="176" t="s">
        <v>348</v>
      </c>
      <c r="I20" s="176" t="s">
        <v>349</v>
      </c>
    </row>
    <row r="21" spans="1:9" x14ac:dyDescent="0.3">
      <c r="A21" s="176" t="s">
        <v>347</v>
      </c>
      <c r="B21" s="177">
        <v>45376</v>
      </c>
      <c r="C21" s="176">
        <v>-18</v>
      </c>
      <c r="D21" s="176">
        <v>-2.8</v>
      </c>
      <c r="E21" s="176">
        <v>-8.6999999999999993</v>
      </c>
      <c r="F21" s="176">
        <v>100</v>
      </c>
      <c r="G21" s="176">
        <v>0.1</v>
      </c>
      <c r="H21" s="176" t="s">
        <v>348</v>
      </c>
      <c r="I21" s="176" t="s">
        <v>349</v>
      </c>
    </row>
    <row r="22" spans="1:9" x14ac:dyDescent="0.3">
      <c r="A22" s="176" t="s">
        <v>347</v>
      </c>
      <c r="B22" s="177">
        <v>45377</v>
      </c>
      <c r="C22" s="176">
        <v>-11.5</v>
      </c>
      <c r="D22" s="176">
        <v>1</v>
      </c>
      <c r="E22" s="176">
        <v>-6</v>
      </c>
      <c r="F22" s="176">
        <v>100</v>
      </c>
      <c r="G22" s="176">
        <v>0.4</v>
      </c>
      <c r="H22" s="176" t="s">
        <v>348</v>
      </c>
      <c r="I22" s="176" t="s">
        <v>349</v>
      </c>
    </row>
    <row r="23" spans="1:9" x14ac:dyDescent="0.3">
      <c r="A23" s="176" t="s">
        <v>347</v>
      </c>
      <c r="B23" s="177">
        <v>45378</v>
      </c>
      <c r="C23" s="176">
        <v>-10.4</v>
      </c>
      <c r="D23" s="176">
        <v>6.5</v>
      </c>
      <c r="E23" s="176">
        <v>2</v>
      </c>
      <c r="F23" s="176">
        <v>100</v>
      </c>
      <c r="G23" s="176">
        <v>0.1</v>
      </c>
      <c r="H23" s="176" t="s">
        <v>348</v>
      </c>
      <c r="I23" s="176" t="s">
        <v>349</v>
      </c>
    </row>
    <row r="24" spans="1:9" x14ac:dyDescent="0.3">
      <c r="A24" s="176" t="s">
        <v>347</v>
      </c>
      <c r="B24" s="177">
        <v>45379</v>
      </c>
      <c r="C24" s="176">
        <v>-3.3</v>
      </c>
      <c r="D24" s="176">
        <v>3.2</v>
      </c>
      <c r="E24" s="176">
        <v>-0.4</v>
      </c>
      <c r="F24" s="176">
        <v>100</v>
      </c>
      <c r="G24" s="176">
        <v>0</v>
      </c>
      <c r="H24" s="176" t="s">
        <v>348</v>
      </c>
      <c r="I24" s="176" t="s">
        <v>349</v>
      </c>
    </row>
    <row r="25" spans="1:9" x14ac:dyDescent="0.3">
      <c r="A25" s="176" t="s">
        <v>347</v>
      </c>
      <c r="B25" s="177">
        <v>45380</v>
      </c>
      <c r="C25" s="176">
        <v>-6</v>
      </c>
      <c r="D25" s="176">
        <v>-3.2</v>
      </c>
      <c r="E25" s="176">
        <v>-4.8</v>
      </c>
      <c r="F25" s="176">
        <v>100</v>
      </c>
      <c r="G25" s="176">
        <v>0.2</v>
      </c>
      <c r="H25" s="176" t="s">
        <v>348</v>
      </c>
      <c r="I25" s="176" t="s">
        <v>349</v>
      </c>
    </row>
    <row r="26" spans="1:9" x14ac:dyDescent="0.3">
      <c r="A26" s="176" t="s">
        <v>347</v>
      </c>
      <c r="B26" s="177">
        <v>45381</v>
      </c>
      <c r="C26" s="176">
        <v>-11</v>
      </c>
      <c r="D26" s="176">
        <v>4.8</v>
      </c>
      <c r="E26" s="176">
        <v>-2.7</v>
      </c>
      <c r="F26" s="176">
        <v>100</v>
      </c>
      <c r="G26" s="176">
        <v>0</v>
      </c>
      <c r="H26" s="176" t="s">
        <v>348</v>
      </c>
      <c r="I26" s="176" t="s">
        <v>349</v>
      </c>
    </row>
    <row r="27" spans="1:9" x14ac:dyDescent="0.3">
      <c r="A27" s="176" t="s">
        <v>347</v>
      </c>
      <c r="B27" s="177">
        <v>45382</v>
      </c>
      <c r="C27" s="176">
        <v>-5.4</v>
      </c>
      <c r="D27" s="176">
        <v>6.5</v>
      </c>
      <c r="E27" s="176">
        <v>-0.4</v>
      </c>
      <c r="F27" s="176">
        <v>100</v>
      </c>
      <c r="G27" s="176">
        <v>0.4</v>
      </c>
      <c r="H27" s="176" t="s">
        <v>348</v>
      </c>
      <c r="I27" s="176" t="s">
        <v>349</v>
      </c>
    </row>
    <row r="28" spans="1:9" x14ac:dyDescent="0.3">
      <c r="A28" s="176" t="s">
        <v>347</v>
      </c>
      <c r="B28" s="177">
        <v>45383</v>
      </c>
      <c r="C28" s="176">
        <v>-0.7</v>
      </c>
      <c r="D28" s="176">
        <v>16.100000000000001</v>
      </c>
      <c r="E28" s="176">
        <v>7.2</v>
      </c>
      <c r="F28" s="176">
        <v>100</v>
      </c>
      <c r="G28" s="176">
        <v>0</v>
      </c>
      <c r="H28" s="176" t="s">
        <v>348</v>
      </c>
      <c r="I28" s="176" t="s">
        <v>349</v>
      </c>
    </row>
    <row r="29" spans="1:9" x14ac:dyDescent="0.3">
      <c r="A29" s="176" t="s">
        <v>347</v>
      </c>
      <c r="B29" s="177">
        <v>45384</v>
      </c>
      <c r="C29" s="176">
        <v>-0.1</v>
      </c>
      <c r="D29" s="176">
        <v>20.3</v>
      </c>
      <c r="E29" s="176">
        <v>11.3</v>
      </c>
      <c r="F29" s="176">
        <v>100</v>
      </c>
      <c r="G29" s="176">
        <v>0</v>
      </c>
      <c r="H29" s="176" t="s">
        <v>348</v>
      </c>
      <c r="I29" s="176" t="s">
        <v>349</v>
      </c>
    </row>
    <row r="30" spans="1:9" x14ac:dyDescent="0.3">
      <c r="A30" s="176" t="s">
        <v>347</v>
      </c>
      <c r="B30" s="177">
        <v>45385</v>
      </c>
      <c r="C30" s="176">
        <v>4.9000000000000004</v>
      </c>
      <c r="D30" s="176">
        <v>17.8</v>
      </c>
      <c r="E30" s="176">
        <v>11.5</v>
      </c>
      <c r="F30" s="176">
        <v>100</v>
      </c>
      <c r="G30" s="176">
        <v>0</v>
      </c>
      <c r="H30" s="176" t="s">
        <v>348</v>
      </c>
      <c r="I30" s="176" t="s">
        <v>349</v>
      </c>
    </row>
    <row r="31" spans="1:9" x14ac:dyDescent="0.3">
      <c r="A31" s="176" t="s">
        <v>347</v>
      </c>
      <c r="B31" s="177">
        <v>45386</v>
      </c>
      <c r="C31" s="176">
        <v>0.1</v>
      </c>
      <c r="D31" s="176">
        <v>4.9000000000000004</v>
      </c>
      <c r="E31" s="176">
        <v>1.1000000000000001</v>
      </c>
      <c r="F31" s="176">
        <v>100</v>
      </c>
      <c r="G31" s="176">
        <v>16.7</v>
      </c>
      <c r="H31" s="176" t="s">
        <v>348</v>
      </c>
      <c r="I31" s="176" t="s">
        <v>349</v>
      </c>
    </row>
    <row r="32" spans="1:9" x14ac:dyDescent="0.3">
      <c r="A32" s="176" t="s">
        <v>347</v>
      </c>
      <c r="B32" s="177">
        <v>45387</v>
      </c>
      <c r="C32" s="176">
        <v>-0.4</v>
      </c>
      <c r="D32" s="176">
        <v>2.2000000000000002</v>
      </c>
      <c r="E32" s="176">
        <v>0.7</v>
      </c>
      <c r="F32" s="176">
        <v>100</v>
      </c>
      <c r="G32" s="176">
        <v>2.8</v>
      </c>
      <c r="H32" s="176" t="s">
        <v>348</v>
      </c>
      <c r="I32" s="176" t="s">
        <v>349</v>
      </c>
    </row>
    <row r="33" spans="1:9" x14ac:dyDescent="0.3">
      <c r="A33" s="176" t="s">
        <v>347</v>
      </c>
      <c r="B33" s="177">
        <v>45388</v>
      </c>
      <c r="C33" s="176">
        <v>0</v>
      </c>
      <c r="D33" s="176">
        <v>5.9</v>
      </c>
      <c r="E33" s="176">
        <v>2.2000000000000002</v>
      </c>
      <c r="F33" s="176">
        <v>100</v>
      </c>
      <c r="G33" s="176">
        <v>0.2</v>
      </c>
      <c r="H33" s="176" t="s">
        <v>348</v>
      </c>
      <c r="I33" s="176" t="s">
        <v>349</v>
      </c>
    </row>
    <row r="34" spans="1:9" x14ac:dyDescent="0.3">
      <c r="A34" s="176" t="s">
        <v>347</v>
      </c>
      <c r="B34" s="177">
        <v>45389</v>
      </c>
      <c r="C34" s="176">
        <v>2</v>
      </c>
      <c r="D34" s="176">
        <v>11.1</v>
      </c>
      <c r="E34" s="176">
        <v>5.9</v>
      </c>
      <c r="F34" s="176">
        <v>100</v>
      </c>
      <c r="G34" s="176">
        <v>1.7</v>
      </c>
      <c r="H34" s="176" t="s">
        <v>348</v>
      </c>
      <c r="I34" s="176" t="s">
        <v>349</v>
      </c>
    </row>
    <row r="35" spans="1:9" x14ac:dyDescent="0.3">
      <c r="A35" s="176" t="s">
        <v>347</v>
      </c>
      <c r="B35" s="177">
        <v>45390</v>
      </c>
      <c r="C35" s="176">
        <v>2.1</v>
      </c>
      <c r="D35" s="176">
        <v>13</v>
      </c>
      <c r="E35" s="176">
        <v>7.2</v>
      </c>
      <c r="F35" s="176">
        <v>100</v>
      </c>
      <c r="G35" s="176">
        <v>0</v>
      </c>
      <c r="H35" s="176" t="s">
        <v>348</v>
      </c>
      <c r="I35" s="176" t="s">
        <v>349</v>
      </c>
    </row>
    <row r="36" spans="1:9" x14ac:dyDescent="0.3">
      <c r="A36" s="176" t="s">
        <v>347</v>
      </c>
      <c r="B36" s="177">
        <v>45391</v>
      </c>
      <c r="C36" s="176">
        <v>3.2</v>
      </c>
      <c r="D36" s="176">
        <v>15.6</v>
      </c>
      <c r="E36" s="176">
        <v>9.1999999999999993</v>
      </c>
      <c r="F36" s="176">
        <v>100</v>
      </c>
      <c r="G36" s="176">
        <v>0</v>
      </c>
      <c r="H36" s="176" t="s">
        <v>348</v>
      </c>
      <c r="I36" s="176" t="s">
        <v>349</v>
      </c>
    </row>
    <row r="37" spans="1:9" x14ac:dyDescent="0.3">
      <c r="A37" s="176" t="s">
        <v>347</v>
      </c>
      <c r="B37" s="177">
        <v>45392</v>
      </c>
      <c r="C37" s="176">
        <v>-2.5</v>
      </c>
      <c r="D37" s="176">
        <v>12</v>
      </c>
      <c r="E37" s="176">
        <v>5.0999999999999996</v>
      </c>
      <c r="F37" s="176">
        <v>100</v>
      </c>
      <c r="G37" s="176">
        <v>0</v>
      </c>
      <c r="H37" s="176" t="s">
        <v>348</v>
      </c>
      <c r="I37" s="176" t="s">
        <v>349</v>
      </c>
    </row>
    <row r="38" spans="1:9" x14ac:dyDescent="0.3">
      <c r="A38" s="176" t="s">
        <v>347</v>
      </c>
      <c r="B38" s="177">
        <v>45393</v>
      </c>
      <c r="C38" s="176">
        <v>-2.9</v>
      </c>
      <c r="D38" s="176">
        <v>16.600000000000001</v>
      </c>
      <c r="E38" s="176">
        <v>8</v>
      </c>
      <c r="F38" s="176">
        <v>100</v>
      </c>
      <c r="G38" s="176">
        <v>0</v>
      </c>
      <c r="H38" s="176" t="s">
        <v>348</v>
      </c>
      <c r="I38" s="176" t="s">
        <v>349</v>
      </c>
    </row>
    <row r="39" spans="1:9" x14ac:dyDescent="0.3">
      <c r="A39" s="176" t="s">
        <v>347</v>
      </c>
      <c r="B39" s="177">
        <v>45394</v>
      </c>
      <c r="C39" s="176">
        <v>1.3</v>
      </c>
      <c r="D39" s="176">
        <v>18.3</v>
      </c>
      <c r="E39" s="176">
        <v>11.3</v>
      </c>
      <c r="F39" s="176">
        <v>100</v>
      </c>
      <c r="G39" s="176">
        <v>0</v>
      </c>
      <c r="H39" s="176" t="s">
        <v>348</v>
      </c>
      <c r="I39" s="176" t="s">
        <v>349</v>
      </c>
    </row>
    <row r="40" spans="1:9" x14ac:dyDescent="0.3">
      <c r="A40" s="176" t="s">
        <v>347</v>
      </c>
      <c r="B40" s="177">
        <v>45395</v>
      </c>
      <c r="C40" s="176">
        <v>1.4</v>
      </c>
      <c r="D40" s="176">
        <v>21.4</v>
      </c>
      <c r="E40" s="176">
        <v>12.5</v>
      </c>
      <c r="F40" s="176">
        <v>100</v>
      </c>
      <c r="G40" s="176">
        <v>0</v>
      </c>
      <c r="H40" s="176" t="s">
        <v>348</v>
      </c>
      <c r="I40" s="176" t="s">
        <v>349</v>
      </c>
    </row>
    <row r="41" spans="1:9" x14ac:dyDescent="0.3">
      <c r="A41" s="176" t="s">
        <v>347</v>
      </c>
      <c r="B41" s="177">
        <v>45396</v>
      </c>
      <c r="C41" s="176">
        <v>2.4</v>
      </c>
      <c r="D41" s="176">
        <v>19.100000000000001</v>
      </c>
      <c r="E41" s="176">
        <v>10.8</v>
      </c>
      <c r="F41" s="176">
        <v>100</v>
      </c>
      <c r="G41" s="176">
        <v>0</v>
      </c>
      <c r="H41" s="176" t="s">
        <v>348</v>
      </c>
      <c r="I41" s="176" t="s">
        <v>349</v>
      </c>
    </row>
    <row r="42" spans="1:9" x14ac:dyDescent="0.3">
      <c r="A42" s="176" t="s">
        <v>347</v>
      </c>
      <c r="B42" s="177">
        <v>45397</v>
      </c>
      <c r="C42" s="176">
        <v>3.5</v>
      </c>
      <c r="D42" s="176">
        <v>20.5</v>
      </c>
      <c r="E42" s="176">
        <v>12.7</v>
      </c>
      <c r="F42" s="176">
        <v>100</v>
      </c>
      <c r="G42" s="176">
        <v>0</v>
      </c>
      <c r="H42" s="176" t="s">
        <v>348</v>
      </c>
      <c r="I42" s="176" t="s">
        <v>349</v>
      </c>
    </row>
    <row r="43" spans="1:9" x14ac:dyDescent="0.3">
      <c r="A43" s="176" t="s">
        <v>347</v>
      </c>
      <c r="B43" s="177">
        <v>45398</v>
      </c>
      <c r="C43" s="176">
        <v>0.1</v>
      </c>
      <c r="D43" s="176">
        <v>8.5</v>
      </c>
      <c r="E43" s="176">
        <v>2.9</v>
      </c>
      <c r="F43" s="176">
        <v>100</v>
      </c>
      <c r="G43" s="176">
        <v>1.8</v>
      </c>
      <c r="H43" s="176" t="s">
        <v>348</v>
      </c>
      <c r="I43" s="176" t="s">
        <v>349</v>
      </c>
    </row>
    <row r="44" spans="1:9" x14ac:dyDescent="0.3">
      <c r="A44" s="176" t="s">
        <v>347</v>
      </c>
      <c r="B44" s="177">
        <v>45399</v>
      </c>
      <c r="C44" s="176">
        <v>-3.1</v>
      </c>
      <c r="D44" s="176">
        <v>4.9000000000000004</v>
      </c>
      <c r="E44" s="176">
        <v>0.4</v>
      </c>
      <c r="F44" s="176">
        <v>100</v>
      </c>
      <c r="G44" s="176">
        <v>0.2</v>
      </c>
      <c r="H44" s="176" t="s">
        <v>348</v>
      </c>
      <c r="I44" s="176" t="s">
        <v>349</v>
      </c>
    </row>
    <row r="45" spans="1:9" x14ac:dyDescent="0.3">
      <c r="A45" s="176" t="s">
        <v>347</v>
      </c>
      <c r="B45" s="177">
        <v>45400</v>
      </c>
      <c r="C45" s="176">
        <v>-6.7</v>
      </c>
      <c r="D45" s="176">
        <v>4.8</v>
      </c>
      <c r="E45" s="176">
        <v>-0.4</v>
      </c>
      <c r="F45" s="176">
        <v>100</v>
      </c>
      <c r="G45" s="176">
        <v>0</v>
      </c>
      <c r="H45" s="176" t="s">
        <v>348</v>
      </c>
      <c r="I45" s="176" t="s">
        <v>349</v>
      </c>
    </row>
    <row r="46" spans="1:9" x14ac:dyDescent="0.3">
      <c r="A46" s="176" t="s">
        <v>347</v>
      </c>
      <c r="B46" s="177">
        <v>45401</v>
      </c>
      <c r="C46" s="176">
        <v>-4.7</v>
      </c>
      <c r="D46" s="176">
        <v>4.4000000000000004</v>
      </c>
      <c r="E46" s="176">
        <v>-0.6</v>
      </c>
      <c r="F46" s="176">
        <v>100</v>
      </c>
      <c r="G46" s="176">
        <v>0</v>
      </c>
      <c r="H46" s="176" t="s">
        <v>348</v>
      </c>
      <c r="I46" s="176" t="s">
        <v>349</v>
      </c>
    </row>
    <row r="47" spans="1:9" x14ac:dyDescent="0.3">
      <c r="A47" s="176" t="s">
        <v>347</v>
      </c>
      <c r="B47" s="177">
        <v>45402</v>
      </c>
      <c r="C47" s="176">
        <v>-9.8000000000000007</v>
      </c>
      <c r="D47" s="176">
        <v>11.2</v>
      </c>
      <c r="E47" s="176">
        <v>1.6</v>
      </c>
      <c r="F47" s="176">
        <v>100</v>
      </c>
      <c r="G47" s="176">
        <v>0</v>
      </c>
      <c r="H47" s="176" t="s">
        <v>348</v>
      </c>
      <c r="I47" s="176" t="s">
        <v>349</v>
      </c>
    </row>
    <row r="48" spans="1:9" x14ac:dyDescent="0.3">
      <c r="A48" s="176" t="s">
        <v>347</v>
      </c>
      <c r="B48" s="177">
        <v>45403</v>
      </c>
      <c r="C48" s="176">
        <v>1.7</v>
      </c>
      <c r="D48" s="176">
        <v>13.7</v>
      </c>
      <c r="E48" s="176">
        <v>8.5</v>
      </c>
      <c r="F48" s="176">
        <v>100</v>
      </c>
      <c r="G48" s="176">
        <v>0.1</v>
      </c>
      <c r="H48" s="176" t="s">
        <v>348</v>
      </c>
      <c r="I48" s="176" t="s">
        <v>349</v>
      </c>
    </row>
    <row r="49" spans="1:9" x14ac:dyDescent="0.3">
      <c r="A49" s="176" t="s">
        <v>347</v>
      </c>
      <c r="B49" s="177">
        <v>45404</v>
      </c>
      <c r="C49" s="176">
        <v>3.4</v>
      </c>
      <c r="D49" s="176">
        <v>15.7</v>
      </c>
      <c r="E49" s="176">
        <v>9.9</v>
      </c>
      <c r="F49" s="176">
        <v>100</v>
      </c>
      <c r="G49" s="176">
        <v>0</v>
      </c>
      <c r="H49" s="176" t="s">
        <v>348</v>
      </c>
      <c r="I49" s="176" t="s">
        <v>349</v>
      </c>
    </row>
    <row r="50" spans="1:9" x14ac:dyDescent="0.3">
      <c r="A50" s="176" t="s">
        <v>347</v>
      </c>
      <c r="B50" s="177">
        <v>45405</v>
      </c>
      <c r="C50" s="176">
        <v>-2</v>
      </c>
      <c r="D50" s="176">
        <v>19</v>
      </c>
      <c r="E50" s="176">
        <v>9.6</v>
      </c>
      <c r="F50" s="176">
        <v>100</v>
      </c>
      <c r="G50" s="176">
        <v>0</v>
      </c>
      <c r="H50" s="176" t="s">
        <v>348</v>
      </c>
      <c r="I50" s="176" t="s">
        <v>349</v>
      </c>
    </row>
    <row r="51" spans="1:9" x14ac:dyDescent="0.3">
      <c r="A51" s="176" t="s">
        <v>347</v>
      </c>
      <c r="B51" s="177">
        <v>45406</v>
      </c>
      <c r="C51" s="176">
        <v>-0.4</v>
      </c>
      <c r="D51" s="176">
        <v>20.2</v>
      </c>
      <c r="E51" s="176">
        <v>11.7</v>
      </c>
      <c r="F51" s="176">
        <v>100</v>
      </c>
      <c r="G51" s="176">
        <v>0</v>
      </c>
      <c r="H51" s="176" t="s">
        <v>348</v>
      </c>
      <c r="I51" s="176" t="s">
        <v>349</v>
      </c>
    </row>
    <row r="52" spans="1:9" x14ac:dyDescent="0.3">
      <c r="A52" s="176" t="s">
        <v>347</v>
      </c>
      <c r="B52" s="177">
        <v>45407</v>
      </c>
      <c r="C52" s="176">
        <v>5</v>
      </c>
      <c r="D52" s="176">
        <v>18.100000000000001</v>
      </c>
      <c r="E52" s="176">
        <v>12.7</v>
      </c>
      <c r="F52" s="176">
        <v>100</v>
      </c>
      <c r="G52" s="176">
        <v>0</v>
      </c>
      <c r="H52" s="176" t="s">
        <v>348</v>
      </c>
      <c r="I52" s="176" t="s">
        <v>349</v>
      </c>
    </row>
    <row r="53" spans="1:9" x14ac:dyDescent="0.3">
      <c r="A53" s="176" t="s">
        <v>347</v>
      </c>
      <c r="B53" s="177">
        <v>45408</v>
      </c>
      <c r="C53" s="176">
        <v>4.5</v>
      </c>
      <c r="D53" s="176">
        <v>12.7</v>
      </c>
      <c r="E53" s="176">
        <v>9</v>
      </c>
      <c r="F53" s="176">
        <v>100</v>
      </c>
      <c r="G53" s="176">
        <v>0</v>
      </c>
      <c r="H53" s="176" t="s">
        <v>348</v>
      </c>
      <c r="I53" s="176" t="s">
        <v>349</v>
      </c>
    </row>
    <row r="54" spans="1:9" x14ac:dyDescent="0.3">
      <c r="A54" s="176" t="s">
        <v>347</v>
      </c>
      <c r="B54" s="177">
        <v>45409</v>
      </c>
      <c r="C54" s="176">
        <v>3.7</v>
      </c>
      <c r="D54" s="176">
        <v>12.6</v>
      </c>
      <c r="E54" s="176">
        <v>8.1</v>
      </c>
      <c r="F54" s="176">
        <v>100</v>
      </c>
      <c r="G54" s="176">
        <v>0</v>
      </c>
      <c r="H54" s="176" t="s">
        <v>348</v>
      </c>
      <c r="I54" s="176" t="s">
        <v>349</v>
      </c>
    </row>
    <row r="55" spans="1:9" x14ac:dyDescent="0.3">
      <c r="A55" s="176" t="s">
        <v>347</v>
      </c>
      <c r="B55" s="177">
        <v>45410</v>
      </c>
      <c r="C55" s="176">
        <v>5.2</v>
      </c>
      <c r="D55" s="176">
        <v>17.2</v>
      </c>
      <c r="E55" s="176">
        <v>10.7</v>
      </c>
      <c r="F55" s="176">
        <v>100</v>
      </c>
      <c r="G55" s="176">
        <v>0</v>
      </c>
      <c r="H55" s="176" t="s">
        <v>348</v>
      </c>
      <c r="I55" s="176" t="s">
        <v>349</v>
      </c>
    </row>
    <row r="56" spans="1:9" x14ac:dyDescent="0.3">
      <c r="A56" s="176" t="s">
        <v>347</v>
      </c>
      <c r="B56" s="177">
        <v>45411</v>
      </c>
      <c r="C56" s="176">
        <v>2.4</v>
      </c>
      <c r="D56" s="176">
        <v>15.3</v>
      </c>
      <c r="E56" s="176">
        <v>9.3000000000000007</v>
      </c>
      <c r="F56" s="176">
        <v>100</v>
      </c>
      <c r="G56" s="176">
        <v>0</v>
      </c>
      <c r="H56" s="176" t="s">
        <v>348</v>
      </c>
      <c r="I56" s="176" t="s">
        <v>349</v>
      </c>
    </row>
    <row r="57" spans="1:9" x14ac:dyDescent="0.3">
      <c r="A57" s="176" t="s">
        <v>347</v>
      </c>
      <c r="B57" s="177">
        <v>45412</v>
      </c>
      <c r="C57" s="176">
        <v>-2.8</v>
      </c>
      <c r="D57" s="176">
        <v>6.2</v>
      </c>
      <c r="E57" s="176">
        <v>2.2999999999999998</v>
      </c>
      <c r="F57" s="176">
        <v>100</v>
      </c>
      <c r="G57" s="176">
        <v>1.1000000000000001</v>
      </c>
      <c r="H57" s="176" t="s">
        <v>348</v>
      </c>
      <c r="I57" s="176" t="s">
        <v>349</v>
      </c>
    </row>
    <row r="58" spans="1:9" x14ac:dyDescent="0.3">
      <c r="A58" s="176" t="s">
        <v>347</v>
      </c>
      <c r="B58" s="177">
        <v>45413</v>
      </c>
      <c r="C58" s="176">
        <v>0.6</v>
      </c>
      <c r="D58" s="176">
        <v>4.2</v>
      </c>
      <c r="E58" s="176">
        <v>2.4</v>
      </c>
      <c r="F58" s="176">
        <v>100</v>
      </c>
      <c r="G58" s="176">
        <v>9.3000000000000007</v>
      </c>
      <c r="H58" s="176" t="s">
        <v>348</v>
      </c>
      <c r="I58" s="176" t="s">
        <v>349</v>
      </c>
    </row>
    <row r="59" spans="1:9" x14ac:dyDescent="0.3">
      <c r="A59" s="176" t="s">
        <v>347</v>
      </c>
      <c r="B59" s="177">
        <v>45414</v>
      </c>
      <c r="C59" s="176">
        <v>0</v>
      </c>
      <c r="D59" s="176">
        <v>6.5</v>
      </c>
      <c r="E59" s="176">
        <v>2.7</v>
      </c>
      <c r="F59" s="176">
        <v>100</v>
      </c>
      <c r="G59" s="176">
        <v>6.2</v>
      </c>
      <c r="H59" s="176" t="s">
        <v>348</v>
      </c>
      <c r="I59" s="176" t="s">
        <v>349</v>
      </c>
    </row>
    <row r="60" spans="1:9" x14ac:dyDescent="0.3">
      <c r="A60" s="176" t="s">
        <v>347</v>
      </c>
      <c r="B60" s="177">
        <v>45415</v>
      </c>
      <c r="C60" s="176">
        <v>0.7</v>
      </c>
      <c r="D60" s="176">
        <v>12.4</v>
      </c>
      <c r="E60" s="176">
        <v>6.1</v>
      </c>
      <c r="F60" s="176">
        <v>100</v>
      </c>
      <c r="G60" s="176">
        <v>0</v>
      </c>
      <c r="H60" s="176" t="s">
        <v>348</v>
      </c>
      <c r="I60" s="176" t="s">
        <v>349</v>
      </c>
    </row>
    <row r="61" spans="1:9" x14ac:dyDescent="0.3">
      <c r="A61" s="176" t="s">
        <v>347</v>
      </c>
      <c r="B61" s="177">
        <v>45416</v>
      </c>
      <c r="C61" s="176">
        <v>-1.1000000000000001</v>
      </c>
      <c r="D61" s="176">
        <v>16.3</v>
      </c>
      <c r="E61" s="176">
        <v>8.6</v>
      </c>
      <c r="F61" s="176">
        <v>100</v>
      </c>
      <c r="G61" s="176">
        <v>0.1</v>
      </c>
      <c r="H61" s="176" t="s">
        <v>348</v>
      </c>
      <c r="I61" s="176" t="s">
        <v>349</v>
      </c>
    </row>
    <row r="62" spans="1:9" x14ac:dyDescent="0.3">
      <c r="A62" s="176" t="s">
        <v>347</v>
      </c>
      <c r="B62" s="177">
        <v>45417</v>
      </c>
      <c r="C62" s="176">
        <v>4.4000000000000004</v>
      </c>
      <c r="D62" s="176">
        <v>12.8</v>
      </c>
      <c r="E62" s="176">
        <v>8.6</v>
      </c>
      <c r="F62" s="176">
        <v>100</v>
      </c>
      <c r="G62" s="176">
        <v>0.2</v>
      </c>
      <c r="H62" s="176" t="s">
        <v>348</v>
      </c>
      <c r="I62" s="176" t="s">
        <v>349</v>
      </c>
    </row>
    <row r="63" spans="1:9" x14ac:dyDescent="0.3">
      <c r="B63" s="177"/>
    </row>
    <row r="64" spans="1:9" s="183" customFormat="1" x14ac:dyDescent="0.3">
      <c r="A64" s="183" t="s">
        <v>338</v>
      </c>
      <c r="B64" s="183" t="s">
        <v>339</v>
      </c>
      <c r="C64" s="183" t="s">
        <v>340</v>
      </c>
      <c r="D64" s="183" t="s">
        <v>341</v>
      </c>
      <c r="E64" s="183" t="s">
        <v>342</v>
      </c>
      <c r="F64" s="183" t="s">
        <v>343</v>
      </c>
      <c r="G64" s="183" t="s">
        <v>344</v>
      </c>
      <c r="H64" s="183" t="s">
        <v>345</v>
      </c>
      <c r="I64" s="183" t="s">
        <v>346</v>
      </c>
    </row>
    <row r="65" spans="1:9" x14ac:dyDescent="0.3">
      <c r="A65" s="176" t="s">
        <v>347</v>
      </c>
      <c r="B65" s="177">
        <v>45418</v>
      </c>
      <c r="C65" s="176">
        <v>3.2</v>
      </c>
      <c r="D65" s="176">
        <v>17.8</v>
      </c>
      <c r="E65" s="176">
        <v>10.5</v>
      </c>
      <c r="F65" s="176">
        <v>100</v>
      </c>
      <c r="G65" s="176">
        <v>2.5</v>
      </c>
      <c r="H65" s="176" t="s">
        <v>348</v>
      </c>
      <c r="I65" s="176" t="s">
        <v>349</v>
      </c>
    </row>
    <row r="66" spans="1:9" x14ac:dyDescent="0.3">
      <c r="A66" s="176" t="s">
        <v>347</v>
      </c>
      <c r="B66" s="177">
        <v>45419</v>
      </c>
      <c r="C66" s="176">
        <v>3.2</v>
      </c>
      <c r="D66" s="176">
        <v>7.1</v>
      </c>
      <c r="E66" s="184">
        <v>5</v>
      </c>
      <c r="F66" s="176">
        <v>100</v>
      </c>
      <c r="G66" s="176">
        <v>36.299999999999997</v>
      </c>
      <c r="H66" s="176" t="s">
        <v>348</v>
      </c>
      <c r="I66" s="176" t="s">
        <v>349</v>
      </c>
    </row>
    <row r="67" spans="1:9" x14ac:dyDescent="0.3">
      <c r="A67" s="176" t="s">
        <v>347</v>
      </c>
      <c r="B67" s="177">
        <v>45420</v>
      </c>
      <c r="C67" s="176">
        <v>3.3</v>
      </c>
      <c r="D67" s="176">
        <v>12.5</v>
      </c>
      <c r="E67" s="176">
        <v>6.6</v>
      </c>
      <c r="F67" s="176">
        <v>100</v>
      </c>
      <c r="G67" s="176">
        <v>8.4</v>
      </c>
      <c r="H67" s="176" t="s">
        <v>348</v>
      </c>
      <c r="I67" s="176" t="s">
        <v>349</v>
      </c>
    </row>
    <row r="68" spans="1:9" x14ac:dyDescent="0.3">
      <c r="A68" s="176" t="s">
        <v>347</v>
      </c>
      <c r="B68" s="177">
        <v>45421</v>
      </c>
      <c r="C68" s="176">
        <v>2.8</v>
      </c>
      <c r="D68" s="176">
        <v>20.9</v>
      </c>
      <c r="E68" s="176">
        <v>11.6</v>
      </c>
      <c r="F68" s="176">
        <v>100</v>
      </c>
      <c r="G68" s="176">
        <v>0</v>
      </c>
      <c r="H68" s="176" t="s">
        <v>348</v>
      </c>
      <c r="I68" s="176" t="s">
        <v>349</v>
      </c>
    </row>
    <row r="69" spans="1:9" x14ac:dyDescent="0.3">
      <c r="A69" s="176" t="s">
        <v>347</v>
      </c>
      <c r="B69" s="177">
        <v>45422</v>
      </c>
      <c r="C69" s="176">
        <v>4.3</v>
      </c>
      <c r="D69" s="176">
        <v>26.9</v>
      </c>
      <c r="E69" s="176">
        <v>16.100000000000001</v>
      </c>
      <c r="F69" s="176">
        <v>100</v>
      </c>
      <c r="G69" s="176">
        <v>0.2</v>
      </c>
      <c r="H69" s="176" t="s">
        <v>348</v>
      </c>
      <c r="I69" s="176" t="s">
        <v>349</v>
      </c>
    </row>
    <row r="70" spans="1:9" x14ac:dyDescent="0.3">
      <c r="A70" s="176" t="s">
        <v>347</v>
      </c>
      <c r="B70" s="177">
        <v>45423</v>
      </c>
      <c r="C70" s="176">
        <v>8.6</v>
      </c>
      <c r="D70" s="176">
        <v>25.7</v>
      </c>
      <c r="E70" s="176">
        <v>18.2</v>
      </c>
      <c r="F70" s="176">
        <v>100</v>
      </c>
      <c r="G70" s="176">
        <v>0.1</v>
      </c>
      <c r="H70" s="176" t="s">
        <v>348</v>
      </c>
      <c r="I70" s="176" t="s">
        <v>349</v>
      </c>
    </row>
    <row r="71" spans="1:9" x14ac:dyDescent="0.3">
      <c r="A71" s="176" t="s">
        <v>347</v>
      </c>
      <c r="B71" s="177">
        <v>45424</v>
      </c>
      <c r="C71" s="176">
        <v>7</v>
      </c>
      <c r="D71" s="176">
        <v>28.2</v>
      </c>
      <c r="E71" s="176">
        <v>18</v>
      </c>
      <c r="F71" s="176">
        <v>100</v>
      </c>
      <c r="G71" s="176">
        <v>0</v>
      </c>
      <c r="H71" s="176" t="s">
        <v>348</v>
      </c>
      <c r="I71" s="176" t="s">
        <v>349</v>
      </c>
    </row>
    <row r="72" spans="1:9" x14ac:dyDescent="0.3">
      <c r="A72" s="176" t="s">
        <v>347</v>
      </c>
      <c r="B72" s="177">
        <v>45425</v>
      </c>
      <c r="C72" s="176">
        <v>8.1</v>
      </c>
      <c r="D72" s="176">
        <v>20.6</v>
      </c>
      <c r="E72" s="176">
        <v>15</v>
      </c>
      <c r="F72" s="176">
        <v>100</v>
      </c>
      <c r="G72" s="176">
        <v>0</v>
      </c>
      <c r="H72" s="176" t="s">
        <v>348</v>
      </c>
      <c r="I72" s="176" t="s">
        <v>349</v>
      </c>
    </row>
    <row r="73" spans="1:9" x14ac:dyDescent="0.3">
      <c r="A73" s="176" t="s">
        <v>347</v>
      </c>
      <c r="B73" s="177">
        <v>45426</v>
      </c>
      <c r="C73" s="176">
        <v>8.9</v>
      </c>
      <c r="D73" s="176">
        <v>17.899999999999999</v>
      </c>
      <c r="E73" s="176">
        <v>12.5</v>
      </c>
      <c r="F73" s="176">
        <v>100</v>
      </c>
      <c r="G73" s="176">
        <v>17.7</v>
      </c>
      <c r="H73" s="176" t="s">
        <v>348</v>
      </c>
      <c r="I73" s="176" t="s">
        <v>349</v>
      </c>
    </row>
    <row r="74" spans="1:9" x14ac:dyDescent="0.3">
      <c r="A74" s="176" t="s">
        <v>347</v>
      </c>
      <c r="B74" s="177">
        <v>45427</v>
      </c>
      <c r="C74" s="176">
        <v>6.6</v>
      </c>
      <c r="D74" s="176">
        <v>21.7</v>
      </c>
      <c r="E74" s="176">
        <v>14.6</v>
      </c>
      <c r="F74" s="176">
        <v>100</v>
      </c>
      <c r="G74" s="176">
        <v>0.5</v>
      </c>
      <c r="H74" s="176" t="s">
        <v>348</v>
      </c>
      <c r="I74" s="176" t="s">
        <v>349</v>
      </c>
    </row>
    <row r="75" spans="1:9" x14ac:dyDescent="0.3">
      <c r="A75" s="176" t="s">
        <v>347</v>
      </c>
      <c r="B75" s="177">
        <v>45428</v>
      </c>
      <c r="C75" s="176">
        <v>7.8</v>
      </c>
      <c r="D75" s="176">
        <v>22.9</v>
      </c>
      <c r="E75" s="176">
        <v>14.4</v>
      </c>
      <c r="F75" s="176">
        <v>100</v>
      </c>
      <c r="G75" s="176">
        <v>0.5</v>
      </c>
      <c r="H75" s="176" t="s">
        <v>348</v>
      </c>
      <c r="I75" s="176" t="s">
        <v>349</v>
      </c>
    </row>
    <row r="76" spans="1:9" x14ac:dyDescent="0.3">
      <c r="A76" s="176" t="s">
        <v>347</v>
      </c>
      <c r="B76" s="177">
        <v>45429</v>
      </c>
      <c r="C76" s="176">
        <v>5</v>
      </c>
      <c r="D76" s="176">
        <v>9</v>
      </c>
      <c r="E76" s="176">
        <v>7.1</v>
      </c>
      <c r="F76" s="176">
        <v>100</v>
      </c>
      <c r="G76" s="176">
        <v>7.3</v>
      </c>
      <c r="H76" s="176" t="s">
        <v>348</v>
      </c>
      <c r="I76" s="176" t="s">
        <v>349</v>
      </c>
    </row>
    <row r="77" spans="1:9" x14ac:dyDescent="0.3">
      <c r="A77" s="176" t="s">
        <v>347</v>
      </c>
      <c r="B77" s="177">
        <v>45430</v>
      </c>
      <c r="C77" s="176">
        <v>1.8</v>
      </c>
      <c r="D77" s="176">
        <v>14.7</v>
      </c>
      <c r="E77" s="176">
        <v>8.1999999999999993</v>
      </c>
      <c r="F77" s="176">
        <v>100</v>
      </c>
      <c r="G77" s="176">
        <v>0</v>
      </c>
      <c r="H77" s="176" t="s">
        <v>348</v>
      </c>
      <c r="I77" s="176" t="s">
        <v>349</v>
      </c>
    </row>
    <row r="78" spans="1:9" x14ac:dyDescent="0.3">
      <c r="A78" s="176" t="s">
        <v>347</v>
      </c>
      <c r="B78" s="177">
        <v>45431</v>
      </c>
      <c r="C78" s="176">
        <v>2.1</v>
      </c>
      <c r="D78" s="176">
        <v>12.6</v>
      </c>
      <c r="E78" s="176">
        <v>6.9</v>
      </c>
      <c r="F78" s="176">
        <v>100</v>
      </c>
      <c r="G78" s="176">
        <v>2.8</v>
      </c>
      <c r="H78" s="176" t="s">
        <v>348</v>
      </c>
      <c r="I78" s="176" t="s">
        <v>349</v>
      </c>
    </row>
    <row r="79" spans="1:9" x14ac:dyDescent="0.3">
      <c r="A79" s="176" t="s">
        <v>347</v>
      </c>
      <c r="B79" s="177">
        <v>45432</v>
      </c>
      <c r="C79" s="176">
        <v>4.4000000000000004</v>
      </c>
      <c r="D79" s="176">
        <v>11.8</v>
      </c>
      <c r="E79" s="176">
        <v>7.5</v>
      </c>
      <c r="F79" s="176">
        <v>100</v>
      </c>
      <c r="G79" s="176">
        <v>4.7</v>
      </c>
      <c r="H79" s="176" t="s">
        <v>348</v>
      </c>
      <c r="I79" s="176" t="s">
        <v>349</v>
      </c>
    </row>
    <row r="80" spans="1:9" x14ac:dyDescent="0.3">
      <c r="A80" s="176" t="s">
        <v>347</v>
      </c>
      <c r="B80" s="177">
        <v>45433</v>
      </c>
      <c r="C80" s="176">
        <v>5.7</v>
      </c>
      <c r="D80" s="176">
        <v>17.3</v>
      </c>
      <c r="E80" s="176">
        <v>10.9</v>
      </c>
      <c r="F80" s="176">
        <v>100</v>
      </c>
      <c r="G80" s="176">
        <v>0.6</v>
      </c>
      <c r="H80" s="176" t="s">
        <v>348</v>
      </c>
      <c r="I80" s="176" t="s">
        <v>349</v>
      </c>
    </row>
    <row r="81" spans="1:9" x14ac:dyDescent="0.3">
      <c r="A81" s="176" t="s">
        <v>347</v>
      </c>
      <c r="B81" s="177">
        <v>45434</v>
      </c>
      <c r="C81" s="176">
        <v>4.0999999999999996</v>
      </c>
      <c r="D81" s="176">
        <v>12.4</v>
      </c>
      <c r="E81" s="176">
        <v>9</v>
      </c>
      <c r="F81" s="176">
        <v>100</v>
      </c>
      <c r="G81" s="176">
        <v>0</v>
      </c>
      <c r="H81" s="176" t="s">
        <v>348</v>
      </c>
      <c r="I81" s="176" t="s">
        <v>349</v>
      </c>
    </row>
    <row r="82" spans="1:9" x14ac:dyDescent="0.3">
      <c r="A82" s="176" t="s">
        <v>347</v>
      </c>
      <c r="B82" s="177">
        <v>45435</v>
      </c>
      <c r="C82" s="184">
        <v>1.8</v>
      </c>
      <c r="D82" s="176">
        <v>15.1</v>
      </c>
      <c r="E82" s="176">
        <v>8.6</v>
      </c>
      <c r="F82" s="176">
        <v>100</v>
      </c>
      <c r="G82" s="176">
        <v>0.3</v>
      </c>
      <c r="H82" s="176" t="s">
        <v>348</v>
      </c>
      <c r="I82" s="176" t="s">
        <v>349</v>
      </c>
    </row>
    <row r="83" spans="1:9" x14ac:dyDescent="0.3">
      <c r="A83" s="176" t="s">
        <v>347</v>
      </c>
      <c r="B83" s="177">
        <v>45436</v>
      </c>
      <c r="C83" s="176">
        <v>4.5999999999999996</v>
      </c>
      <c r="D83" s="176">
        <v>18.600000000000001</v>
      </c>
      <c r="E83" s="176">
        <v>10.7</v>
      </c>
      <c r="F83" s="176">
        <v>100</v>
      </c>
      <c r="G83" s="176">
        <v>0</v>
      </c>
      <c r="H83" s="176" t="s">
        <v>348</v>
      </c>
      <c r="I83" s="176" t="s">
        <v>349</v>
      </c>
    </row>
    <row r="84" spans="1:9" x14ac:dyDescent="0.3">
      <c r="A84" s="176" t="s">
        <v>347</v>
      </c>
      <c r="B84" s="177">
        <v>45437</v>
      </c>
      <c r="C84" s="176">
        <v>3.7</v>
      </c>
      <c r="D84" s="176">
        <v>20</v>
      </c>
      <c r="E84" s="176">
        <v>12.8</v>
      </c>
      <c r="F84" s="176">
        <v>100</v>
      </c>
      <c r="G84" s="176">
        <v>0.5</v>
      </c>
      <c r="H84" s="176" t="s">
        <v>348</v>
      </c>
      <c r="I84" s="176" t="s">
        <v>349</v>
      </c>
    </row>
    <row r="85" spans="1:9" x14ac:dyDescent="0.3">
      <c r="A85" s="176" t="s">
        <v>347</v>
      </c>
      <c r="B85" s="177">
        <v>45438</v>
      </c>
      <c r="C85" s="176">
        <v>8.9</v>
      </c>
      <c r="D85" s="176">
        <v>19.8</v>
      </c>
      <c r="E85" s="176">
        <v>13.3</v>
      </c>
      <c r="F85" s="176">
        <v>100</v>
      </c>
      <c r="G85" s="176">
        <v>0</v>
      </c>
      <c r="H85" s="176" t="s">
        <v>348</v>
      </c>
      <c r="I85" s="176" t="s">
        <v>349</v>
      </c>
    </row>
    <row r="86" spans="1:9" x14ac:dyDescent="0.3">
      <c r="A86" s="176" t="s">
        <v>347</v>
      </c>
      <c r="B86" s="177">
        <v>45439</v>
      </c>
      <c r="C86" s="176">
        <v>8.8000000000000007</v>
      </c>
      <c r="D86" s="176">
        <v>22.4</v>
      </c>
      <c r="E86" s="176">
        <v>15.6</v>
      </c>
      <c r="F86" s="176">
        <v>100</v>
      </c>
      <c r="G86" s="176">
        <v>0</v>
      </c>
      <c r="H86" s="176" t="s">
        <v>348</v>
      </c>
      <c r="I86" s="176" t="s">
        <v>349</v>
      </c>
    </row>
    <row r="87" spans="1:9" x14ac:dyDescent="0.3">
      <c r="A87" s="176" t="s">
        <v>347</v>
      </c>
      <c r="B87" s="177">
        <v>45440</v>
      </c>
      <c r="C87" s="176">
        <v>8.5</v>
      </c>
      <c r="D87" s="176">
        <v>26.5</v>
      </c>
      <c r="E87" s="176">
        <v>17.7</v>
      </c>
      <c r="F87" s="176">
        <v>100</v>
      </c>
      <c r="G87" s="176">
        <v>2.1</v>
      </c>
      <c r="H87" s="176" t="s">
        <v>348</v>
      </c>
      <c r="I87" s="176" t="s">
        <v>349</v>
      </c>
    </row>
    <row r="88" spans="1:9" x14ac:dyDescent="0.3">
      <c r="A88" s="176" t="s">
        <v>347</v>
      </c>
      <c r="B88" s="177">
        <v>45441</v>
      </c>
      <c r="C88" s="176">
        <v>7.9</v>
      </c>
      <c r="D88" s="176">
        <v>19</v>
      </c>
      <c r="E88" s="176">
        <v>14.4</v>
      </c>
      <c r="F88" s="176">
        <v>100</v>
      </c>
      <c r="G88" s="176">
        <v>0.2</v>
      </c>
      <c r="H88" s="176" t="s">
        <v>348</v>
      </c>
      <c r="I88" s="176" t="s">
        <v>349</v>
      </c>
    </row>
    <row r="89" spans="1:9" x14ac:dyDescent="0.3">
      <c r="A89" s="176" t="s">
        <v>347</v>
      </c>
      <c r="B89" s="177">
        <v>45442</v>
      </c>
      <c r="C89" s="176">
        <v>6.5</v>
      </c>
      <c r="D89" s="176">
        <v>17.3</v>
      </c>
      <c r="E89" s="176">
        <v>11</v>
      </c>
      <c r="F89" s="176">
        <v>100</v>
      </c>
      <c r="G89" s="176">
        <v>0.1</v>
      </c>
      <c r="H89" s="176" t="s">
        <v>348</v>
      </c>
      <c r="I89" s="176" t="s">
        <v>349</v>
      </c>
    </row>
    <row r="90" spans="1:9" x14ac:dyDescent="0.3">
      <c r="A90" s="176" t="s">
        <v>347</v>
      </c>
      <c r="B90" s="177">
        <v>45443</v>
      </c>
      <c r="C90" s="176">
        <v>5.9</v>
      </c>
      <c r="D90" s="176">
        <v>18.899999999999999</v>
      </c>
      <c r="E90" s="176">
        <v>12.1</v>
      </c>
      <c r="F90" s="176">
        <v>100</v>
      </c>
      <c r="G90" s="176">
        <v>0</v>
      </c>
      <c r="H90" s="176" t="s">
        <v>348</v>
      </c>
      <c r="I90" s="176" t="s">
        <v>349</v>
      </c>
    </row>
    <row r="91" spans="1:9" x14ac:dyDescent="0.3">
      <c r="A91" s="176" t="s">
        <v>347</v>
      </c>
      <c r="B91" s="177">
        <v>45444</v>
      </c>
      <c r="C91" s="176">
        <v>2.5</v>
      </c>
      <c r="D91" s="176">
        <v>21.4</v>
      </c>
      <c r="E91" s="176">
        <v>13.2</v>
      </c>
      <c r="F91" s="176">
        <v>100</v>
      </c>
      <c r="G91" s="176">
        <v>0</v>
      </c>
      <c r="H91" s="176" t="s">
        <v>348</v>
      </c>
      <c r="I91" s="176" t="s">
        <v>349</v>
      </c>
    </row>
    <row r="92" spans="1:9" x14ac:dyDescent="0.3">
      <c r="A92" s="176" t="s">
        <v>347</v>
      </c>
      <c r="B92" s="177">
        <v>45445</v>
      </c>
      <c r="C92" s="176">
        <v>9.1</v>
      </c>
      <c r="D92" s="176">
        <v>22.8</v>
      </c>
      <c r="E92" s="176">
        <v>16.100000000000001</v>
      </c>
      <c r="F92" s="176">
        <v>100</v>
      </c>
      <c r="G92" s="176">
        <v>0</v>
      </c>
      <c r="H92" s="176" t="s">
        <v>348</v>
      </c>
      <c r="I92" s="176" t="s">
        <v>349</v>
      </c>
    </row>
    <row r="93" spans="1:9" x14ac:dyDescent="0.3">
      <c r="A93" s="176" t="s">
        <v>347</v>
      </c>
      <c r="B93" s="177">
        <v>45446</v>
      </c>
      <c r="C93" s="176">
        <v>9</v>
      </c>
      <c r="D93" s="176">
        <v>21.6</v>
      </c>
      <c r="E93" s="176">
        <v>14.9</v>
      </c>
      <c r="F93" s="176">
        <v>100</v>
      </c>
      <c r="G93" s="176">
        <v>3</v>
      </c>
      <c r="H93" s="176" t="s">
        <v>348</v>
      </c>
      <c r="I93" s="176" t="s">
        <v>349</v>
      </c>
    </row>
    <row r="94" spans="1:9" x14ac:dyDescent="0.3">
      <c r="A94" s="176" t="s">
        <v>347</v>
      </c>
      <c r="B94" s="177">
        <v>45447</v>
      </c>
      <c r="C94" s="176">
        <v>9</v>
      </c>
      <c r="D94" s="176">
        <v>19.600000000000001</v>
      </c>
      <c r="E94" s="176">
        <v>13.9</v>
      </c>
      <c r="F94" s="176">
        <v>100</v>
      </c>
      <c r="G94" s="176">
        <v>1.3</v>
      </c>
      <c r="H94" s="176" t="s">
        <v>348</v>
      </c>
      <c r="I94" s="176" t="s">
        <v>349</v>
      </c>
    </row>
    <row r="95" spans="1:9" x14ac:dyDescent="0.3">
      <c r="A95" s="176" t="s">
        <v>347</v>
      </c>
      <c r="B95" s="177">
        <v>45448</v>
      </c>
      <c r="C95" s="176">
        <v>9.1999999999999993</v>
      </c>
      <c r="D95" s="176">
        <v>21.5</v>
      </c>
      <c r="E95" s="176">
        <v>15.6</v>
      </c>
      <c r="F95" s="176">
        <v>100</v>
      </c>
      <c r="G95" s="176">
        <v>0</v>
      </c>
      <c r="H95" s="176" t="s">
        <v>348</v>
      </c>
      <c r="I95" s="176" t="s">
        <v>349</v>
      </c>
    </row>
    <row r="96" spans="1:9" x14ac:dyDescent="0.3">
      <c r="A96" s="176" t="s">
        <v>347</v>
      </c>
      <c r="B96" s="177">
        <v>45449</v>
      </c>
      <c r="C96" s="176">
        <v>4.0999999999999996</v>
      </c>
      <c r="D96" s="176">
        <v>25.9</v>
      </c>
      <c r="E96" s="176">
        <v>15.9</v>
      </c>
      <c r="F96" s="176">
        <v>100</v>
      </c>
      <c r="G96" s="176">
        <v>0</v>
      </c>
      <c r="H96" s="176" t="s">
        <v>348</v>
      </c>
      <c r="I96" s="176" t="s">
        <v>349</v>
      </c>
    </row>
    <row r="97" spans="1:9" x14ac:dyDescent="0.3">
      <c r="A97" s="176" t="s">
        <v>347</v>
      </c>
      <c r="B97" s="177">
        <v>45450</v>
      </c>
      <c r="C97" s="176">
        <v>10.8</v>
      </c>
      <c r="D97" s="176">
        <v>20.7</v>
      </c>
      <c r="E97" s="176">
        <v>15.5</v>
      </c>
      <c r="F97" s="176">
        <v>100</v>
      </c>
      <c r="G97" s="176">
        <v>0</v>
      </c>
      <c r="H97" s="176" t="s">
        <v>348</v>
      </c>
      <c r="I97" s="176" t="s">
        <v>349</v>
      </c>
    </row>
    <row r="98" spans="1:9" x14ac:dyDescent="0.3">
      <c r="A98" s="176" t="s">
        <v>347</v>
      </c>
      <c r="B98" s="177">
        <v>45451</v>
      </c>
      <c r="C98" s="176">
        <v>9</v>
      </c>
      <c r="D98" s="176">
        <v>18.7</v>
      </c>
      <c r="E98" s="176">
        <v>13.4</v>
      </c>
      <c r="F98" s="176">
        <v>100</v>
      </c>
      <c r="G98" s="176">
        <v>0</v>
      </c>
      <c r="H98" s="176" t="s">
        <v>348</v>
      </c>
      <c r="I98" s="176" t="s">
        <v>349</v>
      </c>
    </row>
    <row r="99" spans="1:9" x14ac:dyDescent="0.3">
      <c r="A99" s="176" t="s">
        <v>347</v>
      </c>
      <c r="B99" s="177">
        <v>45452</v>
      </c>
      <c r="C99" s="176">
        <v>7.8</v>
      </c>
      <c r="D99" s="176">
        <v>21.9</v>
      </c>
      <c r="E99" s="176">
        <v>14.2</v>
      </c>
      <c r="F99" s="176">
        <v>100</v>
      </c>
      <c r="G99" s="176">
        <v>0</v>
      </c>
      <c r="H99" s="176" t="s">
        <v>348</v>
      </c>
      <c r="I99" s="176" t="s">
        <v>349</v>
      </c>
    </row>
    <row r="100" spans="1:9" x14ac:dyDescent="0.3">
      <c r="A100" s="176" t="s">
        <v>347</v>
      </c>
      <c r="B100" s="177">
        <v>45453</v>
      </c>
      <c r="C100" s="176">
        <v>12.8</v>
      </c>
      <c r="D100" s="176">
        <v>25</v>
      </c>
      <c r="E100" s="176">
        <v>18.399999999999999</v>
      </c>
      <c r="F100" s="176">
        <v>100</v>
      </c>
      <c r="G100" s="176">
        <v>0.1</v>
      </c>
      <c r="H100" s="176" t="s">
        <v>348</v>
      </c>
      <c r="I100" s="176" t="s">
        <v>349</v>
      </c>
    </row>
    <row r="101" spans="1:9" x14ac:dyDescent="0.3">
      <c r="A101" s="176" t="s">
        <v>347</v>
      </c>
      <c r="B101" s="177">
        <v>45454</v>
      </c>
      <c r="C101" s="176">
        <v>10.4</v>
      </c>
      <c r="D101" s="176">
        <v>29.7</v>
      </c>
      <c r="E101" s="176">
        <v>20.100000000000001</v>
      </c>
      <c r="F101" s="176">
        <v>100</v>
      </c>
      <c r="G101" s="176">
        <v>0.2</v>
      </c>
      <c r="H101" s="176" t="s">
        <v>348</v>
      </c>
      <c r="I101" s="176" t="s">
        <v>349</v>
      </c>
    </row>
    <row r="102" spans="1:9" x14ac:dyDescent="0.3">
      <c r="A102" s="176" t="s">
        <v>347</v>
      </c>
      <c r="B102" s="177">
        <v>45455</v>
      </c>
      <c r="C102" s="176">
        <v>7.4</v>
      </c>
      <c r="D102" s="176">
        <v>24.5</v>
      </c>
      <c r="E102" s="176">
        <v>16.899999999999999</v>
      </c>
      <c r="F102" s="176">
        <v>100</v>
      </c>
      <c r="G102" s="176">
        <v>0</v>
      </c>
      <c r="H102" s="176" t="s">
        <v>348</v>
      </c>
      <c r="I102" s="176" t="s">
        <v>349</v>
      </c>
    </row>
    <row r="103" spans="1:9" x14ac:dyDescent="0.3">
      <c r="A103" s="176" t="s">
        <v>347</v>
      </c>
      <c r="B103" s="177">
        <v>45456</v>
      </c>
      <c r="C103" s="176">
        <v>4.5999999999999996</v>
      </c>
      <c r="D103" s="176">
        <v>24.2</v>
      </c>
      <c r="E103" s="176">
        <v>15.5</v>
      </c>
      <c r="F103" s="176">
        <v>100</v>
      </c>
      <c r="G103" s="176">
        <v>0</v>
      </c>
      <c r="H103" s="176" t="s">
        <v>348</v>
      </c>
      <c r="I103" s="176" t="s">
        <v>349</v>
      </c>
    </row>
    <row r="104" spans="1:9" x14ac:dyDescent="0.3">
      <c r="A104" s="176" t="s">
        <v>347</v>
      </c>
      <c r="B104" s="177">
        <v>45457</v>
      </c>
      <c r="C104" s="176">
        <v>11</v>
      </c>
      <c r="D104" s="176">
        <v>28</v>
      </c>
      <c r="E104" s="176">
        <v>19.3</v>
      </c>
      <c r="F104" s="176">
        <v>100</v>
      </c>
      <c r="G104" s="176">
        <v>0</v>
      </c>
      <c r="H104" s="176" t="s">
        <v>348</v>
      </c>
      <c r="I104" s="176" t="s">
        <v>349</v>
      </c>
    </row>
    <row r="105" spans="1:9" x14ac:dyDescent="0.3">
      <c r="A105" s="176" t="s">
        <v>347</v>
      </c>
      <c r="B105" s="177">
        <v>45458</v>
      </c>
      <c r="C105" s="176">
        <v>9.6</v>
      </c>
      <c r="D105" s="176">
        <v>19.3</v>
      </c>
      <c r="E105" s="176">
        <v>14.3</v>
      </c>
      <c r="F105" s="176">
        <v>100</v>
      </c>
      <c r="G105" s="176">
        <v>0.1</v>
      </c>
      <c r="H105" s="176" t="s">
        <v>348</v>
      </c>
      <c r="I105" s="176" t="s">
        <v>349</v>
      </c>
    </row>
    <row r="106" spans="1:9" x14ac:dyDescent="0.3">
      <c r="A106" s="176" t="s">
        <v>347</v>
      </c>
      <c r="B106" s="177">
        <v>45459</v>
      </c>
      <c r="C106" s="176">
        <v>6.1</v>
      </c>
      <c r="D106" s="176">
        <v>11.2</v>
      </c>
      <c r="E106" s="176">
        <v>9</v>
      </c>
      <c r="F106" s="176">
        <v>100</v>
      </c>
      <c r="G106" s="176">
        <v>13.7</v>
      </c>
      <c r="H106" s="176" t="s">
        <v>348</v>
      </c>
      <c r="I106" s="176" t="s">
        <v>349</v>
      </c>
    </row>
    <row r="107" spans="1:9" x14ac:dyDescent="0.3">
      <c r="A107" s="176" t="s">
        <v>347</v>
      </c>
      <c r="B107" s="177">
        <v>45460</v>
      </c>
      <c r="C107" s="176">
        <v>6.3</v>
      </c>
      <c r="D107" s="176">
        <v>11.4</v>
      </c>
      <c r="E107" s="176">
        <v>8.6999999999999993</v>
      </c>
      <c r="F107" s="176">
        <v>100</v>
      </c>
      <c r="G107" s="176">
        <v>2.2000000000000002</v>
      </c>
      <c r="H107" s="176" t="s">
        <v>348</v>
      </c>
      <c r="I107" s="176" t="s">
        <v>349</v>
      </c>
    </row>
    <row r="108" spans="1:9" x14ac:dyDescent="0.3">
      <c r="A108" s="176" t="s">
        <v>347</v>
      </c>
      <c r="B108" s="177">
        <v>45461</v>
      </c>
      <c r="C108" s="176">
        <v>5</v>
      </c>
      <c r="D108" s="176">
        <v>11.1</v>
      </c>
      <c r="E108" s="176">
        <v>7.2</v>
      </c>
      <c r="F108" s="176">
        <v>100</v>
      </c>
      <c r="G108" s="176">
        <v>1.4</v>
      </c>
      <c r="H108" s="176" t="s">
        <v>348</v>
      </c>
      <c r="I108" s="176" t="s">
        <v>349</v>
      </c>
    </row>
    <row r="109" spans="1:9" x14ac:dyDescent="0.3">
      <c r="A109" s="176" t="s">
        <v>347</v>
      </c>
      <c r="B109" s="177">
        <v>45462</v>
      </c>
      <c r="C109" s="176">
        <v>2.7</v>
      </c>
      <c r="D109" s="176">
        <v>18</v>
      </c>
      <c r="E109" s="176">
        <v>11.2</v>
      </c>
      <c r="F109" s="176">
        <v>100</v>
      </c>
      <c r="G109" s="176">
        <v>0</v>
      </c>
      <c r="H109" s="176" t="s">
        <v>348</v>
      </c>
      <c r="I109" s="176" t="s">
        <v>349</v>
      </c>
    </row>
    <row r="110" spans="1:9" x14ac:dyDescent="0.3">
      <c r="A110" s="176" t="s">
        <v>347</v>
      </c>
      <c r="B110" s="177">
        <v>45463</v>
      </c>
      <c r="C110" s="176">
        <v>5.6</v>
      </c>
      <c r="D110" s="176">
        <v>23.1</v>
      </c>
      <c r="E110" s="176">
        <v>14.6</v>
      </c>
      <c r="F110" s="176">
        <v>100</v>
      </c>
      <c r="G110" s="176">
        <v>0</v>
      </c>
      <c r="H110" s="176" t="s">
        <v>348</v>
      </c>
      <c r="I110" s="176" t="s">
        <v>349</v>
      </c>
    </row>
    <row r="111" spans="1:9" x14ac:dyDescent="0.3">
      <c r="A111" s="176" t="s">
        <v>347</v>
      </c>
      <c r="B111" s="177">
        <v>45464</v>
      </c>
      <c r="C111" s="176">
        <v>8.4</v>
      </c>
      <c r="D111" s="176">
        <v>22.9</v>
      </c>
      <c r="E111" s="176">
        <v>14.8</v>
      </c>
      <c r="F111" s="176">
        <v>100</v>
      </c>
      <c r="G111" s="176">
        <v>7.8</v>
      </c>
      <c r="H111" s="176" t="s">
        <v>348</v>
      </c>
      <c r="I111" s="176" t="s">
        <v>349</v>
      </c>
    </row>
    <row r="112" spans="1:9" x14ac:dyDescent="0.3">
      <c r="A112" s="176" t="s">
        <v>347</v>
      </c>
      <c r="B112" s="177">
        <v>45465</v>
      </c>
      <c r="C112" s="176">
        <v>8.6</v>
      </c>
      <c r="D112" s="176">
        <v>27.8</v>
      </c>
      <c r="E112" s="176">
        <v>18.8</v>
      </c>
      <c r="F112" s="176">
        <v>100</v>
      </c>
      <c r="G112" s="176">
        <v>0.2</v>
      </c>
      <c r="H112" s="176" t="s">
        <v>348</v>
      </c>
      <c r="I112" s="176" t="s">
        <v>349</v>
      </c>
    </row>
    <row r="113" spans="1:9" x14ac:dyDescent="0.3">
      <c r="A113" s="176" t="s">
        <v>347</v>
      </c>
      <c r="B113" s="177">
        <v>45466</v>
      </c>
      <c r="C113" s="176">
        <v>10.5</v>
      </c>
      <c r="D113" s="176">
        <v>30.5</v>
      </c>
      <c r="E113" s="176">
        <v>21.9</v>
      </c>
      <c r="F113" s="176">
        <v>100</v>
      </c>
      <c r="G113" s="176">
        <v>0.1</v>
      </c>
      <c r="H113" s="176" t="s">
        <v>348</v>
      </c>
      <c r="I113" s="176" t="s">
        <v>349</v>
      </c>
    </row>
    <row r="114" spans="1:9" x14ac:dyDescent="0.3">
      <c r="A114" s="176" t="s">
        <v>347</v>
      </c>
      <c r="B114" s="177">
        <v>45467</v>
      </c>
      <c r="C114" s="176">
        <v>9.1</v>
      </c>
      <c r="D114" s="176">
        <v>26.2</v>
      </c>
      <c r="E114" s="176">
        <v>19.899999999999999</v>
      </c>
      <c r="F114" s="176">
        <v>100</v>
      </c>
      <c r="G114" s="176">
        <v>0</v>
      </c>
      <c r="H114" s="176" t="s">
        <v>348</v>
      </c>
      <c r="I114" s="176" t="s">
        <v>349</v>
      </c>
    </row>
    <row r="115" spans="1:9" x14ac:dyDescent="0.3">
      <c r="A115" s="176" t="s">
        <v>347</v>
      </c>
      <c r="B115" s="177">
        <v>45468</v>
      </c>
      <c r="C115" s="176">
        <v>9.8000000000000007</v>
      </c>
      <c r="D115" s="176">
        <v>22.3</v>
      </c>
      <c r="E115" s="176">
        <v>16.8</v>
      </c>
      <c r="F115" s="176">
        <v>100</v>
      </c>
      <c r="G115" s="176">
        <v>0</v>
      </c>
      <c r="H115" s="176" t="s">
        <v>348</v>
      </c>
      <c r="I115" s="176" t="s">
        <v>349</v>
      </c>
    </row>
    <row r="116" spans="1:9" x14ac:dyDescent="0.3">
      <c r="A116" s="176" t="s">
        <v>347</v>
      </c>
      <c r="B116" s="177">
        <v>45469</v>
      </c>
      <c r="C116" s="176">
        <v>7</v>
      </c>
      <c r="D116" s="176">
        <v>26.3</v>
      </c>
      <c r="E116" s="176">
        <v>17.2</v>
      </c>
      <c r="F116" s="176">
        <v>100</v>
      </c>
      <c r="G116" s="176">
        <v>0</v>
      </c>
      <c r="H116" s="176" t="s">
        <v>348</v>
      </c>
      <c r="I116" s="176" t="s">
        <v>349</v>
      </c>
    </row>
    <row r="117" spans="1:9" x14ac:dyDescent="0.3">
      <c r="A117" s="176" t="s">
        <v>347</v>
      </c>
      <c r="B117" s="177">
        <v>45470</v>
      </c>
      <c r="C117" s="176">
        <v>10.4</v>
      </c>
      <c r="D117" s="176">
        <v>20.7</v>
      </c>
      <c r="E117" s="176">
        <v>15.2</v>
      </c>
      <c r="F117" s="176">
        <v>100</v>
      </c>
      <c r="G117" s="176">
        <v>7.2</v>
      </c>
      <c r="H117" s="176" t="s">
        <v>348</v>
      </c>
      <c r="I117" s="176" t="s">
        <v>349</v>
      </c>
    </row>
    <row r="118" spans="1:9" x14ac:dyDescent="0.3">
      <c r="A118" s="176" t="s">
        <v>347</v>
      </c>
      <c r="B118" s="177">
        <v>45471</v>
      </c>
      <c r="C118" s="176">
        <v>10.199999999999999</v>
      </c>
      <c r="D118" s="176">
        <v>19.399999999999999</v>
      </c>
      <c r="E118" s="176">
        <v>13.6</v>
      </c>
      <c r="F118" s="176">
        <v>100</v>
      </c>
      <c r="G118" s="176">
        <v>15</v>
      </c>
      <c r="H118" s="176" t="s">
        <v>348</v>
      </c>
      <c r="I118" s="176" t="s">
        <v>349</v>
      </c>
    </row>
    <row r="119" spans="1:9" x14ac:dyDescent="0.3">
      <c r="A119" s="176" t="s">
        <v>347</v>
      </c>
      <c r="B119" s="177">
        <v>45472</v>
      </c>
      <c r="C119" s="176">
        <v>6.4</v>
      </c>
      <c r="D119" s="176">
        <v>22.4</v>
      </c>
      <c r="E119" s="176">
        <v>15.7</v>
      </c>
      <c r="F119" s="176">
        <v>100</v>
      </c>
      <c r="G119" s="176">
        <v>0.1</v>
      </c>
      <c r="H119" s="176" t="s">
        <v>348</v>
      </c>
      <c r="I119" s="176" t="s">
        <v>349</v>
      </c>
    </row>
    <row r="120" spans="1:9" x14ac:dyDescent="0.3">
      <c r="A120" s="176" t="s">
        <v>347</v>
      </c>
      <c r="B120" s="177">
        <v>45473</v>
      </c>
      <c r="C120" s="176">
        <v>11.9</v>
      </c>
      <c r="D120" s="176">
        <v>22.3</v>
      </c>
      <c r="E120" s="176">
        <v>15.6</v>
      </c>
      <c r="F120" s="176">
        <v>100</v>
      </c>
      <c r="G120" s="176">
        <v>3.9</v>
      </c>
      <c r="H120" s="176" t="s">
        <v>348</v>
      </c>
      <c r="I120" s="176" t="s">
        <v>349</v>
      </c>
    </row>
    <row r="121" spans="1:9" x14ac:dyDescent="0.3">
      <c r="A121" s="176" t="s">
        <v>347</v>
      </c>
      <c r="B121" s="177">
        <v>45474</v>
      </c>
      <c r="C121" s="176">
        <v>12.8</v>
      </c>
      <c r="D121" s="176">
        <v>21.3</v>
      </c>
      <c r="E121" s="176">
        <v>15.9</v>
      </c>
      <c r="F121" s="176">
        <v>100</v>
      </c>
      <c r="G121" s="176">
        <v>2.4</v>
      </c>
      <c r="H121" s="176" t="s">
        <v>348</v>
      </c>
      <c r="I121" s="176" t="s">
        <v>349</v>
      </c>
    </row>
    <row r="122" spans="1:9" x14ac:dyDescent="0.3">
      <c r="A122" s="176" t="s">
        <v>347</v>
      </c>
      <c r="B122" s="177">
        <v>45475</v>
      </c>
      <c r="C122" s="176">
        <v>11.7</v>
      </c>
      <c r="D122" s="176">
        <v>23.6</v>
      </c>
      <c r="E122" s="176">
        <v>16.399999999999999</v>
      </c>
      <c r="F122" s="176">
        <v>100</v>
      </c>
      <c r="G122" s="176">
        <v>0.2</v>
      </c>
      <c r="H122" s="176" t="s">
        <v>348</v>
      </c>
      <c r="I122" s="176" t="s">
        <v>349</v>
      </c>
    </row>
    <row r="123" spans="1:9" x14ac:dyDescent="0.3">
      <c r="A123" s="176" t="s">
        <v>347</v>
      </c>
      <c r="B123" s="177">
        <v>45476</v>
      </c>
      <c r="C123" s="176">
        <v>9.9</v>
      </c>
      <c r="D123" s="176">
        <v>18.2</v>
      </c>
      <c r="E123" s="176">
        <v>14.2</v>
      </c>
      <c r="F123" s="176">
        <v>100</v>
      </c>
      <c r="G123" s="176">
        <v>0.5</v>
      </c>
      <c r="H123" s="176" t="s">
        <v>348</v>
      </c>
      <c r="I123" s="176" t="s">
        <v>349</v>
      </c>
    </row>
    <row r="124" spans="1:9" x14ac:dyDescent="0.3">
      <c r="A124" s="176" t="s">
        <v>347</v>
      </c>
      <c r="B124" s="177">
        <v>45477</v>
      </c>
      <c r="C124" s="176">
        <v>12.6</v>
      </c>
      <c r="D124" s="176">
        <v>23.1</v>
      </c>
      <c r="E124" s="176">
        <v>17.5</v>
      </c>
      <c r="F124" s="176">
        <v>100</v>
      </c>
      <c r="G124" s="176">
        <v>0</v>
      </c>
      <c r="H124" s="176" t="s">
        <v>348</v>
      </c>
      <c r="I124" s="176" t="s">
        <v>349</v>
      </c>
    </row>
    <row r="125" spans="1:9" x14ac:dyDescent="0.3">
      <c r="A125" s="176" t="s">
        <v>347</v>
      </c>
      <c r="B125" s="177">
        <v>45478</v>
      </c>
      <c r="C125" s="176">
        <v>9.1999999999999993</v>
      </c>
      <c r="D125" s="176">
        <v>24.5</v>
      </c>
      <c r="E125" s="176">
        <v>17.8</v>
      </c>
      <c r="F125" s="176">
        <v>100</v>
      </c>
      <c r="G125" s="176">
        <v>0</v>
      </c>
      <c r="H125" s="176" t="s">
        <v>348</v>
      </c>
      <c r="I125" s="176" t="s">
        <v>349</v>
      </c>
    </row>
    <row r="126" spans="1:9" x14ac:dyDescent="0.3">
      <c r="A126" s="176" t="s">
        <v>347</v>
      </c>
      <c r="B126" s="177">
        <v>45479</v>
      </c>
      <c r="C126" s="176">
        <v>12.1</v>
      </c>
      <c r="D126" s="176">
        <v>25</v>
      </c>
      <c r="E126" s="176">
        <v>18.8</v>
      </c>
      <c r="F126" s="176">
        <v>100</v>
      </c>
      <c r="G126" s="176">
        <v>0</v>
      </c>
      <c r="H126" s="176" t="s">
        <v>348</v>
      </c>
      <c r="I126" s="176" t="s">
        <v>349</v>
      </c>
    </row>
    <row r="127" spans="1:9" x14ac:dyDescent="0.3">
      <c r="A127" s="176" t="s">
        <v>347</v>
      </c>
      <c r="B127" s="177">
        <v>45480</v>
      </c>
      <c r="C127" s="176">
        <v>11.5</v>
      </c>
      <c r="D127" s="176">
        <v>29</v>
      </c>
      <c r="E127" s="176">
        <v>21</v>
      </c>
      <c r="F127" s="176">
        <v>100</v>
      </c>
      <c r="G127" s="176">
        <v>0</v>
      </c>
      <c r="H127" s="176" t="s">
        <v>348</v>
      </c>
      <c r="I127" s="176" t="s">
        <v>349</v>
      </c>
    </row>
    <row r="128" spans="1:9" x14ac:dyDescent="0.3">
      <c r="A128" s="176" t="s">
        <v>347</v>
      </c>
      <c r="B128" s="177">
        <v>45481</v>
      </c>
      <c r="C128" s="176">
        <v>11.9</v>
      </c>
      <c r="D128" s="176">
        <v>31.9</v>
      </c>
      <c r="E128" s="176">
        <v>22.9</v>
      </c>
      <c r="F128" s="176">
        <v>100</v>
      </c>
      <c r="G128" s="176">
        <v>0.1</v>
      </c>
      <c r="H128" s="176" t="s">
        <v>348</v>
      </c>
      <c r="I128" s="176" t="s">
        <v>349</v>
      </c>
    </row>
    <row r="129" spans="1:9" x14ac:dyDescent="0.3">
      <c r="A129" s="176" t="s">
        <v>347</v>
      </c>
      <c r="B129" s="177">
        <v>45482</v>
      </c>
      <c r="C129" s="176">
        <v>13.3</v>
      </c>
      <c r="D129" s="176">
        <v>30.9</v>
      </c>
      <c r="E129" s="176">
        <v>22.8</v>
      </c>
      <c r="F129" s="176">
        <v>100</v>
      </c>
      <c r="G129" s="176">
        <v>0</v>
      </c>
      <c r="H129" s="176" t="s">
        <v>348</v>
      </c>
      <c r="I129" s="176" t="s">
        <v>349</v>
      </c>
    </row>
    <row r="130" spans="1:9" x14ac:dyDescent="0.3">
      <c r="A130" s="176" t="s">
        <v>347</v>
      </c>
      <c r="B130" s="177">
        <v>45483</v>
      </c>
      <c r="C130" s="176">
        <v>12.7</v>
      </c>
      <c r="D130" s="184">
        <v>34.6</v>
      </c>
      <c r="E130" s="184">
        <v>25.3</v>
      </c>
      <c r="F130" s="176">
        <v>100</v>
      </c>
      <c r="G130" s="176">
        <v>0</v>
      </c>
      <c r="H130" s="176" t="s">
        <v>348</v>
      </c>
      <c r="I130" s="176" t="s">
        <v>349</v>
      </c>
    </row>
    <row r="131" spans="1:9" x14ac:dyDescent="0.3">
      <c r="A131" s="176" t="s">
        <v>347</v>
      </c>
      <c r="B131" s="177">
        <v>45484</v>
      </c>
      <c r="C131" s="176">
        <v>15.9</v>
      </c>
      <c r="D131" s="176">
        <v>34.299999999999997</v>
      </c>
      <c r="E131" s="176">
        <v>25.1</v>
      </c>
      <c r="F131" s="176">
        <v>100</v>
      </c>
      <c r="G131" s="176">
        <v>0</v>
      </c>
      <c r="H131" s="176" t="s">
        <v>348</v>
      </c>
      <c r="I131" s="176" t="s">
        <v>349</v>
      </c>
    </row>
    <row r="132" spans="1:9" x14ac:dyDescent="0.3">
      <c r="A132" s="176" t="s">
        <v>347</v>
      </c>
      <c r="B132" s="177">
        <v>45485</v>
      </c>
      <c r="C132" s="176">
        <v>16</v>
      </c>
      <c r="D132" s="176">
        <v>25.3</v>
      </c>
      <c r="E132" s="176">
        <v>20.9</v>
      </c>
      <c r="F132" s="176">
        <v>100</v>
      </c>
      <c r="G132" s="176">
        <v>0</v>
      </c>
      <c r="H132" s="176" t="s">
        <v>348</v>
      </c>
      <c r="I132" s="176" t="s">
        <v>349</v>
      </c>
    </row>
    <row r="133" spans="1:9" x14ac:dyDescent="0.3">
      <c r="A133" s="176" t="s">
        <v>347</v>
      </c>
      <c r="B133" s="177">
        <v>45486</v>
      </c>
      <c r="C133" s="176">
        <v>12.8</v>
      </c>
      <c r="D133" s="176">
        <v>28.6</v>
      </c>
      <c r="E133" s="176">
        <v>20.8</v>
      </c>
      <c r="F133" s="176">
        <v>100</v>
      </c>
      <c r="G133" s="176">
        <v>0</v>
      </c>
      <c r="H133" s="176" t="s">
        <v>348</v>
      </c>
      <c r="I133" s="176" t="s">
        <v>349</v>
      </c>
    </row>
    <row r="134" spans="1:9" x14ac:dyDescent="0.3">
      <c r="A134" s="176" t="s">
        <v>347</v>
      </c>
      <c r="B134" s="177">
        <v>45487</v>
      </c>
      <c r="C134" s="176">
        <v>13.7</v>
      </c>
      <c r="D134" s="176">
        <v>25.6</v>
      </c>
      <c r="E134" s="176">
        <v>19.5</v>
      </c>
      <c r="F134" s="176">
        <v>100</v>
      </c>
      <c r="G134" s="176">
        <v>0</v>
      </c>
      <c r="H134" s="176" t="s">
        <v>348</v>
      </c>
      <c r="I134" s="176" t="s">
        <v>349</v>
      </c>
    </row>
    <row r="135" spans="1:9" x14ac:dyDescent="0.3">
      <c r="A135" s="176" t="s">
        <v>347</v>
      </c>
      <c r="B135" s="177">
        <v>45488</v>
      </c>
      <c r="C135" s="176">
        <v>11.4</v>
      </c>
      <c r="D135" s="176">
        <v>29</v>
      </c>
      <c r="E135" s="176">
        <v>20.8</v>
      </c>
      <c r="F135" s="176">
        <v>100</v>
      </c>
      <c r="G135" s="176">
        <v>0</v>
      </c>
      <c r="H135" s="176" t="s">
        <v>348</v>
      </c>
      <c r="I135" s="176" t="s">
        <v>349</v>
      </c>
    </row>
    <row r="136" spans="1:9" x14ac:dyDescent="0.3">
      <c r="A136" s="176" t="s">
        <v>347</v>
      </c>
      <c r="B136" s="177">
        <v>45489</v>
      </c>
      <c r="C136" s="176">
        <v>15.2</v>
      </c>
      <c r="D136" s="176">
        <v>29.1</v>
      </c>
      <c r="E136" s="176">
        <v>22.6</v>
      </c>
      <c r="F136" s="176">
        <v>100</v>
      </c>
      <c r="G136" s="176">
        <v>0</v>
      </c>
      <c r="H136" s="176" t="s">
        <v>348</v>
      </c>
      <c r="I136" s="176" t="s">
        <v>349</v>
      </c>
    </row>
    <row r="137" spans="1:9" x14ac:dyDescent="0.3">
      <c r="A137" s="176" t="s">
        <v>347</v>
      </c>
      <c r="B137" s="177">
        <v>45490</v>
      </c>
      <c r="C137" s="176">
        <v>15.2</v>
      </c>
      <c r="D137" s="176">
        <v>32.9</v>
      </c>
      <c r="E137" s="176">
        <v>23.8</v>
      </c>
      <c r="F137" s="176">
        <v>100</v>
      </c>
      <c r="G137" s="176">
        <v>0.8</v>
      </c>
      <c r="H137" s="176" t="s">
        <v>348</v>
      </c>
      <c r="I137" s="176" t="s">
        <v>349</v>
      </c>
    </row>
    <row r="138" spans="1:9" x14ac:dyDescent="0.3">
      <c r="A138" s="176" t="s">
        <v>347</v>
      </c>
      <c r="B138" s="177">
        <v>45491</v>
      </c>
      <c r="C138" s="176">
        <v>16.600000000000001</v>
      </c>
      <c r="D138" s="176">
        <v>28.1</v>
      </c>
      <c r="E138" s="176">
        <v>21.7</v>
      </c>
      <c r="F138" s="176">
        <v>100</v>
      </c>
      <c r="G138" s="176">
        <v>0</v>
      </c>
      <c r="H138" s="176" t="s">
        <v>348</v>
      </c>
      <c r="I138" s="176" t="s">
        <v>349</v>
      </c>
    </row>
    <row r="139" spans="1:9" x14ac:dyDescent="0.3">
      <c r="A139" s="176" t="s">
        <v>347</v>
      </c>
      <c r="B139" s="177">
        <v>45492</v>
      </c>
      <c r="C139" s="176">
        <v>12.8</v>
      </c>
      <c r="D139" s="176">
        <v>32.299999999999997</v>
      </c>
      <c r="E139" s="176">
        <v>22.6</v>
      </c>
      <c r="F139" s="176">
        <v>100</v>
      </c>
      <c r="G139" s="176">
        <v>0</v>
      </c>
      <c r="H139" s="176" t="s">
        <v>348</v>
      </c>
      <c r="I139" s="176" t="s">
        <v>349</v>
      </c>
    </row>
    <row r="140" spans="1:9" x14ac:dyDescent="0.3">
      <c r="A140" s="176" t="s">
        <v>347</v>
      </c>
      <c r="B140" s="177">
        <v>45493</v>
      </c>
      <c r="C140" s="176">
        <v>13.3</v>
      </c>
      <c r="D140" s="176">
        <v>31.6</v>
      </c>
      <c r="E140" s="176">
        <v>22.9</v>
      </c>
      <c r="F140" s="176">
        <v>100</v>
      </c>
      <c r="G140" s="176">
        <v>0</v>
      </c>
      <c r="H140" s="176" t="s">
        <v>348</v>
      </c>
      <c r="I140" s="176" t="s">
        <v>349</v>
      </c>
    </row>
    <row r="141" spans="1:9" x14ac:dyDescent="0.3">
      <c r="A141" s="176" t="s">
        <v>347</v>
      </c>
      <c r="B141" s="177">
        <v>45494</v>
      </c>
      <c r="C141" s="176">
        <v>14.6</v>
      </c>
      <c r="D141" s="176">
        <v>30.7</v>
      </c>
      <c r="E141" s="176">
        <v>23.5</v>
      </c>
      <c r="F141" s="176">
        <v>100</v>
      </c>
      <c r="G141" s="176">
        <v>0</v>
      </c>
      <c r="H141" s="176" t="s">
        <v>348</v>
      </c>
      <c r="I141" s="176" t="s">
        <v>349</v>
      </c>
    </row>
    <row r="142" spans="1:9" x14ac:dyDescent="0.3">
      <c r="A142" s="176" t="s">
        <v>347</v>
      </c>
      <c r="B142" s="177">
        <v>45495</v>
      </c>
      <c r="C142" s="176">
        <v>14.3</v>
      </c>
      <c r="D142" s="176">
        <v>30.8</v>
      </c>
      <c r="E142" s="176">
        <v>22.8</v>
      </c>
      <c r="F142" s="176">
        <v>100</v>
      </c>
      <c r="G142" s="176">
        <v>0</v>
      </c>
      <c r="H142" s="176" t="s">
        <v>348</v>
      </c>
      <c r="I142" s="176" t="s">
        <v>349</v>
      </c>
    </row>
    <row r="143" spans="1:9" x14ac:dyDescent="0.3">
      <c r="A143" s="176" t="s">
        <v>347</v>
      </c>
      <c r="B143" s="177">
        <v>45496</v>
      </c>
      <c r="C143" s="176">
        <v>13.7</v>
      </c>
      <c r="D143" s="176">
        <v>34.6</v>
      </c>
      <c r="E143" s="176">
        <v>24.3</v>
      </c>
      <c r="F143" s="176">
        <v>100</v>
      </c>
      <c r="G143" s="176">
        <v>0</v>
      </c>
      <c r="H143" s="176" t="s">
        <v>348</v>
      </c>
      <c r="I143" s="176" t="s">
        <v>349</v>
      </c>
    </row>
    <row r="144" spans="1:9" x14ac:dyDescent="0.3">
      <c r="A144" s="176" t="s">
        <v>347</v>
      </c>
      <c r="B144" s="177">
        <v>45497</v>
      </c>
      <c r="C144" s="176">
        <v>9.1999999999999993</v>
      </c>
      <c r="D144" s="176">
        <v>34.9</v>
      </c>
      <c r="E144" s="176">
        <v>24.1</v>
      </c>
      <c r="F144" s="176">
        <v>100</v>
      </c>
      <c r="G144" s="176">
        <v>0</v>
      </c>
      <c r="H144" s="176" t="s">
        <v>348</v>
      </c>
      <c r="I144" s="176" t="s">
        <v>349</v>
      </c>
    </row>
    <row r="145" spans="1:9" x14ac:dyDescent="0.3">
      <c r="A145" s="176" t="s">
        <v>347</v>
      </c>
      <c r="B145" s="177">
        <v>45498</v>
      </c>
      <c r="C145" s="176">
        <v>12.2</v>
      </c>
      <c r="D145" s="176">
        <v>28.1</v>
      </c>
      <c r="E145" s="176">
        <v>22.6</v>
      </c>
      <c r="F145" s="176">
        <v>100</v>
      </c>
      <c r="G145" s="176">
        <v>0</v>
      </c>
      <c r="H145" s="176" t="s">
        <v>348</v>
      </c>
      <c r="I145" s="176" t="s">
        <v>349</v>
      </c>
    </row>
    <row r="146" spans="1:9" x14ac:dyDescent="0.3">
      <c r="A146" s="176" t="s">
        <v>347</v>
      </c>
      <c r="B146" s="177">
        <v>45499</v>
      </c>
      <c r="C146" s="176">
        <v>11.2</v>
      </c>
      <c r="D146" s="176">
        <v>25.5</v>
      </c>
      <c r="E146" s="176">
        <v>18.2</v>
      </c>
      <c r="F146" s="176">
        <v>100</v>
      </c>
      <c r="G146" s="176">
        <v>0</v>
      </c>
      <c r="H146" s="176" t="s">
        <v>348</v>
      </c>
      <c r="I146" s="176" t="s">
        <v>349</v>
      </c>
    </row>
    <row r="147" spans="1:9" x14ac:dyDescent="0.3">
      <c r="A147" s="176" t="s">
        <v>347</v>
      </c>
      <c r="B147" s="177">
        <v>45500</v>
      </c>
      <c r="C147" s="176">
        <v>7.3</v>
      </c>
      <c r="D147" s="176">
        <v>22.4</v>
      </c>
      <c r="E147" s="176">
        <v>15.8</v>
      </c>
      <c r="F147" s="176">
        <v>100</v>
      </c>
      <c r="G147" s="176">
        <v>0</v>
      </c>
      <c r="H147" s="176" t="s">
        <v>348</v>
      </c>
      <c r="I147" s="176" t="s">
        <v>349</v>
      </c>
    </row>
    <row r="148" spans="1:9" x14ac:dyDescent="0.3">
      <c r="A148" s="176" t="s">
        <v>347</v>
      </c>
      <c r="B148" s="177">
        <v>45501</v>
      </c>
      <c r="C148" s="176">
        <v>8.3000000000000007</v>
      </c>
      <c r="D148" s="176">
        <v>27.2</v>
      </c>
      <c r="E148" s="176">
        <v>18.399999999999999</v>
      </c>
      <c r="F148" s="176">
        <v>100</v>
      </c>
      <c r="G148" s="176">
        <v>0</v>
      </c>
      <c r="H148" s="176" t="s">
        <v>348</v>
      </c>
      <c r="I148" s="176" t="s">
        <v>349</v>
      </c>
    </row>
    <row r="149" spans="1:9" x14ac:dyDescent="0.3">
      <c r="A149" s="176" t="s">
        <v>347</v>
      </c>
      <c r="B149" s="177">
        <v>45502</v>
      </c>
      <c r="C149" s="176">
        <v>11.2</v>
      </c>
      <c r="D149" s="176">
        <v>29.1</v>
      </c>
      <c r="E149" s="176">
        <v>21.1</v>
      </c>
      <c r="F149" s="176">
        <v>100</v>
      </c>
      <c r="G149" s="176">
        <v>0.1</v>
      </c>
      <c r="H149" s="176" t="s">
        <v>348</v>
      </c>
      <c r="I149" s="176" t="s">
        <v>349</v>
      </c>
    </row>
    <row r="150" spans="1:9" x14ac:dyDescent="0.3">
      <c r="A150" s="176" t="s">
        <v>347</v>
      </c>
      <c r="B150" s="177">
        <v>45503</v>
      </c>
      <c r="C150" s="176">
        <v>17.600000000000001</v>
      </c>
      <c r="D150" s="176">
        <v>28.2</v>
      </c>
      <c r="E150" s="176">
        <v>21.7</v>
      </c>
      <c r="F150" s="176">
        <v>100</v>
      </c>
      <c r="G150" s="176">
        <v>0.1</v>
      </c>
      <c r="H150" s="176" t="s">
        <v>348</v>
      </c>
      <c r="I150" s="176" t="s">
        <v>349</v>
      </c>
    </row>
    <row r="151" spans="1:9" x14ac:dyDescent="0.3">
      <c r="A151" s="176" t="s">
        <v>347</v>
      </c>
      <c r="B151" s="177">
        <v>45504</v>
      </c>
      <c r="C151" s="176">
        <v>15.4</v>
      </c>
      <c r="D151" s="176">
        <v>29.4</v>
      </c>
      <c r="E151" s="176">
        <v>23.1</v>
      </c>
      <c r="F151" s="176">
        <v>100</v>
      </c>
      <c r="G151" s="176">
        <v>0</v>
      </c>
      <c r="H151" s="176" t="s">
        <v>348</v>
      </c>
      <c r="I151" s="176" t="s">
        <v>349</v>
      </c>
    </row>
    <row r="152" spans="1:9" x14ac:dyDescent="0.3">
      <c r="A152" s="176" t="s">
        <v>347</v>
      </c>
      <c r="B152" s="177">
        <v>45505</v>
      </c>
      <c r="C152" s="176">
        <v>12.3</v>
      </c>
      <c r="D152" s="176">
        <v>33</v>
      </c>
      <c r="E152" s="176">
        <v>22.9</v>
      </c>
      <c r="F152" s="176">
        <v>100</v>
      </c>
      <c r="G152" s="176">
        <v>0</v>
      </c>
      <c r="H152" s="176" t="s">
        <v>348</v>
      </c>
      <c r="I152" s="176" t="s">
        <v>349</v>
      </c>
    </row>
    <row r="153" spans="1:9" x14ac:dyDescent="0.3">
      <c r="A153" s="176" t="s">
        <v>347</v>
      </c>
      <c r="B153" s="177">
        <v>45506</v>
      </c>
      <c r="C153" s="176">
        <v>13.2</v>
      </c>
      <c r="D153" s="176">
        <v>29.9</v>
      </c>
      <c r="E153" s="176">
        <v>22.3</v>
      </c>
      <c r="F153" s="176">
        <v>100</v>
      </c>
      <c r="G153" s="176">
        <v>0</v>
      </c>
      <c r="H153" s="176" t="s">
        <v>348</v>
      </c>
      <c r="I153" s="176" t="s">
        <v>349</v>
      </c>
    </row>
    <row r="154" spans="1:9" x14ac:dyDescent="0.3">
      <c r="A154" s="176" t="s">
        <v>347</v>
      </c>
      <c r="B154" s="177">
        <v>45507</v>
      </c>
      <c r="C154" s="176">
        <v>11.7</v>
      </c>
      <c r="D154" s="176">
        <v>30.6</v>
      </c>
      <c r="E154" s="176">
        <v>20.9</v>
      </c>
      <c r="F154" s="176">
        <v>100</v>
      </c>
      <c r="G154" s="176">
        <v>0</v>
      </c>
      <c r="H154" s="176" t="s">
        <v>348</v>
      </c>
      <c r="I154" s="176" t="s">
        <v>349</v>
      </c>
    </row>
    <row r="155" spans="1:9" x14ac:dyDescent="0.3">
      <c r="A155" s="176" t="s">
        <v>347</v>
      </c>
      <c r="B155" s="177">
        <v>45508</v>
      </c>
      <c r="C155" s="176">
        <v>12.8</v>
      </c>
      <c r="D155" s="176">
        <v>24.3</v>
      </c>
      <c r="E155" s="176">
        <v>18.600000000000001</v>
      </c>
      <c r="F155" s="176">
        <v>100</v>
      </c>
      <c r="G155" s="176">
        <v>0.2</v>
      </c>
      <c r="H155" s="176" t="s">
        <v>348</v>
      </c>
      <c r="I155" s="176" t="s">
        <v>349</v>
      </c>
    </row>
    <row r="156" spans="1:9" x14ac:dyDescent="0.3">
      <c r="A156" s="176" t="s">
        <v>347</v>
      </c>
      <c r="B156" s="177">
        <v>45509</v>
      </c>
      <c r="C156" s="176">
        <v>12.1</v>
      </c>
      <c r="D156" s="176">
        <v>27.6</v>
      </c>
      <c r="E156" s="176">
        <v>19.7</v>
      </c>
      <c r="F156" s="176">
        <v>100</v>
      </c>
      <c r="G156" s="176">
        <v>0.1</v>
      </c>
      <c r="H156" s="176" t="s">
        <v>348</v>
      </c>
      <c r="I156" s="176" t="s">
        <v>349</v>
      </c>
    </row>
    <row r="157" spans="1:9" x14ac:dyDescent="0.3">
      <c r="A157" s="176" t="s">
        <v>347</v>
      </c>
      <c r="B157" s="177">
        <v>45510</v>
      </c>
      <c r="C157" s="176">
        <v>12.2</v>
      </c>
      <c r="D157" s="176">
        <v>21.5</v>
      </c>
      <c r="E157" s="176">
        <v>16.5</v>
      </c>
      <c r="F157" s="176">
        <v>100</v>
      </c>
      <c r="G157" s="176">
        <v>3.3</v>
      </c>
      <c r="H157" s="176" t="s">
        <v>348</v>
      </c>
      <c r="I157" s="176" t="s">
        <v>349</v>
      </c>
    </row>
    <row r="158" spans="1:9" x14ac:dyDescent="0.3">
      <c r="A158" s="176" t="s">
        <v>347</v>
      </c>
      <c r="B158" s="177">
        <v>45511</v>
      </c>
      <c r="C158" s="176">
        <v>12.1</v>
      </c>
      <c r="D158" s="176">
        <v>21.3</v>
      </c>
      <c r="E158" s="176">
        <v>15.4</v>
      </c>
      <c r="F158" s="176">
        <v>100</v>
      </c>
      <c r="G158" s="176">
        <v>2.9</v>
      </c>
      <c r="H158" s="176" t="s">
        <v>348</v>
      </c>
      <c r="I158" s="176" t="s">
        <v>349</v>
      </c>
    </row>
    <row r="159" spans="1:9" x14ac:dyDescent="0.3">
      <c r="A159" s="176" t="s">
        <v>347</v>
      </c>
      <c r="B159" s="177">
        <v>45512</v>
      </c>
      <c r="C159" s="176">
        <v>7.8</v>
      </c>
      <c r="D159" s="176">
        <v>22.4</v>
      </c>
      <c r="E159" s="176">
        <v>14.9</v>
      </c>
      <c r="F159" s="176">
        <v>100</v>
      </c>
      <c r="G159" s="176">
        <v>0</v>
      </c>
      <c r="H159" s="176" t="s">
        <v>348</v>
      </c>
      <c r="I159" s="176" t="s">
        <v>349</v>
      </c>
    </row>
    <row r="160" spans="1:9" x14ac:dyDescent="0.3">
      <c r="A160" s="176" t="s">
        <v>347</v>
      </c>
      <c r="B160" s="177">
        <v>45513</v>
      </c>
      <c r="C160" s="176">
        <v>6.9</v>
      </c>
      <c r="D160" s="176">
        <v>23.6</v>
      </c>
      <c r="E160" s="176">
        <v>15.2</v>
      </c>
      <c r="F160" s="176">
        <v>100</v>
      </c>
      <c r="G160" s="176">
        <v>0</v>
      </c>
      <c r="H160" s="176" t="s">
        <v>348</v>
      </c>
      <c r="I160" s="176" t="s">
        <v>349</v>
      </c>
    </row>
    <row r="161" spans="1:9" x14ac:dyDescent="0.3">
      <c r="A161" s="176" t="s">
        <v>347</v>
      </c>
      <c r="B161" s="177">
        <v>45514</v>
      </c>
      <c r="C161" s="176">
        <v>8</v>
      </c>
      <c r="D161" s="176">
        <v>25.8</v>
      </c>
      <c r="E161" s="176">
        <v>17.3</v>
      </c>
      <c r="F161" s="176">
        <v>100</v>
      </c>
      <c r="G161" s="176">
        <v>0</v>
      </c>
      <c r="H161" s="176" t="s">
        <v>348</v>
      </c>
      <c r="I161" s="176" t="s">
        <v>349</v>
      </c>
    </row>
    <row r="162" spans="1:9" x14ac:dyDescent="0.3">
      <c r="A162" s="176" t="s">
        <v>347</v>
      </c>
      <c r="B162" s="177">
        <v>45515</v>
      </c>
      <c r="C162" s="176">
        <v>10.7</v>
      </c>
      <c r="D162" s="176">
        <v>28.5</v>
      </c>
      <c r="E162" s="176">
        <v>18.2</v>
      </c>
      <c r="F162" s="176">
        <v>100</v>
      </c>
      <c r="G162" s="176">
        <v>1.2</v>
      </c>
      <c r="H162" s="176" t="s">
        <v>348</v>
      </c>
      <c r="I162" s="176" t="s">
        <v>349</v>
      </c>
    </row>
    <row r="163" spans="1:9" x14ac:dyDescent="0.3">
      <c r="A163" s="176" t="s">
        <v>347</v>
      </c>
      <c r="B163" s="177">
        <v>45516</v>
      </c>
      <c r="C163" s="176">
        <v>12.7</v>
      </c>
      <c r="D163" s="176">
        <v>28.2</v>
      </c>
      <c r="E163" s="176">
        <v>19.7</v>
      </c>
      <c r="F163" s="176">
        <v>100</v>
      </c>
      <c r="G163" s="176">
        <v>0</v>
      </c>
      <c r="H163" s="176" t="s">
        <v>348</v>
      </c>
      <c r="I163" s="176" t="s">
        <v>349</v>
      </c>
    </row>
    <row r="164" spans="1:9" x14ac:dyDescent="0.3">
      <c r="A164" s="176" t="s">
        <v>347</v>
      </c>
      <c r="B164" s="177">
        <v>45517</v>
      </c>
      <c r="C164" s="176">
        <v>10.6</v>
      </c>
      <c r="D164" s="176">
        <v>28.8</v>
      </c>
      <c r="E164" s="176">
        <v>19.899999999999999</v>
      </c>
      <c r="F164" s="176">
        <v>100</v>
      </c>
      <c r="G164" s="176">
        <v>0.1</v>
      </c>
      <c r="H164" s="176" t="s">
        <v>348</v>
      </c>
      <c r="I164" s="176" t="s">
        <v>349</v>
      </c>
    </row>
    <row r="165" spans="1:9" x14ac:dyDescent="0.3">
      <c r="A165" s="176" t="s">
        <v>347</v>
      </c>
      <c r="B165" s="177">
        <v>45518</v>
      </c>
      <c r="C165" s="176">
        <v>11.8</v>
      </c>
      <c r="D165" s="176">
        <v>28.3</v>
      </c>
      <c r="E165" s="176">
        <v>20.100000000000001</v>
      </c>
      <c r="F165" s="176">
        <v>100</v>
      </c>
      <c r="G165" s="176">
        <v>0</v>
      </c>
      <c r="H165" s="176" t="s">
        <v>348</v>
      </c>
      <c r="I165" s="176" t="s">
        <v>349</v>
      </c>
    </row>
    <row r="166" spans="1:9" x14ac:dyDescent="0.3">
      <c r="A166" s="176" t="s">
        <v>347</v>
      </c>
      <c r="B166" s="177">
        <v>45519</v>
      </c>
      <c r="C166" s="176">
        <v>13</v>
      </c>
      <c r="D166" s="176">
        <v>25.1</v>
      </c>
      <c r="E166" s="176">
        <v>18.3</v>
      </c>
      <c r="F166" s="176">
        <v>100</v>
      </c>
      <c r="G166" s="176">
        <v>0.9</v>
      </c>
      <c r="H166" s="176" t="s">
        <v>348</v>
      </c>
      <c r="I166" s="176" t="s">
        <v>349</v>
      </c>
    </row>
    <row r="167" spans="1:9" x14ac:dyDescent="0.3">
      <c r="A167" s="176" t="s">
        <v>347</v>
      </c>
      <c r="B167" s="177">
        <v>45520</v>
      </c>
      <c r="C167" s="176">
        <v>12</v>
      </c>
      <c r="D167" s="176">
        <v>22.7</v>
      </c>
      <c r="E167" s="176">
        <v>16.3</v>
      </c>
      <c r="F167" s="176">
        <v>100</v>
      </c>
      <c r="G167" s="176">
        <v>1.6</v>
      </c>
      <c r="H167" s="176" t="s">
        <v>348</v>
      </c>
      <c r="I167" s="176" t="s">
        <v>349</v>
      </c>
    </row>
    <row r="168" spans="1:9" x14ac:dyDescent="0.3">
      <c r="A168" s="176" t="s">
        <v>347</v>
      </c>
      <c r="B168" s="177">
        <v>45521</v>
      </c>
      <c r="C168" s="176">
        <v>8.8000000000000007</v>
      </c>
      <c r="D168" s="176">
        <v>28.4</v>
      </c>
      <c r="E168" s="176">
        <v>18.100000000000001</v>
      </c>
      <c r="F168" s="176">
        <v>100</v>
      </c>
      <c r="G168" s="176">
        <v>0</v>
      </c>
      <c r="H168" s="176" t="s">
        <v>348</v>
      </c>
      <c r="I168" s="176" t="s">
        <v>349</v>
      </c>
    </row>
    <row r="169" spans="1:9" x14ac:dyDescent="0.3">
      <c r="A169" s="176" t="s">
        <v>347</v>
      </c>
      <c r="B169" s="177">
        <v>45522</v>
      </c>
      <c r="C169" s="176">
        <v>11</v>
      </c>
      <c r="D169" s="176">
        <v>28.1</v>
      </c>
      <c r="E169" s="176">
        <v>19.3</v>
      </c>
      <c r="F169" s="176">
        <v>100</v>
      </c>
      <c r="G169" s="176">
        <v>0</v>
      </c>
      <c r="H169" s="176" t="s">
        <v>348</v>
      </c>
      <c r="I169" s="176" t="s">
        <v>349</v>
      </c>
    </row>
    <row r="170" spans="1:9" x14ac:dyDescent="0.3">
      <c r="A170" s="176" t="s">
        <v>347</v>
      </c>
      <c r="B170" s="177">
        <v>45523</v>
      </c>
      <c r="C170" s="176">
        <v>12</v>
      </c>
      <c r="D170" s="176">
        <v>33.200000000000003</v>
      </c>
      <c r="E170" s="176">
        <v>22.8</v>
      </c>
      <c r="F170" s="176">
        <v>100</v>
      </c>
      <c r="G170" s="176">
        <v>0.2</v>
      </c>
      <c r="H170" s="176" t="s">
        <v>348</v>
      </c>
      <c r="I170" s="176" t="s">
        <v>349</v>
      </c>
    </row>
    <row r="171" spans="1:9" x14ac:dyDescent="0.3">
      <c r="A171" s="176" t="s">
        <v>347</v>
      </c>
      <c r="B171" s="177">
        <v>45524</v>
      </c>
      <c r="C171" s="176">
        <v>16.2</v>
      </c>
      <c r="D171" s="176">
        <v>29.5</v>
      </c>
      <c r="E171" s="176">
        <v>22.6</v>
      </c>
      <c r="F171" s="176">
        <v>100</v>
      </c>
      <c r="G171" s="176">
        <v>0</v>
      </c>
      <c r="H171" s="176" t="s">
        <v>348</v>
      </c>
      <c r="I171" s="176" t="s">
        <v>349</v>
      </c>
    </row>
    <row r="172" spans="1:9" x14ac:dyDescent="0.3">
      <c r="A172" s="176" t="s">
        <v>347</v>
      </c>
      <c r="B172" s="177">
        <v>45525</v>
      </c>
      <c r="C172" s="176">
        <v>10.6</v>
      </c>
      <c r="D172" s="176">
        <v>24.9</v>
      </c>
      <c r="E172" s="176">
        <v>18.5</v>
      </c>
      <c r="F172" s="176">
        <v>100</v>
      </c>
      <c r="G172" s="176">
        <v>0</v>
      </c>
      <c r="H172" s="176" t="s">
        <v>348</v>
      </c>
      <c r="I172" s="176" t="s">
        <v>349</v>
      </c>
    </row>
    <row r="173" spans="1:9" x14ac:dyDescent="0.3">
      <c r="G173" s="184">
        <f>SUM(G65:G172)</f>
        <v>155.79999999999993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EA97-D033-466C-8EA4-64A046A77A56}">
  <sheetPr>
    <tabColor rgb="FFFFFF00"/>
  </sheetPr>
  <dimension ref="A1:J35"/>
  <sheetViews>
    <sheetView workbookViewId="0">
      <selection activeCell="F24" sqref="F24"/>
    </sheetView>
  </sheetViews>
  <sheetFormatPr defaultColWidth="9" defaultRowHeight="14.4" x14ac:dyDescent="0.3"/>
  <cols>
    <col min="1" max="2" width="17.5" style="176" bestFit="1" customWidth="1"/>
    <col min="3" max="4" width="17.5" style="176" hidden="1" customWidth="1"/>
    <col min="5" max="5" width="17.5" style="176" bestFit="1" customWidth="1"/>
    <col min="6" max="6" width="33.8984375" style="176" customWidth="1"/>
    <col min="7" max="7" width="25" style="178" customWidth="1"/>
    <col min="8" max="10" width="25" style="176" customWidth="1"/>
    <col min="11" max="16384" width="9" style="176"/>
  </cols>
  <sheetData>
    <row r="1" spans="1:10" x14ac:dyDescent="0.3">
      <c r="A1" s="176" t="s">
        <v>385</v>
      </c>
      <c r="B1" s="176" t="s">
        <v>384</v>
      </c>
      <c r="C1" s="176" t="s">
        <v>383</v>
      </c>
      <c r="D1" s="176" t="s">
        <v>382</v>
      </c>
      <c r="E1" s="176" t="s">
        <v>107</v>
      </c>
      <c r="F1" s="176" t="s">
        <v>63</v>
      </c>
      <c r="G1" s="178" t="s">
        <v>285</v>
      </c>
      <c r="H1" s="176" t="s">
        <v>381</v>
      </c>
      <c r="I1" s="176" t="s">
        <v>380</v>
      </c>
      <c r="J1" s="176" t="s">
        <v>240</v>
      </c>
    </row>
    <row r="2" spans="1:10" hidden="1" x14ac:dyDescent="0.3">
      <c r="A2" s="176">
        <v>6</v>
      </c>
      <c r="B2" s="182">
        <v>45460.388553240744</v>
      </c>
      <c r="C2" s="182">
        <v>45460.389016203706</v>
      </c>
      <c r="D2" s="176" t="s">
        <v>379</v>
      </c>
      <c r="E2" s="176" t="s">
        <v>378</v>
      </c>
      <c r="F2" s="176" t="s">
        <v>363</v>
      </c>
      <c r="G2" s="178">
        <v>45435</v>
      </c>
      <c r="H2" s="181" t="s">
        <v>377</v>
      </c>
      <c r="I2" s="181"/>
      <c r="J2" s="176" t="s">
        <v>376</v>
      </c>
    </row>
    <row r="3" spans="1:10" x14ac:dyDescent="0.3">
      <c r="A3" s="176">
        <v>1</v>
      </c>
      <c r="B3" s="182">
        <v>45444.246840277781</v>
      </c>
      <c r="C3" s="182">
        <v>45444.247094907405</v>
      </c>
      <c r="D3" s="176" t="s">
        <v>365</v>
      </c>
      <c r="E3" s="176" t="s">
        <v>364</v>
      </c>
      <c r="F3" s="176" t="s">
        <v>372</v>
      </c>
      <c r="G3" s="178">
        <v>45444</v>
      </c>
      <c r="H3" s="181">
        <v>0.75</v>
      </c>
      <c r="I3" s="181">
        <f>Table145[[#This Row],[Amount of water in Inches]]*25.4</f>
        <v>19.049999999999997</v>
      </c>
    </row>
    <row r="4" spans="1:10" hidden="1" x14ac:dyDescent="0.3">
      <c r="A4" s="176">
        <v>2</v>
      </c>
      <c r="B4" s="182">
        <v>45449.231608796297</v>
      </c>
      <c r="C4" s="182">
        <v>45449.231736111113</v>
      </c>
      <c r="D4" s="176" t="s">
        <v>365</v>
      </c>
      <c r="E4" s="176" t="s">
        <v>364</v>
      </c>
      <c r="F4" s="176" t="s">
        <v>371</v>
      </c>
      <c r="G4" s="178">
        <v>45449</v>
      </c>
      <c r="H4" s="181">
        <v>1</v>
      </c>
      <c r="I4" s="181"/>
    </row>
    <row r="5" spans="1:10" x14ac:dyDescent="0.3">
      <c r="A5" s="176">
        <v>3</v>
      </c>
      <c r="B5" s="182">
        <v>45450.722118055557</v>
      </c>
      <c r="C5" s="182">
        <v>45450.722314814811</v>
      </c>
      <c r="D5" s="176" t="s">
        <v>365</v>
      </c>
      <c r="E5" s="176" t="s">
        <v>364</v>
      </c>
      <c r="F5" s="176" t="s">
        <v>372</v>
      </c>
      <c r="G5" s="178">
        <v>45450</v>
      </c>
      <c r="H5" s="181">
        <v>0.5</v>
      </c>
      <c r="I5" s="181">
        <f>Table145[[#This Row],[Amount of water in Inches]]*25.4</f>
        <v>12.7</v>
      </c>
    </row>
    <row r="6" spans="1:10" hidden="1" x14ac:dyDescent="0.3">
      <c r="A6" s="176">
        <v>4</v>
      </c>
      <c r="B6" s="182">
        <v>45456.402303240742</v>
      </c>
      <c r="C6" s="182">
        <v>45456.402499999997</v>
      </c>
      <c r="D6" s="176" t="s">
        <v>365</v>
      </c>
      <c r="E6" s="176" t="s">
        <v>364</v>
      </c>
      <c r="F6" s="176" t="s">
        <v>363</v>
      </c>
      <c r="G6" s="178">
        <v>45456</v>
      </c>
      <c r="H6" s="181">
        <v>2</v>
      </c>
      <c r="I6" s="181"/>
      <c r="J6" s="176" t="s">
        <v>375</v>
      </c>
    </row>
    <row r="7" spans="1:10" hidden="1" x14ac:dyDescent="0.3">
      <c r="A7" s="176">
        <v>5</v>
      </c>
      <c r="B7" s="182">
        <v>45456.40252314815</v>
      </c>
      <c r="C7" s="182">
        <v>45456.402627314812</v>
      </c>
      <c r="D7" s="176" t="s">
        <v>365</v>
      </c>
      <c r="E7" s="176" t="s">
        <v>364</v>
      </c>
      <c r="F7" s="176" t="s">
        <v>374</v>
      </c>
      <c r="G7" s="178">
        <v>45456</v>
      </c>
      <c r="H7" s="181">
        <v>1</v>
      </c>
      <c r="I7" s="181"/>
      <c r="J7" s="176" t="s">
        <v>373</v>
      </c>
    </row>
    <row r="8" spans="1:10" x14ac:dyDescent="0.3">
      <c r="A8" s="176">
        <v>7</v>
      </c>
      <c r="B8" s="182">
        <v>45470.713842592595</v>
      </c>
      <c r="C8" s="182">
        <v>45470.713958333334</v>
      </c>
      <c r="D8" s="176" t="s">
        <v>365</v>
      </c>
      <c r="E8" s="176" t="s">
        <v>364</v>
      </c>
      <c r="F8" s="176" t="s">
        <v>372</v>
      </c>
      <c r="G8" s="178">
        <v>45470</v>
      </c>
      <c r="H8" s="181">
        <v>0.5</v>
      </c>
      <c r="I8" s="181">
        <f>Table145[[#This Row],[Amount of water in Inches]]*25.4</f>
        <v>12.7</v>
      </c>
    </row>
    <row r="9" spans="1:10" hidden="1" x14ac:dyDescent="0.3">
      <c r="A9" s="176">
        <v>34</v>
      </c>
      <c r="B9" s="182">
        <v>45450.722118055557</v>
      </c>
      <c r="C9" s="182">
        <v>45450.722314814811</v>
      </c>
      <c r="D9" s="176" t="s">
        <v>365</v>
      </c>
      <c r="E9" s="176" t="s">
        <v>364</v>
      </c>
      <c r="F9" s="176" t="s">
        <v>367</v>
      </c>
      <c r="G9" s="178">
        <v>45477</v>
      </c>
      <c r="H9" s="181">
        <v>0.5</v>
      </c>
      <c r="I9" s="181"/>
    </row>
    <row r="10" spans="1:10" hidden="1" x14ac:dyDescent="0.3">
      <c r="A10" s="176">
        <v>8</v>
      </c>
      <c r="B10" s="182">
        <v>45482.542708333334</v>
      </c>
      <c r="C10" s="182">
        <v>45482.542905092596</v>
      </c>
      <c r="D10" s="176" t="s">
        <v>365</v>
      </c>
      <c r="E10" s="176" t="s">
        <v>364</v>
      </c>
      <c r="F10" s="176" t="s">
        <v>371</v>
      </c>
      <c r="G10" s="178">
        <v>45482</v>
      </c>
      <c r="H10" s="181">
        <v>1</v>
      </c>
      <c r="I10" s="181"/>
    </row>
    <row r="11" spans="1:10" x14ac:dyDescent="0.3">
      <c r="A11" s="176">
        <v>9</v>
      </c>
      <c r="B11" s="182">
        <v>45482.645335648151</v>
      </c>
      <c r="C11" s="182">
        <v>45482.645462962966</v>
      </c>
      <c r="D11" s="176" t="s">
        <v>365</v>
      </c>
      <c r="E11" s="176" t="s">
        <v>364</v>
      </c>
      <c r="F11" s="176" t="s">
        <v>370</v>
      </c>
      <c r="G11" s="178">
        <v>45482</v>
      </c>
      <c r="H11" s="181">
        <v>0.5</v>
      </c>
      <c r="I11" s="181">
        <f>Table145[[#This Row],[Amount of water in Inches]]*25.4</f>
        <v>12.7</v>
      </c>
    </row>
    <row r="12" spans="1:10" hidden="1" x14ac:dyDescent="0.3">
      <c r="A12" s="176">
        <v>10</v>
      </c>
      <c r="B12" s="182">
        <v>45483.655162037037</v>
      </c>
      <c r="C12" s="182">
        <v>45483.655243055553</v>
      </c>
      <c r="D12" s="176" t="s">
        <v>365</v>
      </c>
      <c r="E12" s="176" t="s">
        <v>364</v>
      </c>
      <c r="F12" s="176" t="s">
        <v>367</v>
      </c>
      <c r="G12" s="178">
        <v>45483</v>
      </c>
      <c r="H12" s="181">
        <v>0.5</v>
      </c>
      <c r="I12" s="181"/>
    </row>
    <row r="13" spans="1:10" x14ac:dyDescent="0.3">
      <c r="A13" s="176">
        <v>11</v>
      </c>
      <c r="B13" s="182">
        <v>45485.91777777778</v>
      </c>
      <c r="C13" s="182">
        <v>45485.917881944442</v>
      </c>
      <c r="D13" s="176" t="s">
        <v>365</v>
      </c>
      <c r="E13" s="176" t="s">
        <v>364</v>
      </c>
      <c r="F13" s="176" t="s">
        <v>370</v>
      </c>
      <c r="G13" s="178">
        <v>45485</v>
      </c>
      <c r="H13" s="181">
        <v>0.5</v>
      </c>
      <c r="I13" s="181">
        <f>Table145[[#This Row],[Amount of water in Inches]]*25.4</f>
        <v>12.7</v>
      </c>
    </row>
    <row r="14" spans="1:10" hidden="1" x14ac:dyDescent="0.3">
      <c r="A14" s="176">
        <v>12</v>
      </c>
      <c r="B14" s="182">
        <v>45487.20648148148</v>
      </c>
      <c r="C14" s="182">
        <v>45487.206585648149</v>
      </c>
      <c r="D14" s="176" t="s">
        <v>365</v>
      </c>
      <c r="E14" s="176" t="s">
        <v>364</v>
      </c>
      <c r="F14" s="176" t="s">
        <v>367</v>
      </c>
      <c r="G14" s="178">
        <v>45487</v>
      </c>
      <c r="H14" s="181">
        <v>0.5</v>
      </c>
      <c r="I14" s="181"/>
    </row>
    <row r="15" spans="1:10" hidden="1" x14ac:dyDescent="0.3">
      <c r="A15" s="176">
        <v>13</v>
      </c>
      <c r="B15" s="182">
        <v>45488.381932870368</v>
      </c>
      <c r="C15" s="182">
        <v>45488.382013888891</v>
      </c>
      <c r="D15" s="176" t="s">
        <v>365</v>
      </c>
      <c r="E15" s="176" t="s">
        <v>364</v>
      </c>
      <c r="F15" s="176" t="s">
        <v>371</v>
      </c>
      <c r="G15" s="178">
        <v>45488</v>
      </c>
      <c r="H15" s="181">
        <v>1</v>
      </c>
      <c r="I15" s="181"/>
    </row>
    <row r="16" spans="1:10" x14ac:dyDescent="0.3">
      <c r="A16" s="176">
        <v>14</v>
      </c>
      <c r="B16" s="182">
        <v>45491.631157407406</v>
      </c>
      <c r="C16" s="182">
        <v>45491.631354166668</v>
      </c>
      <c r="D16" s="176" t="s">
        <v>365</v>
      </c>
      <c r="E16" s="176" t="s">
        <v>364</v>
      </c>
      <c r="F16" s="176" t="s">
        <v>370</v>
      </c>
      <c r="G16" s="178">
        <v>45491</v>
      </c>
      <c r="H16" s="181">
        <v>0.5</v>
      </c>
      <c r="I16" s="181">
        <f>Table145[[#This Row],[Amount of water in Inches]]*25.4</f>
        <v>12.7</v>
      </c>
    </row>
    <row r="17" spans="1:10" x14ac:dyDescent="0.3">
      <c r="A17" s="176">
        <v>16</v>
      </c>
      <c r="B17" s="182">
        <v>45491.631157407406</v>
      </c>
      <c r="C17" s="182">
        <v>45491.631354166668</v>
      </c>
      <c r="D17" s="176" t="s">
        <v>365</v>
      </c>
      <c r="E17" s="176" t="s">
        <v>364</v>
      </c>
      <c r="F17" s="176" t="s">
        <v>370</v>
      </c>
      <c r="G17" s="178">
        <v>45492</v>
      </c>
      <c r="H17" s="181">
        <v>0.5</v>
      </c>
      <c r="I17" s="181">
        <f>Table145[[#This Row],[Amount of water in Inches]]*25.4</f>
        <v>12.7</v>
      </c>
    </row>
    <row r="18" spans="1:10" hidden="1" x14ac:dyDescent="0.3">
      <c r="A18" s="176">
        <v>15</v>
      </c>
      <c r="B18" s="182">
        <v>45493.29042824074</v>
      </c>
      <c r="C18" s="182">
        <v>45493.290532407409</v>
      </c>
      <c r="D18" s="176" t="s">
        <v>365</v>
      </c>
      <c r="E18" s="176" t="s">
        <v>364</v>
      </c>
      <c r="F18" s="176" t="s">
        <v>367</v>
      </c>
      <c r="G18" s="178">
        <v>45493</v>
      </c>
      <c r="H18" s="181">
        <v>0.5</v>
      </c>
      <c r="I18" s="181"/>
    </row>
    <row r="19" spans="1:10" hidden="1" x14ac:dyDescent="0.3">
      <c r="A19" s="176">
        <v>17</v>
      </c>
      <c r="B19" s="182">
        <v>45497.483368055553</v>
      </c>
      <c r="C19" s="182">
        <v>45497.483449074076</v>
      </c>
      <c r="D19" s="176" t="s">
        <v>365</v>
      </c>
      <c r="E19" s="176" t="s">
        <v>364</v>
      </c>
      <c r="F19" s="176" t="s">
        <v>367</v>
      </c>
      <c r="G19" s="178">
        <v>45497</v>
      </c>
      <c r="H19" s="181">
        <v>0.5</v>
      </c>
      <c r="I19" s="181"/>
    </row>
    <row r="20" spans="1:10" hidden="1" x14ac:dyDescent="0.3">
      <c r="A20" s="176">
        <v>18</v>
      </c>
      <c r="B20" s="182">
        <v>45498.275138888886</v>
      </c>
      <c r="C20" s="182">
        <v>45498.275243055556</v>
      </c>
      <c r="D20" s="176" t="s">
        <v>365</v>
      </c>
      <c r="E20" s="176" t="s">
        <v>364</v>
      </c>
      <c r="F20" s="176" t="s">
        <v>371</v>
      </c>
      <c r="G20" s="178">
        <v>45498</v>
      </c>
      <c r="H20" s="181">
        <v>1</v>
      </c>
      <c r="I20" s="181"/>
    </row>
    <row r="21" spans="1:10" x14ac:dyDescent="0.3">
      <c r="A21" s="176">
        <v>19</v>
      </c>
      <c r="B21" s="182">
        <v>45499.896990740737</v>
      </c>
      <c r="C21" s="182">
        <v>45499.897094907406</v>
      </c>
      <c r="D21" s="176" t="s">
        <v>365</v>
      </c>
      <c r="E21" s="176" t="s">
        <v>364</v>
      </c>
      <c r="F21" s="176" t="s">
        <v>370</v>
      </c>
      <c r="G21" s="178">
        <v>45499</v>
      </c>
      <c r="H21" s="181">
        <v>0.5</v>
      </c>
      <c r="I21" s="181">
        <f>Table145[[#This Row],[Amount of water in Inches]]*25.4</f>
        <v>12.7</v>
      </c>
    </row>
    <row r="22" spans="1:10" hidden="1" x14ac:dyDescent="0.3">
      <c r="A22" s="176">
        <v>20</v>
      </c>
      <c r="B22" s="182">
        <v>45501.532800925925</v>
      </c>
      <c r="C22" s="182">
        <v>45501.532893518517</v>
      </c>
      <c r="D22" s="176" t="s">
        <v>365</v>
      </c>
      <c r="E22" s="176" t="s">
        <v>364</v>
      </c>
      <c r="F22" s="176" t="s">
        <v>367</v>
      </c>
      <c r="G22" s="178">
        <v>45501</v>
      </c>
      <c r="H22" s="181">
        <v>1</v>
      </c>
      <c r="I22" s="181"/>
    </row>
    <row r="23" spans="1:10" hidden="1" x14ac:dyDescent="0.3">
      <c r="A23" s="176">
        <v>21</v>
      </c>
      <c r="B23" s="182">
        <v>45503.380243055559</v>
      </c>
      <c r="C23" s="182">
        <v>45503.380393518521</v>
      </c>
      <c r="D23" s="176" t="s">
        <v>365</v>
      </c>
      <c r="E23" s="176" t="s">
        <v>364</v>
      </c>
      <c r="F23" s="176" t="s">
        <v>363</v>
      </c>
      <c r="G23" s="178">
        <v>45503</v>
      </c>
      <c r="H23" s="181">
        <v>1</v>
      </c>
      <c r="I23" s="181"/>
      <c r="J23" s="176" t="s">
        <v>368</v>
      </c>
    </row>
    <row r="24" spans="1:10" x14ac:dyDescent="0.3">
      <c r="A24" s="176">
        <v>24</v>
      </c>
      <c r="B24" s="182">
        <v>45506.006041666667</v>
      </c>
      <c r="C24" s="182">
        <v>45506.006145833337</v>
      </c>
      <c r="D24" s="176" t="s">
        <v>365</v>
      </c>
      <c r="E24" s="176" t="s">
        <v>364</v>
      </c>
      <c r="F24" s="176" t="s">
        <v>370</v>
      </c>
      <c r="G24" s="178">
        <v>45505</v>
      </c>
      <c r="H24" s="181">
        <v>0.25</v>
      </c>
      <c r="I24" s="181">
        <f>Table145[[#This Row],[Amount of water in Inches]]*25.4</f>
        <v>6.35</v>
      </c>
    </row>
    <row r="25" spans="1:10" hidden="1" x14ac:dyDescent="0.3">
      <c r="A25" s="176">
        <v>22</v>
      </c>
      <c r="B25" s="182">
        <v>45505.304861111108</v>
      </c>
      <c r="C25" s="182">
        <v>45505.304965277777</v>
      </c>
      <c r="D25" s="176" t="s">
        <v>365</v>
      </c>
      <c r="E25" s="176" t="s">
        <v>364</v>
      </c>
      <c r="F25" s="176" t="s">
        <v>367</v>
      </c>
      <c r="G25" s="178">
        <v>45506</v>
      </c>
      <c r="H25" s="181">
        <v>0.5</v>
      </c>
      <c r="I25" s="181"/>
    </row>
    <row r="26" spans="1:10" hidden="1" x14ac:dyDescent="0.3">
      <c r="A26" s="176">
        <v>23</v>
      </c>
      <c r="B26" s="182">
        <v>45506.00439814815</v>
      </c>
      <c r="C26" s="182">
        <v>45506.004490740743</v>
      </c>
      <c r="D26" s="176" t="s">
        <v>365</v>
      </c>
      <c r="E26" s="176" t="s">
        <v>364</v>
      </c>
      <c r="F26" s="176" t="s">
        <v>367</v>
      </c>
      <c r="G26" s="178">
        <v>45507</v>
      </c>
      <c r="H26" s="181">
        <v>0.5</v>
      </c>
      <c r="I26" s="181"/>
    </row>
    <row r="27" spans="1:10" hidden="1" x14ac:dyDescent="0.3">
      <c r="A27" s="176">
        <v>25</v>
      </c>
      <c r="B27" s="182">
        <v>45510.637835648151</v>
      </c>
      <c r="C27" s="182">
        <v>45510.63795138889</v>
      </c>
      <c r="D27" s="176" t="s">
        <v>365</v>
      </c>
      <c r="E27" s="176" t="s">
        <v>364</v>
      </c>
      <c r="F27" s="176" t="s">
        <v>363</v>
      </c>
      <c r="G27" s="178">
        <v>45510</v>
      </c>
      <c r="H27" s="181">
        <v>1</v>
      </c>
      <c r="I27" s="181"/>
      <c r="J27" s="176" t="s">
        <v>368</v>
      </c>
    </row>
    <row r="28" spans="1:10" hidden="1" x14ac:dyDescent="0.3">
      <c r="A28" s="176">
        <v>26</v>
      </c>
      <c r="B28" s="182">
        <v>45511.408078703702</v>
      </c>
      <c r="C28" s="182">
        <v>45511.408171296294</v>
      </c>
      <c r="D28" s="176" t="s">
        <v>365</v>
      </c>
      <c r="E28" s="176" t="s">
        <v>364</v>
      </c>
      <c r="F28" s="176" t="s">
        <v>367</v>
      </c>
      <c r="G28" s="178">
        <v>45511</v>
      </c>
      <c r="H28" s="181">
        <v>0.5</v>
      </c>
      <c r="I28" s="181"/>
    </row>
    <row r="29" spans="1:10" hidden="1" x14ac:dyDescent="0.3">
      <c r="A29" s="176">
        <v>27</v>
      </c>
      <c r="B29" s="182">
        <v>45519.840370370373</v>
      </c>
      <c r="C29" s="182">
        <v>45519.840532407405</v>
      </c>
      <c r="D29" s="176" t="s">
        <v>365</v>
      </c>
      <c r="E29" s="176" t="s">
        <v>364</v>
      </c>
      <c r="F29" s="176" t="s">
        <v>367</v>
      </c>
      <c r="G29" s="178">
        <v>45519</v>
      </c>
      <c r="H29" s="181">
        <v>0.5</v>
      </c>
      <c r="I29" s="181"/>
    </row>
    <row r="30" spans="1:10" hidden="1" x14ac:dyDescent="0.3">
      <c r="A30" s="176">
        <v>28</v>
      </c>
      <c r="B30" s="182">
        <v>45521.925474537034</v>
      </c>
      <c r="C30" s="182">
        <v>45521.926145833335</v>
      </c>
      <c r="D30" s="176" t="s">
        <v>365</v>
      </c>
      <c r="E30" s="176" t="s">
        <v>364</v>
      </c>
      <c r="F30" s="176" t="s">
        <v>367</v>
      </c>
      <c r="G30" s="178">
        <v>45522</v>
      </c>
      <c r="H30" s="181">
        <v>0.75</v>
      </c>
      <c r="I30" s="181"/>
      <c r="J30" s="176" t="s">
        <v>369</v>
      </c>
    </row>
    <row r="31" spans="1:10" hidden="1" x14ac:dyDescent="0.3">
      <c r="A31" s="176">
        <v>29</v>
      </c>
      <c r="B31" s="182">
        <v>45523.62636574074</v>
      </c>
      <c r="C31" s="182">
        <v>45523.626493055555</v>
      </c>
      <c r="D31" s="176" t="s">
        <v>365</v>
      </c>
      <c r="E31" s="176" t="s">
        <v>364</v>
      </c>
      <c r="F31" s="176" t="s">
        <v>363</v>
      </c>
      <c r="G31" s="178">
        <v>45523</v>
      </c>
      <c r="H31" s="181">
        <v>1</v>
      </c>
      <c r="I31" s="181"/>
      <c r="J31" s="176" t="s">
        <v>368</v>
      </c>
    </row>
    <row r="32" spans="1:10" hidden="1" x14ac:dyDescent="0.3">
      <c r="A32" s="176">
        <v>30</v>
      </c>
      <c r="B32" s="182">
        <v>45524.237511574072</v>
      </c>
      <c r="C32" s="182">
        <v>45524.237673611111</v>
      </c>
      <c r="D32" s="176" t="s">
        <v>365</v>
      </c>
      <c r="E32" s="176" t="s">
        <v>364</v>
      </c>
      <c r="F32" s="176" t="s">
        <v>363</v>
      </c>
      <c r="G32" s="178">
        <v>45524</v>
      </c>
      <c r="H32" s="181">
        <v>1</v>
      </c>
      <c r="I32" s="181"/>
      <c r="J32" s="176" t="s">
        <v>368</v>
      </c>
    </row>
    <row r="33" spans="1:10" hidden="1" x14ac:dyDescent="0.3">
      <c r="A33" s="176">
        <v>31</v>
      </c>
      <c r="B33" s="182">
        <v>45526.393831018519</v>
      </c>
      <c r="C33" s="182">
        <v>45526.394131944442</v>
      </c>
      <c r="D33" s="176" t="s">
        <v>365</v>
      </c>
      <c r="E33" s="176" t="s">
        <v>364</v>
      </c>
      <c r="F33" s="176" t="s">
        <v>363</v>
      </c>
      <c r="G33" s="178">
        <v>45526</v>
      </c>
      <c r="H33" s="181">
        <v>0.5</v>
      </c>
      <c r="I33" s="181"/>
      <c r="J33" s="176" t="s">
        <v>366</v>
      </c>
    </row>
    <row r="34" spans="1:10" hidden="1" x14ac:dyDescent="0.3">
      <c r="A34" s="176">
        <v>33</v>
      </c>
      <c r="B34" s="182">
        <v>45530.895231481481</v>
      </c>
      <c r="C34" s="182">
        <v>45530.895520833335</v>
      </c>
      <c r="D34" s="176" t="s">
        <v>365</v>
      </c>
      <c r="E34" s="176" t="s">
        <v>364</v>
      </c>
      <c r="F34" s="176" t="s">
        <v>367</v>
      </c>
      <c r="G34" s="178">
        <v>45531</v>
      </c>
      <c r="H34" s="181">
        <v>1</v>
      </c>
      <c r="I34" s="181"/>
      <c r="J34" s="176" t="s">
        <v>366</v>
      </c>
    </row>
    <row r="35" spans="1:10" hidden="1" x14ac:dyDescent="0.3">
      <c r="A35" s="176">
        <v>34</v>
      </c>
      <c r="B35" s="182">
        <v>45540.847928240742</v>
      </c>
      <c r="C35" s="182">
        <v>45540.848101851851</v>
      </c>
      <c r="D35" s="176" t="s">
        <v>365</v>
      </c>
      <c r="E35" s="176" t="s">
        <v>364</v>
      </c>
      <c r="F35" s="176" t="s">
        <v>363</v>
      </c>
      <c r="G35" s="178">
        <v>45540</v>
      </c>
      <c r="H35" s="181" t="s">
        <v>362</v>
      </c>
      <c r="I35" s="181"/>
      <c r="J35" s="176" t="s">
        <v>361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E8A1-D61E-43DD-BFB5-D3B4799A7638}">
  <sheetPr>
    <tabColor rgb="FFFFFF00"/>
  </sheetPr>
  <dimension ref="A1:J47"/>
  <sheetViews>
    <sheetView workbookViewId="0">
      <selection activeCell="G57" sqref="G57"/>
    </sheetView>
  </sheetViews>
  <sheetFormatPr defaultColWidth="9" defaultRowHeight="14.4" x14ac:dyDescent="0.3"/>
  <cols>
    <col min="1" max="2" width="17.5" style="176" bestFit="1" customWidth="1"/>
    <col min="3" max="4" width="17.5" style="176" hidden="1" customWidth="1"/>
    <col min="5" max="5" width="17.5" style="176" bestFit="1" customWidth="1"/>
    <col min="6" max="6" width="33.8984375" style="176" customWidth="1"/>
    <col min="7" max="7" width="25" style="178" customWidth="1"/>
    <col min="8" max="10" width="25" style="176" customWidth="1"/>
    <col min="11" max="16384" width="9" style="176"/>
  </cols>
  <sheetData>
    <row r="1" spans="1:10" x14ac:dyDescent="0.3">
      <c r="A1" s="176" t="s">
        <v>385</v>
      </c>
      <c r="B1" s="176" t="s">
        <v>384</v>
      </c>
      <c r="C1" s="176" t="s">
        <v>383</v>
      </c>
      <c r="D1" s="176" t="s">
        <v>382</v>
      </c>
      <c r="E1" s="176" t="s">
        <v>107</v>
      </c>
      <c r="F1" s="176" t="s">
        <v>63</v>
      </c>
      <c r="G1" s="178" t="s">
        <v>285</v>
      </c>
      <c r="H1" s="176" t="s">
        <v>381</v>
      </c>
      <c r="I1" s="176" t="s">
        <v>380</v>
      </c>
      <c r="J1" s="176" t="s">
        <v>240</v>
      </c>
    </row>
    <row r="2" spans="1:10" hidden="1" x14ac:dyDescent="0.3">
      <c r="A2" s="176">
        <v>6</v>
      </c>
      <c r="B2" s="182">
        <v>45460.388553240744</v>
      </c>
      <c r="C2" s="182">
        <v>45460.389016203706</v>
      </c>
      <c r="D2" s="176" t="s">
        <v>379</v>
      </c>
      <c r="E2" s="176" t="s">
        <v>378</v>
      </c>
      <c r="F2" s="176" t="s">
        <v>363</v>
      </c>
      <c r="G2" s="178">
        <v>45435</v>
      </c>
      <c r="H2" s="181" t="s">
        <v>377</v>
      </c>
      <c r="I2" s="181"/>
      <c r="J2" s="176" t="s">
        <v>376</v>
      </c>
    </row>
    <row r="3" spans="1:10" x14ac:dyDescent="0.3">
      <c r="A3" s="176">
        <v>1</v>
      </c>
      <c r="B3" s="182">
        <v>45444.246840277781</v>
      </c>
      <c r="C3" s="182">
        <v>45444.247094907405</v>
      </c>
      <c r="D3" s="176" t="s">
        <v>365</v>
      </c>
      <c r="E3" s="176" t="s">
        <v>364</v>
      </c>
      <c r="F3" s="176" t="s">
        <v>372</v>
      </c>
      <c r="G3" s="178">
        <v>45444</v>
      </c>
      <c r="H3" s="181">
        <v>0.75</v>
      </c>
      <c r="I3" s="181">
        <f>Table14[[#This Row],[Amount of water in Inches]]*25.4</f>
        <v>19.049999999999997</v>
      </c>
    </row>
    <row r="4" spans="1:10" hidden="1" x14ac:dyDescent="0.3">
      <c r="A4" s="176">
        <v>2</v>
      </c>
      <c r="B4" s="182">
        <v>45449.231608796297</v>
      </c>
      <c r="C4" s="182">
        <v>45449.231736111113</v>
      </c>
      <c r="D4" s="176" t="s">
        <v>365</v>
      </c>
      <c r="E4" s="176" t="s">
        <v>364</v>
      </c>
      <c r="F4" s="176" t="s">
        <v>371</v>
      </c>
      <c r="G4" s="178">
        <v>45449</v>
      </c>
      <c r="H4" s="181">
        <v>1</v>
      </c>
      <c r="I4" s="181"/>
    </row>
    <row r="5" spans="1:10" x14ac:dyDescent="0.3">
      <c r="A5" s="176">
        <v>3</v>
      </c>
      <c r="B5" s="182">
        <v>45450.722118055557</v>
      </c>
      <c r="C5" s="182">
        <v>45450.722314814811</v>
      </c>
      <c r="D5" s="176" t="s">
        <v>365</v>
      </c>
      <c r="E5" s="176" t="s">
        <v>364</v>
      </c>
      <c r="F5" s="176" t="s">
        <v>372</v>
      </c>
      <c r="G5" s="178">
        <v>45450</v>
      </c>
      <c r="H5" s="181">
        <v>0.5</v>
      </c>
      <c r="I5" s="181">
        <f>Table14[[#This Row],[Amount of water in Inches]]*25.4</f>
        <v>12.7</v>
      </c>
    </row>
    <row r="6" spans="1:10" hidden="1" x14ac:dyDescent="0.3">
      <c r="A6" s="176">
        <v>4</v>
      </c>
      <c r="B6" s="182">
        <v>45456.402303240742</v>
      </c>
      <c r="C6" s="182">
        <v>45456.402499999997</v>
      </c>
      <c r="D6" s="176" t="s">
        <v>365</v>
      </c>
      <c r="E6" s="176" t="s">
        <v>364</v>
      </c>
      <c r="F6" s="176" t="s">
        <v>363</v>
      </c>
      <c r="G6" s="178">
        <v>45456</v>
      </c>
      <c r="H6" s="181">
        <v>2</v>
      </c>
      <c r="I6" s="181"/>
      <c r="J6" s="176" t="s">
        <v>375</v>
      </c>
    </row>
    <row r="7" spans="1:10" hidden="1" x14ac:dyDescent="0.3">
      <c r="A7" s="176">
        <v>5</v>
      </c>
      <c r="B7" s="182">
        <v>45456.40252314815</v>
      </c>
      <c r="C7" s="182">
        <v>45456.402627314812</v>
      </c>
      <c r="D7" s="176" t="s">
        <v>365</v>
      </c>
      <c r="E7" s="176" t="s">
        <v>364</v>
      </c>
      <c r="F7" s="176" t="s">
        <v>374</v>
      </c>
      <c r="G7" s="178">
        <v>45456</v>
      </c>
      <c r="H7" s="181">
        <v>1</v>
      </c>
      <c r="I7" s="181"/>
      <c r="J7" s="176" t="s">
        <v>373</v>
      </c>
    </row>
    <row r="8" spans="1:10" x14ac:dyDescent="0.3">
      <c r="A8" s="176">
        <v>7</v>
      </c>
      <c r="B8" s="182">
        <v>45470.713842592595</v>
      </c>
      <c r="C8" s="182">
        <v>45470.713958333334</v>
      </c>
      <c r="D8" s="176" t="s">
        <v>365</v>
      </c>
      <c r="E8" s="176" t="s">
        <v>364</v>
      </c>
      <c r="F8" s="176" t="s">
        <v>372</v>
      </c>
      <c r="G8" s="178">
        <v>45470</v>
      </c>
      <c r="H8" s="181">
        <v>0.5</v>
      </c>
      <c r="I8" s="181">
        <f>Table14[[#This Row],[Amount of water in Inches]]*25.4</f>
        <v>12.7</v>
      </c>
    </row>
    <row r="9" spans="1:10" hidden="1" x14ac:dyDescent="0.3">
      <c r="A9" s="176">
        <v>34</v>
      </c>
      <c r="B9" s="182">
        <v>45450.722118055557</v>
      </c>
      <c r="C9" s="182">
        <v>45450.722314814811</v>
      </c>
      <c r="D9" s="176" t="s">
        <v>365</v>
      </c>
      <c r="E9" s="176" t="s">
        <v>364</v>
      </c>
      <c r="F9" s="176" t="s">
        <v>367</v>
      </c>
      <c r="G9" s="178">
        <v>45477</v>
      </c>
      <c r="H9" s="181">
        <v>0.5</v>
      </c>
      <c r="I9" s="181"/>
    </row>
    <row r="10" spans="1:10" hidden="1" x14ac:dyDescent="0.3">
      <c r="A10" s="176">
        <v>8</v>
      </c>
      <c r="B10" s="182">
        <v>45482.542708333334</v>
      </c>
      <c r="C10" s="182">
        <v>45482.542905092596</v>
      </c>
      <c r="D10" s="176" t="s">
        <v>365</v>
      </c>
      <c r="E10" s="176" t="s">
        <v>364</v>
      </c>
      <c r="F10" s="176" t="s">
        <v>371</v>
      </c>
      <c r="G10" s="178">
        <v>45482</v>
      </c>
      <c r="H10" s="181">
        <v>1</v>
      </c>
      <c r="I10" s="181"/>
    </row>
    <row r="11" spans="1:10" x14ac:dyDescent="0.3">
      <c r="A11" s="176">
        <v>9</v>
      </c>
      <c r="B11" s="182">
        <v>45482.645335648151</v>
      </c>
      <c r="C11" s="182">
        <v>45482.645462962966</v>
      </c>
      <c r="D11" s="176" t="s">
        <v>365</v>
      </c>
      <c r="E11" s="176" t="s">
        <v>364</v>
      </c>
      <c r="F11" s="176" t="s">
        <v>370</v>
      </c>
      <c r="G11" s="178">
        <v>45482</v>
      </c>
      <c r="H11" s="181">
        <v>0.5</v>
      </c>
      <c r="I11" s="181">
        <f>Table14[[#This Row],[Amount of water in Inches]]*25.4</f>
        <v>12.7</v>
      </c>
    </row>
    <row r="12" spans="1:10" hidden="1" x14ac:dyDescent="0.3">
      <c r="A12" s="176">
        <v>10</v>
      </c>
      <c r="B12" s="182">
        <v>45483.655162037037</v>
      </c>
      <c r="C12" s="182">
        <v>45483.655243055553</v>
      </c>
      <c r="D12" s="176" t="s">
        <v>365</v>
      </c>
      <c r="E12" s="176" t="s">
        <v>364</v>
      </c>
      <c r="F12" s="176" t="s">
        <v>367</v>
      </c>
      <c r="G12" s="178">
        <v>45483</v>
      </c>
      <c r="H12" s="181">
        <v>0.5</v>
      </c>
      <c r="I12" s="181"/>
    </row>
    <row r="13" spans="1:10" x14ac:dyDescent="0.3">
      <c r="A13" s="176">
        <v>11</v>
      </c>
      <c r="B13" s="182">
        <v>45485.91777777778</v>
      </c>
      <c r="C13" s="182">
        <v>45485.917881944442</v>
      </c>
      <c r="D13" s="176" t="s">
        <v>365</v>
      </c>
      <c r="E13" s="176" t="s">
        <v>364</v>
      </c>
      <c r="F13" s="176" t="s">
        <v>370</v>
      </c>
      <c r="G13" s="178">
        <v>45485</v>
      </c>
      <c r="H13" s="181">
        <v>0.5</v>
      </c>
      <c r="I13" s="181">
        <f>Table14[[#This Row],[Amount of water in Inches]]*25.4</f>
        <v>12.7</v>
      </c>
    </row>
    <row r="14" spans="1:10" hidden="1" x14ac:dyDescent="0.3">
      <c r="A14" s="176">
        <v>12</v>
      </c>
      <c r="B14" s="182">
        <v>45487.20648148148</v>
      </c>
      <c r="C14" s="182">
        <v>45487.206585648149</v>
      </c>
      <c r="D14" s="176" t="s">
        <v>365</v>
      </c>
      <c r="E14" s="176" t="s">
        <v>364</v>
      </c>
      <c r="F14" s="176" t="s">
        <v>367</v>
      </c>
      <c r="G14" s="178">
        <v>45487</v>
      </c>
      <c r="H14" s="181">
        <v>0.5</v>
      </c>
      <c r="I14" s="181"/>
    </row>
    <row r="15" spans="1:10" hidden="1" x14ac:dyDescent="0.3">
      <c r="A15" s="176">
        <v>13</v>
      </c>
      <c r="B15" s="182">
        <v>45488.381932870368</v>
      </c>
      <c r="C15" s="182">
        <v>45488.382013888891</v>
      </c>
      <c r="D15" s="176" t="s">
        <v>365</v>
      </c>
      <c r="E15" s="176" t="s">
        <v>364</v>
      </c>
      <c r="F15" s="176" t="s">
        <v>371</v>
      </c>
      <c r="G15" s="178">
        <v>45488</v>
      </c>
      <c r="H15" s="181">
        <v>1</v>
      </c>
      <c r="I15" s="181"/>
    </row>
    <row r="16" spans="1:10" x14ac:dyDescent="0.3">
      <c r="A16" s="176">
        <v>14</v>
      </c>
      <c r="B16" s="182">
        <v>45491.631157407406</v>
      </c>
      <c r="C16" s="182">
        <v>45491.631354166668</v>
      </c>
      <c r="D16" s="176" t="s">
        <v>365</v>
      </c>
      <c r="E16" s="176" t="s">
        <v>364</v>
      </c>
      <c r="F16" s="176" t="s">
        <v>370</v>
      </c>
      <c r="G16" s="178">
        <v>45491</v>
      </c>
      <c r="H16" s="181">
        <v>0.5</v>
      </c>
      <c r="I16" s="181">
        <f>Table14[[#This Row],[Amount of water in Inches]]*25.4</f>
        <v>12.7</v>
      </c>
    </row>
    <row r="17" spans="1:10" x14ac:dyDescent="0.3">
      <c r="A17" s="176">
        <v>16</v>
      </c>
      <c r="B17" s="182">
        <v>45491.631157407406</v>
      </c>
      <c r="C17" s="182">
        <v>45491.631354166668</v>
      </c>
      <c r="D17" s="176" t="s">
        <v>365</v>
      </c>
      <c r="E17" s="176" t="s">
        <v>364</v>
      </c>
      <c r="F17" s="176" t="s">
        <v>370</v>
      </c>
      <c r="G17" s="178">
        <v>45492</v>
      </c>
      <c r="H17" s="181">
        <v>0.5</v>
      </c>
      <c r="I17" s="181">
        <f>Table14[[#This Row],[Amount of water in Inches]]*25.4</f>
        <v>12.7</v>
      </c>
    </row>
    <row r="18" spans="1:10" hidden="1" x14ac:dyDescent="0.3">
      <c r="A18" s="176">
        <v>15</v>
      </c>
      <c r="B18" s="182">
        <v>45493.29042824074</v>
      </c>
      <c r="C18" s="182">
        <v>45493.290532407409</v>
      </c>
      <c r="D18" s="176" t="s">
        <v>365</v>
      </c>
      <c r="E18" s="176" t="s">
        <v>364</v>
      </c>
      <c r="F18" s="176" t="s">
        <v>367</v>
      </c>
      <c r="G18" s="178">
        <v>45493</v>
      </c>
      <c r="H18" s="181">
        <v>0.5</v>
      </c>
      <c r="I18" s="181"/>
    </row>
    <row r="19" spans="1:10" hidden="1" x14ac:dyDescent="0.3">
      <c r="A19" s="176">
        <v>17</v>
      </c>
      <c r="B19" s="182">
        <v>45497.483368055553</v>
      </c>
      <c r="C19" s="182">
        <v>45497.483449074076</v>
      </c>
      <c r="D19" s="176" t="s">
        <v>365</v>
      </c>
      <c r="E19" s="176" t="s">
        <v>364</v>
      </c>
      <c r="F19" s="176" t="s">
        <v>367</v>
      </c>
      <c r="G19" s="178">
        <v>45497</v>
      </c>
      <c r="H19" s="181">
        <v>0.5</v>
      </c>
      <c r="I19" s="181"/>
    </row>
    <row r="20" spans="1:10" hidden="1" x14ac:dyDescent="0.3">
      <c r="A20" s="176">
        <v>18</v>
      </c>
      <c r="B20" s="182">
        <v>45498.275138888886</v>
      </c>
      <c r="C20" s="182">
        <v>45498.275243055556</v>
      </c>
      <c r="D20" s="176" t="s">
        <v>365</v>
      </c>
      <c r="E20" s="176" t="s">
        <v>364</v>
      </c>
      <c r="F20" s="176" t="s">
        <v>371</v>
      </c>
      <c r="G20" s="178">
        <v>45498</v>
      </c>
      <c r="H20" s="181">
        <v>1</v>
      </c>
      <c r="I20" s="181"/>
    </row>
    <row r="21" spans="1:10" x14ac:dyDescent="0.3">
      <c r="A21" s="176">
        <v>19</v>
      </c>
      <c r="B21" s="182">
        <v>45499.896990740737</v>
      </c>
      <c r="C21" s="182">
        <v>45499.897094907406</v>
      </c>
      <c r="D21" s="176" t="s">
        <v>365</v>
      </c>
      <c r="E21" s="176" t="s">
        <v>364</v>
      </c>
      <c r="F21" s="176" t="s">
        <v>370</v>
      </c>
      <c r="G21" s="178">
        <v>45499</v>
      </c>
      <c r="H21" s="181">
        <v>0.5</v>
      </c>
      <c r="I21" s="181">
        <f>Table14[[#This Row],[Amount of water in Inches]]*25.4</f>
        <v>12.7</v>
      </c>
    </row>
    <row r="22" spans="1:10" hidden="1" x14ac:dyDescent="0.3">
      <c r="A22" s="176">
        <v>20</v>
      </c>
      <c r="B22" s="182">
        <v>45501.532800925925</v>
      </c>
      <c r="C22" s="182">
        <v>45501.532893518517</v>
      </c>
      <c r="D22" s="176" t="s">
        <v>365</v>
      </c>
      <c r="E22" s="176" t="s">
        <v>364</v>
      </c>
      <c r="F22" s="176" t="s">
        <v>367</v>
      </c>
      <c r="G22" s="178">
        <v>45501</v>
      </c>
      <c r="H22" s="181">
        <v>1</v>
      </c>
      <c r="I22" s="181"/>
    </row>
    <row r="23" spans="1:10" hidden="1" x14ac:dyDescent="0.3">
      <c r="A23" s="176">
        <v>21</v>
      </c>
      <c r="B23" s="182">
        <v>45503.380243055559</v>
      </c>
      <c r="C23" s="182">
        <v>45503.380393518521</v>
      </c>
      <c r="D23" s="176" t="s">
        <v>365</v>
      </c>
      <c r="E23" s="176" t="s">
        <v>364</v>
      </c>
      <c r="F23" s="176" t="s">
        <v>363</v>
      </c>
      <c r="G23" s="178">
        <v>45503</v>
      </c>
      <c r="H23" s="181">
        <v>1</v>
      </c>
      <c r="I23" s="181"/>
      <c r="J23" s="176" t="s">
        <v>368</v>
      </c>
    </row>
    <row r="24" spans="1:10" x14ac:dyDescent="0.3">
      <c r="A24" s="176">
        <v>24</v>
      </c>
      <c r="B24" s="182">
        <v>45506.006041666667</v>
      </c>
      <c r="C24" s="182">
        <v>45506.006145833337</v>
      </c>
      <c r="D24" s="176" t="s">
        <v>365</v>
      </c>
      <c r="E24" s="176" t="s">
        <v>364</v>
      </c>
      <c r="F24" s="176" t="s">
        <v>370</v>
      </c>
      <c r="G24" s="178">
        <v>45505</v>
      </c>
      <c r="H24" s="181">
        <v>0.25</v>
      </c>
      <c r="I24" s="181">
        <f>Table14[[#This Row],[Amount of water in Inches]]*25.4</f>
        <v>6.35</v>
      </c>
    </row>
    <row r="25" spans="1:10" hidden="1" x14ac:dyDescent="0.3">
      <c r="A25" s="176">
        <v>22</v>
      </c>
      <c r="B25" s="182">
        <v>45505.304861111108</v>
      </c>
      <c r="C25" s="182">
        <v>45505.304965277777</v>
      </c>
      <c r="D25" s="176" t="s">
        <v>365</v>
      </c>
      <c r="E25" s="176" t="s">
        <v>364</v>
      </c>
      <c r="F25" s="176" t="s">
        <v>367</v>
      </c>
      <c r="G25" s="178">
        <v>45506</v>
      </c>
      <c r="H25" s="181">
        <v>0.5</v>
      </c>
      <c r="I25" s="181"/>
    </row>
    <row r="26" spans="1:10" hidden="1" x14ac:dyDescent="0.3">
      <c r="A26" s="176">
        <v>23</v>
      </c>
      <c r="B26" s="182">
        <v>45506.00439814815</v>
      </c>
      <c r="C26" s="182">
        <v>45506.004490740743</v>
      </c>
      <c r="D26" s="176" t="s">
        <v>365</v>
      </c>
      <c r="E26" s="176" t="s">
        <v>364</v>
      </c>
      <c r="F26" s="176" t="s">
        <v>367</v>
      </c>
      <c r="G26" s="178">
        <v>45507</v>
      </c>
      <c r="H26" s="181">
        <v>0.5</v>
      </c>
      <c r="I26" s="181"/>
    </row>
    <row r="27" spans="1:10" hidden="1" x14ac:dyDescent="0.3">
      <c r="A27" s="176">
        <v>25</v>
      </c>
      <c r="B27" s="182">
        <v>45510.637835648151</v>
      </c>
      <c r="C27" s="182">
        <v>45510.63795138889</v>
      </c>
      <c r="D27" s="176" t="s">
        <v>365</v>
      </c>
      <c r="E27" s="176" t="s">
        <v>364</v>
      </c>
      <c r="F27" s="176" t="s">
        <v>363</v>
      </c>
      <c r="G27" s="178">
        <v>45510</v>
      </c>
      <c r="H27" s="181">
        <v>1</v>
      </c>
      <c r="I27" s="181"/>
      <c r="J27" s="176" t="s">
        <v>368</v>
      </c>
    </row>
    <row r="28" spans="1:10" hidden="1" x14ac:dyDescent="0.3">
      <c r="A28" s="176">
        <v>26</v>
      </c>
      <c r="B28" s="182">
        <v>45511.408078703702</v>
      </c>
      <c r="C28" s="182">
        <v>45511.408171296294</v>
      </c>
      <c r="D28" s="176" t="s">
        <v>365</v>
      </c>
      <c r="E28" s="176" t="s">
        <v>364</v>
      </c>
      <c r="F28" s="176" t="s">
        <v>367</v>
      </c>
      <c r="G28" s="178">
        <v>45511</v>
      </c>
      <c r="H28" s="181">
        <v>0.5</v>
      </c>
      <c r="I28" s="181"/>
    </row>
    <row r="29" spans="1:10" hidden="1" x14ac:dyDescent="0.3">
      <c r="A29" s="176">
        <v>27</v>
      </c>
      <c r="B29" s="182">
        <v>45519.840370370373</v>
      </c>
      <c r="C29" s="182">
        <v>45519.840532407405</v>
      </c>
      <c r="D29" s="176" t="s">
        <v>365</v>
      </c>
      <c r="E29" s="176" t="s">
        <v>364</v>
      </c>
      <c r="F29" s="176" t="s">
        <v>367</v>
      </c>
      <c r="G29" s="178">
        <v>45519</v>
      </c>
      <c r="H29" s="181">
        <v>0.5</v>
      </c>
      <c r="I29" s="181"/>
    </row>
    <row r="30" spans="1:10" hidden="1" x14ac:dyDescent="0.3">
      <c r="A30" s="176">
        <v>28</v>
      </c>
      <c r="B30" s="182">
        <v>45521.925474537034</v>
      </c>
      <c r="C30" s="182">
        <v>45521.926145833335</v>
      </c>
      <c r="D30" s="176" t="s">
        <v>365</v>
      </c>
      <c r="E30" s="176" t="s">
        <v>364</v>
      </c>
      <c r="F30" s="176" t="s">
        <v>367</v>
      </c>
      <c r="G30" s="178">
        <v>45522</v>
      </c>
      <c r="H30" s="181">
        <v>0.75</v>
      </c>
      <c r="I30" s="181"/>
      <c r="J30" s="176" t="s">
        <v>369</v>
      </c>
    </row>
    <row r="31" spans="1:10" hidden="1" x14ac:dyDescent="0.3">
      <c r="A31" s="176">
        <v>29</v>
      </c>
      <c r="B31" s="182">
        <v>45523.62636574074</v>
      </c>
      <c r="C31" s="182">
        <v>45523.626493055555</v>
      </c>
      <c r="D31" s="176" t="s">
        <v>365</v>
      </c>
      <c r="E31" s="176" t="s">
        <v>364</v>
      </c>
      <c r="F31" s="176" t="s">
        <v>363</v>
      </c>
      <c r="G31" s="178">
        <v>45523</v>
      </c>
      <c r="H31" s="181">
        <v>1</v>
      </c>
      <c r="I31" s="181"/>
      <c r="J31" s="176" t="s">
        <v>368</v>
      </c>
    </row>
    <row r="32" spans="1:10" hidden="1" x14ac:dyDescent="0.3">
      <c r="A32" s="176">
        <v>30</v>
      </c>
      <c r="B32" s="182">
        <v>45524.237511574072</v>
      </c>
      <c r="C32" s="182">
        <v>45524.237673611111</v>
      </c>
      <c r="D32" s="176" t="s">
        <v>365</v>
      </c>
      <c r="E32" s="176" t="s">
        <v>364</v>
      </c>
      <c r="F32" s="176" t="s">
        <v>363</v>
      </c>
      <c r="G32" s="178">
        <v>45524</v>
      </c>
      <c r="H32" s="181">
        <v>1</v>
      </c>
      <c r="I32" s="181"/>
      <c r="J32" s="176" t="s">
        <v>368</v>
      </c>
    </row>
    <row r="33" spans="1:10" hidden="1" x14ac:dyDescent="0.3">
      <c r="A33" s="176">
        <v>31</v>
      </c>
      <c r="B33" s="182">
        <v>45526.393831018519</v>
      </c>
      <c r="C33" s="182">
        <v>45526.394131944442</v>
      </c>
      <c r="D33" s="176" t="s">
        <v>365</v>
      </c>
      <c r="E33" s="176" t="s">
        <v>364</v>
      </c>
      <c r="F33" s="176" t="s">
        <v>363</v>
      </c>
      <c r="G33" s="178">
        <v>45526</v>
      </c>
      <c r="H33" s="181">
        <v>0.5</v>
      </c>
      <c r="I33" s="181"/>
      <c r="J33" s="176" t="s">
        <v>366</v>
      </c>
    </row>
    <row r="34" spans="1:10" hidden="1" x14ac:dyDescent="0.3">
      <c r="A34" s="176">
        <v>33</v>
      </c>
      <c r="B34" s="182">
        <v>45530.895231481481</v>
      </c>
      <c r="C34" s="182">
        <v>45530.895520833335</v>
      </c>
      <c r="D34" s="176" t="s">
        <v>365</v>
      </c>
      <c r="E34" s="176" t="s">
        <v>364</v>
      </c>
      <c r="F34" s="176" t="s">
        <v>367</v>
      </c>
      <c r="G34" s="178">
        <v>45531</v>
      </c>
      <c r="H34" s="181">
        <v>1</v>
      </c>
      <c r="I34" s="181"/>
      <c r="J34" s="176" t="s">
        <v>366</v>
      </c>
    </row>
    <row r="35" spans="1:10" hidden="1" x14ac:dyDescent="0.3">
      <c r="A35" s="176">
        <v>34</v>
      </c>
      <c r="B35" s="182">
        <v>45540.847928240742</v>
      </c>
      <c r="C35" s="182">
        <v>45540.848101851851</v>
      </c>
      <c r="D35" s="176" t="s">
        <v>365</v>
      </c>
      <c r="E35" s="176" t="s">
        <v>364</v>
      </c>
      <c r="F35" s="176" t="s">
        <v>363</v>
      </c>
      <c r="G35" s="178">
        <v>45540</v>
      </c>
      <c r="H35" s="181" t="s">
        <v>362</v>
      </c>
      <c r="I35" s="181"/>
      <c r="J35" s="176" t="s">
        <v>361</v>
      </c>
    </row>
    <row r="37" spans="1:10" x14ac:dyDescent="0.3">
      <c r="C37" s="180"/>
      <c r="D37" s="180"/>
    </row>
    <row r="38" spans="1:10" x14ac:dyDescent="0.3">
      <c r="A38" s="176" t="s">
        <v>360</v>
      </c>
      <c r="B38" s="176" t="s">
        <v>359</v>
      </c>
      <c r="D38" s="180"/>
    </row>
    <row r="39" spans="1:10" x14ac:dyDescent="0.3">
      <c r="A39" s="176" t="s">
        <v>358</v>
      </c>
      <c r="B39" s="176">
        <v>1</v>
      </c>
    </row>
    <row r="40" spans="1:10" x14ac:dyDescent="0.3">
      <c r="A40" s="176" t="s">
        <v>357</v>
      </c>
      <c r="B40" s="176">
        <v>5</v>
      </c>
    </row>
    <row r="41" spans="1:10" x14ac:dyDescent="0.3">
      <c r="A41" s="179" t="s">
        <v>356</v>
      </c>
      <c r="B41" s="179">
        <v>4.5</v>
      </c>
    </row>
    <row r="42" spans="1:10" x14ac:dyDescent="0.3">
      <c r="A42" s="176" t="s">
        <v>355</v>
      </c>
      <c r="B42" s="176">
        <v>8</v>
      </c>
    </row>
    <row r="43" spans="1:10" x14ac:dyDescent="0.3">
      <c r="A43" s="176" t="s">
        <v>354</v>
      </c>
      <c r="B43" s="176">
        <v>7.25</v>
      </c>
    </row>
    <row r="44" spans="1:10" x14ac:dyDescent="0.3">
      <c r="A44" s="176" t="s">
        <v>353</v>
      </c>
      <c r="B44" s="176">
        <v>8</v>
      </c>
    </row>
    <row r="45" spans="1:10" x14ac:dyDescent="0.3">
      <c r="A45" s="176" t="s">
        <v>352</v>
      </c>
      <c r="B45" s="176">
        <v>9</v>
      </c>
    </row>
    <row r="46" spans="1:10" x14ac:dyDescent="0.3">
      <c r="A46" s="176" t="s">
        <v>351</v>
      </c>
      <c r="B46" s="176">
        <v>5.5</v>
      </c>
    </row>
    <row r="47" spans="1:10" x14ac:dyDescent="0.3">
      <c r="A47" s="176" t="s">
        <v>350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B1:CB112"/>
  <sheetViews>
    <sheetView topLeftCell="C1" workbookViewId="0">
      <pane xSplit="2" topLeftCell="BB1" activePane="topRight" state="frozen"/>
      <selection activeCell="BA112" sqref="BA112"/>
      <selection pane="topRight" activeCell="BP2" sqref="BP2"/>
    </sheetView>
  </sheetViews>
  <sheetFormatPr defaultColWidth="11" defaultRowHeight="15.6" x14ac:dyDescent="0.3"/>
  <cols>
    <col min="2" max="2" width="8.5" customWidth="1"/>
    <col min="3" max="3" width="12.5" customWidth="1"/>
    <col min="4" max="4" width="7.69921875" customWidth="1"/>
    <col min="5" max="5" width="19.59765625" customWidth="1"/>
    <col min="6" max="6" width="7.5" customWidth="1"/>
    <col min="7" max="7" width="13.69921875" customWidth="1"/>
    <col min="9" max="9" width="26.3984375" customWidth="1"/>
    <col min="10" max="11" width="10" customWidth="1"/>
    <col min="12" max="12" width="11.69921875" customWidth="1"/>
    <col min="13" max="56" width="11" customWidth="1"/>
    <col min="63" max="63" width="9.19921875" bestFit="1" customWidth="1"/>
    <col min="64" max="64" width="10.69921875" customWidth="1"/>
    <col min="65" max="65" width="10.8984375" customWidth="1"/>
    <col min="67" max="67" width="12.69921875" customWidth="1"/>
    <col min="68" max="68" width="11" customWidth="1"/>
    <col min="70" max="70" width="11.69921875" customWidth="1"/>
    <col min="71" max="71" width="10.19921875" customWidth="1"/>
    <col min="72" max="72" width="11.69921875" customWidth="1"/>
    <col min="78" max="78" width="24.69921875" bestFit="1" customWidth="1"/>
    <col min="79" max="79" width="27.59765625" bestFit="1" customWidth="1"/>
    <col min="80" max="80" width="26.59765625" bestFit="1" customWidth="1"/>
  </cols>
  <sheetData>
    <row r="1" spans="2:80" x14ac:dyDescent="0.3">
      <c r="BF1" s="40" t="s">
        <v>336</v>
      </c>
      <c r="BJ1" s="9" t="s">
        <v>45</v>
      </c>
      <c r="BK1" s="9"/>
      <c r="BL1" s="43">
        <v>45418</v>
      </c>
      <c r="BN1" s="9"/>
      <c r="BO1" s="9" t="s">
        <v>337</v>
      </c>
      <c r="BP1" s="43">
        <v>45525</v>
      </c>
    </row>
    <row r="2" spans="2:80" x14ac:dyDescent="0.3">
      <c r="H2" t="s">
        <v>46</v>
      </c>
      <c r="I2" t="s">
        <v>47</v>
      </c>
      <c r="J2" s="49" t="s">
        <v>48</v>
      </c>
      <c r="K2" s="50"/>
      <c r="L2" s="51">
        <v>0.24129999999999999</v>
      </c>
      <c r="M2" s="48" t="s">
        <v>266</v>
      </c>
      <c r="N2" s="32"/>
      <c r="R2" s="48" t="s">
        <v>267</v>
      </c>
      <c r="S2" s="32"/>
      <c r="W2" s="48" t="s">
        <v>49</v>
      </c>
      <c r="X2" s="164">
        <v>45488</v>
      </c>
      <c r="AB2" s="48" t="s">
        <v>49</v>
      </c>
      <c r="AC2" s="164">
        <v>45495</v>
      </c>
      <c r="AG2" s="48" t="s">
        <v>49</v>
      </c>
      <c r="AH2" s="32"/>
      <c r="AL2" s="48" t="s">
        <v>49</v>
      </c>
      <c r="AM2" s="32"/>
      <c r="AR2" s="48" t="s">
        <v>49</v>
      </c>
      <c r="AS2" s="32"/>
      <c r="AW2" s="48" t="s">
        <v>268</v>
      </c>
      <c r="AX2" s="32"/>
      <c r="BA2" s="48" t="s">
        <v>49</v>
      </c>
      <c r="BB2" s="164">
        <v>45516</v>
      </c>
      <c r="BE2" s="48" t="s">
        <v>49</v>
      </c>
      <c r="BF2" s="173">
        <v>45525</v>
      </c>
      <c r="BJ2" s="44" t="s">
        <v>50</v>
      </c>
      <c r="BK2" s="44"/>
      <c r="BL2" s="45">
        <v>45506</v>
      </c>
      <c r="BO2" t="s">
        <v>51</v>
      </c>
      <c r="BP2" s="46">
        <f>6*9.5*2.54/100</f>
        <v>1.4478</v>
      </c>
    </row>
    <row r="3" spans="2:80" ht="30" customHeight="1" x14ac:dyDescent="0.3">
      <c r="D3" s="11"/>
      <c r="J3" s="188" t="s">
        <v>52</v>
      </c>
      <c r="K3" s="189"/>
      <c r="L3" s="190"/>
      <c r="M3" s="191" t="s">
        <v>53</v>
      </c>
      <c r="N3" s="192"/>
      <c r="O3" s="192"/>
      <c r="P3" s="192"/>
      <c r="Q3" s="193"/>
      <c r="R3" s="191" t="s">
        <v>53</v>
      </c>
      <c r="S3" s="192"/>
      <c r="T3" s="192"/>
      <c r="U3" s="192"/>
      <c r="V3" s="193"/>
      <c r="W3" s="191" t="s">
        <v>53</v>
      </c>
      <c r="X3" s="192"/>
      <c r="Y3" s="192"/>
      <c r="Z3" s="192"/>
      <c r="AA3" s="193"/>
      <c r="AB3" s="191" t="s">
        <v>53</v>
      </c>
      <c r="AC3" s="192"/>
      <c r="AD3" s="192"/>
      <c r="AE3" s="192"/>
      <c r="AF3" s="193"/>
      <c r="AG3" s="191" t="s">
        <v>53</v>
      </c>
      <c r="AH3" s="192"/>
      <c r="AI3" s="192"/>
      <c r="AJ3" s="192"/>
      <c r="AK3" s="193"/>
      <c r="AL3" s="191" t="s">
        <v>53</v>
      </c>
      <c r="AM3" s="192"/>
      <c r="AN3" s="192"/>
      <c r="AO3" s="192"/>
      <c r="AP3" s="193"/>
      <c r="AQ3" s="1"/>
      <c r="AR3" s="191" t="s">
        <v>54</v>
      </c>
      <c r="AS3" s="192"/>
      <c r="AT3" s="192"/>
      <c r="AU3" s="192"/>
      <c r="AV3" s="193"/>
      <c r="AW3" s="191" t="s">
        <v>55</v>
      </c>
      <c r="AX3" s="192"/>
      <c r="AY3" s="192"/>
      <c r="AZ3" s="193"/>
      <c r="BA3" s="191" t="s">
        <v>56</v>
      </c>
      <c r="BB3" s="192"/>
      <c r="BC3" s="192"/>
      <c r="BD3" s="193"/>
      <c r="BE3" s="191" t="s">
        <v>57</v>
      </c>
      <c r="BF3" s="192"/>
      <c r="BG3" s="192"/>
      <c r="BH3" s="193"/>
      <c r="BI3" s="185" t="s">
        <v>58</v>
      </c>
      <c r="BJ3" s="186"/>
      <c r="BK3" s="186"/>
      <c r="BL3" s="186"/>
      <c r="BM3" s="186"/>
      <c r="BN3" s="187"/>
      <c r="BS3" t="s">
        <v>59</v>
      </c>
      <c r="BT3" s="3" t="s">
        <v>60</v>
      </c>
      <c r="BV3" t="s">
        <v>61</v>
      </c>
      <c r="BW3" t="s">
        <v>61</v>
      </c>
    </row>
    <row r="4" spans="2:80" ht="78.599999999999994" x14ac:dyDescent="0.3">
      <c r="B4" s="9" t="s">
        <v>62</v>
      </c>
      <c r="C4" s="9" t="s">
        <v>63</v>
      </c>
      <c r="D4" s="15" t="s">
        <v>64</v>
      </c>
      <c r="E4" s="16" t="s">
        <v>65</v>
      </c>
      <c r="F4" s="16" t="s">
        <v>1</v>
      </c>
      <c r="G4" s="16" t="s">
        <v>40</v>
      </c>
      <c r="H4" s="16" t="s">
        <v>66</v>
      </c>
      <c r="I4" s="12" t="s">
        <v>67</v>
      </c>
      <c r="J4" s="12" t="s">
        <v>68</v>
      </c>
      <c r="K4" s="13" t="s">
        <v>69</v>
      </c>
      <c r="L4" s="14" t="s">
        <v>70</v>
      </c>
      <c r="M4" s="12" t="s">
        <v>71</v>
      </c>
      <c r="N4" s="13" t="s">
        <v>72</v>
      </c>
      <c r="O4" s="13" t="s">
        <v>73</v>
      </c>
      <c r="P4" s="13" t="s">
        <v>74</v>
      </c>
      <c r="Q4" s="14" t="s">
        <v>75</v>
      </c>
      <c r="R4" s="12" t="s">
        <v>71</v>
      </c>
      <c r="S4" s="13" t="s">
        <v>72</v>
      </c>
      <c r="T4" s="13" t="s">
        <v>73</v>
      </c>
      <c r="U4" s="13" t="s">
        <v>74</v>
      </c>
      <c r="V4" s="14" t="s">
        <v>76</v>
      </c>
      <c r="W4" s="12" t="s">
        <v>71</v>
      </c>
      <c r="X4" s="13" t="s">
        <v>72</v>
      </c>
      <c r="Y4" s="13" t="s">
        <v>73</v>
      </c>
      <c r="Z4" s="13" t="s">
        <v>74</v>
      </c>
      <c r="AA4" s="14" t="s">
        <v>77</v>
      </c>
      <c r="AB4" s="12" t="s">
        <v>71</v>
      </c>
      <c r="AC4" s="13" t="s">
        <v>72</v>
      </c>
      <c r="AD4" s="13" t="s">
        <v>73</v>
      </c>
      <c r="AE4" s="13" t="s">
        <v>74</v>
      </c>
      <c r="AF4" s="14" t="s">
        <v>78</v>
      </c>
      <c r="AG4" s="12" t="s">
        <v>71</v>
      </c>
      <c r="AH4" s="13" t="s">
        <v>72</v>
      </c>
      <c r="AI4" s="13" t="s">
        <v>73</v>
      </c>
      <c r="AJ4" s="13" t="s">
        <v>74</v>
      </c>
      <c r="AK4" s="14" t="s">
        <v>79</v>
      </c>
      <c r="AL4" s="12" t="s">
        <v>71</v>
      </c>
      <c r="AM4" s="13" t="s">
        <v>72</v>
      </c>
      <c r="AN4" s="13" t="s">
        <v>73</v>
      </c>
      <c r="AO4" s="13" t="s">
        <v>74</v>
      </c>
      <c r="AP4" s="14" t="s">
        <v>80</v>
      </c>
      <c r="AQ4" s="41" t="s">
        <v>81</v>
      </c>
      <c r="AR4" s="12" t="s">
        <v>71</v>
      </c>
      <c r="AS4" s="13" t="s">
        <v>72</v>
      </c>
      <c r="AT4" s="13" t="s">
        <v>73</v>
      </c>
      <c r="AU4" s="13" t="s">
        <v>74</v>
      </c>
      <c r="AV4" s="41" t="s">
        <v>82</v>
      </c>
      <c r="AW4" s="12" t="s">
        <v>83</v>
      </c>
      <c r="AX4" s="13" t="s">
        <v>84</v>
      </c>
      <c r="AY4" s="13" t="s">
        <v>85</v>
      </c>
      <c r="AZ4" s="42" t="s">
        <v>86</v>
      </c>
      <c r="BA4" s="12" t="s">
        <v>83</v>
      </c>
      <c r="BB4" s="13" t="s">
        <v>84</v>
      </c>
      <c r="BC4" s="13" t="s">
        <v>85</v>
      </c>
      <c r="BD4" s="42" t="s">
        <v>87</v>
      </c>
      <c r="BE4" s="12" t="s">
        <v>83</v>
      </c>
      <c r="BF4" s="13" t="s">
        <v>84</v>
      </c>
      <c r="BG4" s="13" t="s">
        <v>85</v>
      </c>
      <c r="BH4" s="42" t="s">
        <v>88</v>
      </c>
      <c r="BI4" s="12" t="s">
        <v>89</v>
      </c>
      <c r="BJ4" s="13" t="s">
        <v>90</v>
      </c>
      <c r="BK4" s="13" t="s">
        <v>91</v>
      </c>
      <c r="BL4" s="13" t="s">
        <v>92</v>
      </c>
      <c r="BM4" s="13" t="s">
        <v>93</v>
      </c>
      <c r="BN4" s="174" t="s">
        <v>94</v>
      </c>
      <c r="BO4" s="12" t="s">
        <v>95</v>
      </c>
      <c r="BP4" s="13" t="s">
        <v>96</v>
      </c>
      <c r="BQ4" s="13" t="s">
        <v>97</v>
      </c>
      <c r="BR4" s="13" t="s">
        <v>98</v>
      </c>
      <c r="BS4" s="12" t="s">
        <v>99</v>
      </c>
      <c r="BT4" s="47" t="s">
        <v>100</v>
      </c>
      <c r="BU4" s="24" t="s">
        <v>101</v>
      </c>
      <c r="BV4" s="19" t="s">
        <v>102</v>
      </c>
      <c r="BW4" s="19" t="s">
        <v>103</v>
      </c>
      <c r="BX4" s="174" t="s">
        <v>104</v>
      </c>
    </row>
    <row r="5" spans="2:80" x14ac:dyDescent="0.3">
      <c r="B5" s="63">
        <v>2024</v>
      </c>
      <c r="C5" t="s">
        <v>105</v>
      </c>
      <c r="D5">
        <v>101</v>
      </c>
      <c r="E5">
        <v>1</v>
      </c>
      <c r="F5">
        <v>1</v>
      </c>
      <c r="G5" t="s">
        <v>42</v>
      </c>
      <c r="H5">
        <v>1</v>
      </c>
      <c r="I5" t="s">
        <v>37</v>
      </c>
      <c r="J5">
        <v>44</v>
      </c>
      <c r="K5">
        <v>51</v>
      </c>
      <c r="L5" s="21">
        <f>(AVERAGE(J5:K5))/L$2</f>
        <v>196.85039370078741</v>
      </c>
      <c r="M5">
        <v>51</v>
      </c>
      <c r="N5">
        <v>59</v>
      </c>
      <c r="O5">
        <v>57</v>
      </c>
      <c r="P5">
        <v>52</v>
      </c>
      <c r="Q5" s="20">
        <f>AVERAGE(M5:P5)</f>
        <v>54.75</v>
      </c>
      <c r="R5">
        <v>90</v>
      </c>
      <c r="S5">
        <v>81</v>
      </c>
      <c r="T5">
        <v>77</v>
      </c>
      <c r="U5">
        <v>75</v>
      </c>
      <c r="V5" s="20">
        <f>AVERAGE(R5:U5)</f>
        <v>80.75</v>
      </c>
      <c r="W5">
        <v>97</v>
      </c>
      <c r="X5">
        <v>92</v>
      </c>
      <c r="Y5">
        <v>103</v>
      </c>
      <c r="Z5">
        <v>103</v>
      </c>
      <c r="AA5" s="20">
        <f>AVERAGE(W5:Z5)</f>
        <v>98.75</v>
      </c>
      <c r="AB5">
        <v>100</v>
      </c>
      <c r="AC5">
        <v>97</v>
      </c>
      <c r="AD5">
        <v>101</v>
      </c>
      <c r="AE5">
        <v>95</v>
      </c>
      <c r="AF5" s="20">
        <f>AVERAGE(AB5:AE5)</f>
        <v>98.25</v>
      </c>
      <c r="AG5" s="20"/>
      <c r="AH5" s="20"/>
      <c r="AI5" s="20"/>
      <c r="AJ5" s="20"/>
      <c r="AK5" s="20" t="e">
        <f>AVERAGE(AG5:AJ5)</f>
        <v>#DIV/0!</v>
      </c>
      <c r="AL5" s="20"/>
      <c r="AM5" s="20"/>
      <c r="AN5" s="20"/>
      <c r="AO5" s="20"/>
      <c r="AP5" s="20" t="e">
        <f>AVERAGE(AL5:AO5)</f>
        <v>#DIV/0!</v>
      </c>
      <c r="AQ5" s="147">
        <v>45481</v>
      </c>
      <c r="AR5">
        <v>94</v>
      </c>
      <c r="AS5">
        <v>95</v>
      </c>
      <c r="AT5">
        <v>97</v>
      </c>
      <c r="AU5">
        <v>96</v>
      </c>
      <c r="AV5" s="20">
        <f>AVERAGE(AR5:AU5)</f>
        <v>95.5</v>
      </c>
      <c r="AW5">
        <v>5</v>
      </c>
      <c r="AX5">
        <v>0</v>
      </c>
      <c r="AY5">
        <v>0</v>
      </c>
      <c r="AZ5" s="20">
        <f>((2*AW5)/3)+(AX5/3)+AY5</f>
        <v>3.3333333333333335</v>
      </c>
      <c r="BA5">
        <v>5</v>
      </c>
      <c r="BB5">
        <v>0</v>
      </c>
      <c r="BC5">
        <v>0</v>
      </c>
      <c r="BD5" s="20">
        <f>((2*BA5)/3)+(BB5/3)+BC5</f>
        <v>3.3333333333333335</v>
      </c>
      <c r="BE5">
        <v>0</v>
      </c>
      <c r="BF5">
        <v>0</v>
      </c>
      <c r="BG5">
        <v>0</v>
      </c>
      <c r="BH5" s="20">
        <f>((2*BE5)/3)+(BF5/3)+BG5</f>
        <v>0</v>
      </c>
      <c r="BI5">
        <v>38.99</v>
      </c>
      <c r="BJ5">
        <v>21.4</v>
      </c>
      <c r="BK5" s="17">
        <f>(BI5-BJ5)/BI5*100</f>
        <v>45.114131828674026</v>
      </c>
      <c r="BL5" s="17">
        <f>(BK5-35)/2.5</f>
        <v>4.0456527314696107</v>
      </c>
      <c r="BM5" s="18">
        <f>BL$2+BL5</f>
        <v>45510.045652731467</v>
      </c>
      <c r="BN5" s="175">
        <f>BM5-BL$1</f>
        <v>92.045652731467271</v>
      </c>
      <c r="BO5">
        <v>6</v>
      </c>
      <c r="BP5" s="22">
        <f>BO5*BP$2</f>
        <v>8.6867999999999999</v>
      </c>
      <c r="BQ5">
        <v>8650</v>
      </c>
      <c r="BR5" s="20">
        <v>13.9</v>
      </c>
      <c r="BS5" s="20">
        <f>(BQ5*(100-BR5)/(100-13.5))/BP5*10000/1000</f>
        <v>9911.5899986185941</v>
      </c>
      <c r="BT5" s="20">
        <f>BS5*(2.204/48)*(1/2.47)</f>
        <v>184.25391664098669</v>
      </c>
      <c r="BU5">
        <v>68.400000000000006</v>
      </c>
      <c r="BV5" s="22">
        <v>5.07</v>
      </c>
      <c r="BW5" s="22">
        <v>4.96</v>
      </c>
      <c r="BX5" s="159">
        <f>(AVERAGE(BV89:BW89)*10)*((100-BR5)/(100-13.5))</f>
        <v>51.013005780346816</v>
      </c>
      <c r="BZ5" s="160" t="s">
        <v>269</v>
      </c>
      <c r="CA5" t="s">
        <v>270</v>
      </c>
      <c r="CB5" t="s">
        <v>271</v>
      </c>
    </row>
    <row r="6" spans="2:80" x14ac:dyDescent="0.3">
      <c r="B6" s="63">
        <v>2024</v>
      </c>
      <c r="C6" t="s">
        <v>105</v>
      </c>
      <c r="D6">
        <v>102</v>
      </c>
      <c r="E6">
        <v>1</v>
      </c>
      <c r="F6">
        <v>2</v>
      </c>
      <c r="G6" t="s">
        <v>42</v>
      </c>
      <c r="H6">
        <v>2</v>
      </c>
      <c r="I6" t="s">
        <v>32</v>
      </c>
      <c r="J6">
        <v>64</v>
      </c>
      <c r="K6">
        <v>26</v>
      </c>
      <c r="L6" s="21">
        <f t="shared" ref="L6:L69" si="0">(AVERAGE(J6:K6))/L$2</f>
        <v>186.48984666390388</v>
      </c>
      <c r="M6">
        <v>50</v>
      </c>
      <c r="N6">
        <v>56</v>
      </c>
      <c r="O6">
        <v>54</v>
      </c>
      <c r="P6">
        <v>58</v>
      </c>
      <c r="Q6" s="20">
        <f t="shared" ref="Q6:Q69" si="1">AVERAGE(M6:P6)</f>
        <v>54.5</v>
      </c>
      <c r="R6">
        <v>78</v>
      </c>
      <c r="S6">
        <v>76</v>
      </c>
      <c r="T6">
        <v>81</v>
      </c>
      <c r="U6">
        <v>82</v>
      </c>
      <c r="V6" s="20">
        <f t="shared" ref="V6:V69" si="2">AVERAGE(R6:U6)</f>
        <v>79.25</v>
      </c>
      <c r="W6">
        <v>95</v>
      </c>
      <c r="X6">
        <v>103</v>
      </c>
      <c r="Y6">
        <v>100</v>
      </c>
      <c r="Z6">
        <v>102</v>
      </c>
      <c r="AA6" s="20">
        <f t="shared" ref="AA6:AA69" si="3">AVERAGE(W6:Z6)</f>
        <v>100</v>
      </c>
      <c r="AB6">
        <v>95</v>
      </c>
      <c r="AC6">
        <v>110</v>
      </c>
      <c r="AD6">
        <v>105</v>
      </c>
      <c r="AE6">
        <v>95</v>
      </c>
      <c r="AF6" s="20">
        <f t="shared" ref="AF6:AF69" si="4">AVERAGE(AB6:AE6)</f>
        <v>101.25</v>
      </c>
      <c r="AG6" s="20"/>
      <c r="AH6" s="20"/>
      <c r="AI6" s="20"/>
      <c r="AJ6" s="20"/>
      <c r="AK6" s="20" t="e">
        <f t="shared" ref="AK6:AK69" si="5">AVERAGE(AG6:AJ6)</f>
        <v>#DIV/0!</v>
      </c>
      <c r="AL6" s="20"/>
      <c r="AM6" s="20"/>
      <c r="AN6" s="20"/>
      <c r="AO6" s="20"/>
      <c r="AP6" s="20" t="e">
        <f t="shared" ref="AP6:AP69" si="6">AVERAGE(AL6:AO6)</f>
        <v>#DIV/0!</v>
      </c>
      <c r="AQ6" s="147">
        <v>45481</v>
      </c>
      <c r="AR6">
        <v>97</v>
      </c>
      <c r="AS6">
        <v>107</v>
      </c>
      <c r="AT6">
        <v>108</v>
      </c>
      <c r="AU6">
        <v>104</v>
      </c>
      <c r="AV6" s="20">
        <f t="shared" ref="AV6:AV69" si="7">AVERAGE(AR6:AU6)</f>
        <v>104</v>
      </c>
      <c r="AW6">
        <v>50</v>
      </c>
      <c r="AX6">
        <v>0</v>
      </c>
      <c r="AY6">
        <v>0</v>
      </c>
      <c r="AZ6" s="20">
        <f t="shared" ref="AZ6:AZ69" si="8">((2*AW6)/3)+(AX6/3)+AY6</f>
        <v>33.333333333333336</v>
      </c>
      <c r="BA6">
        <v>50</v>
      </c>
      <c r="BB6">
        <v>0</v>
      </c>
      <c r="BC6">
        <v>0</v>
      </c>
      <c r="BD6" s="20">
        <f t="shared" ref="BD6:BD69" si="9">((2*BA6)/3)+(BB6/3)+BC6</f>
        <v>33.333333333333336</v>
      </c>
      <c r="BE6">
        <v>0</v>
      </c>
      <c r="BF6">
        <v>0</v>
      </c>
      <c r="BG6">
        <v>0</v>
      </c>
      <c r="BH6" s="20">
        <f t="shared" ref="BH6:BH69" si="10">((2*BE6)/3)+(BF6/3)+BG6</f>
        <v>0</v>
      </c>
      <c r="BI6">
        <v>33.270000000000003</v>
      </c>
      <c r="BJ6">
        <v>17.8</v>
      </c>
      <c r="BK6" s="17">
        <f t="shared" ref="BK6:BK69" si="11">(BI6-BJ6)/BI6*100</f>
        <v>46.498346859032161</v>
      </c>
      <c r="BL6" s="17">
        <f t="shared" ref="BL6:BL69" si="12">(BK6-35)/2.5</f>
        <v>4.5993387436128641</v>
      </c>
      <c r="BM6" s="18">
        <f t="shared" ref="BM6:BM69" si="13">BL$2+BL6</f>
        <v>45510.59933874361</v>
      </c>
      <c r="BN6" s="175">
        <f t="shared" ref="BN6:BN69" si="14">BM6-BL$1</f>
        <v>92.599338743610133</v>
      </c>
      <c r="BO6">
        <v>6</v>
      </c>
      <c r="BP6" s="22">
        <f t="shared" ref="BP6:BP69" si="15">BO6*BP$2</f>
        <v>8.6867999999999999</v>
      </c>
      <c r="BQ6">
        <v>8780</v>
      </c>
      <c r="BR6" s="20">
        <v>7.2</v>
      </c>
      <c r="BS6" s="20">
        <f>(BQ6*(100-BR6)/(100-13.5))/BP6*10000/1000</f>
        <v>10843.427048041265</v>
      </c>
      <c r="BT6" s="20">
        <f t="shared" ref="BT6:BT69" si="16">BS6*(2.204/48)*(1/2.47)</f>
        <v>201.57652845717737</v>
      </c>
      <c r="BU6">
        <v>35.200000000000003</v>
      </c>
      <c r="BV6" s="22">
        <v>5.18</v>
      </c>
      <c r="BW6" s="22">
        <v>5.17</v>
      </c>
      <c r="BX6" s="159">
        <f t="shared" ref="BX6:BX69" si="17">(AVERAGE(BV6:BW6)*10)*((100-BR6)/(100-13.5))</f>
        <v>55.519075144508669</v>
      </c>
      <c r="BZ6" s="23" t="s">
        <v>106</v>
      </c>
      <c r="CA6" s="21">
        <v>191.57755134951014</v>
      </c>
      <c r="CB6" s="21">
        <v>11.727870174247807</v>
      </c>
    </row>
    <row r="7" spans="2:80" x14ac:dyDescent="0.3">
      <c r="B7" s="63">
        <v>2024</v>
      </c>
      <c r="C7" t="s">
        <v>105</v>
      </c>
      <c r="D7">
        <v>103</v>
      </c>
      <c r="E7">
        <v>1</v>
      </c>
      <c r="F7">
        <v>3</v>
      </c>
      <c r="G7" t="s">
        <v>42</v>
      </c>
      <c r="H7">
        <v>3</v>
      </c>
      <c r="I7" t="s">
        <v>39</v>
      </c>
      <c r="J7">
        <v>43</v>
      </c>
      <c r="K7">
        <v>49</v>
      </c>
      <c r="L7" s="21">
        <f t="shared" si="0"/>
        <v>190.63406547865728</v>
      </c>
      <c r="M7">
        <v>59</v>
      </c>
      <c r="N7">
        <v>64</v>
      </c>
      <c r="O7">
        <v>62</v>
      </c>
      <c r="P7">
        <v>58</v>
      </c>
      <c r="Q7" s="20">
        <f t="shared" si="1"/>
        <v>60.75</v>
      </c>
      <c r="R7">
        <v>84</v>
      </c>
      <c r="S7">
        <v>86</v>
      </c>
      <c r="T7">
        <v>85</v>
      </c>
      <c r="U7">
        <v>80</v>
      </c>
      <c r="V7" s="20">
        <f t="shared" si="2"/>
        <v>83.75</v>
      </c>
      <c r="W7">
        <v>102</v>
      </c>
      <c r="X7">
        <v>110</v>
      </c>
      <c r="Y7">
        <v>103</v>
      </c>
      <c r="Z7">
        <v>98</v>
      </c>
      <c r="AA7" s="20">
        <f t="shared" si="3"/>
        <v>103.25</v>
      </c>
      <c r="AB7">
        <v>100</v>
      </c>
      <c r="AC7">
        <v>105</v>
      </c>
      <c r="AD7">
        <v>110</v>
      </c>
      <c r="AE7">
        <v>110</v>
      </c>
      <c r="AF7" s="20">
        <f t="shared" si="4"/>
        <v>106.25</v>
      </c>
      <c r="AG7" s="20"/>
      <c r="AH7" s="20"/>
      <c r="AI7" s="20"/>
      <c r="AJ7" s="20"/>
      <c r="AK7" s="20" t="e">
        <f t="shared" si="5"/>
        <v>#DIV/0!</v>
      </c>
      <c r="AL7" s="20"/>
      <c r="AM7" s="20"/>
      <c r="AN7" s="20"/>
      <c r="AO7" s="20"/>
      <c r="AP7" s="20" t="e">
        <f t="shared" si="6"/>
        <v>#DIV/0!</v>
      </c>
      <c r="AQ7" s="147">
        <v>45482</v>
      </c>
      <c r="AR7">
        <v>106</v>
      </c>
      <c r="AS7">
        <v>104</v>
      </c>
      <c r="AT7">
        <v>102</v>
      </c>
      <c r="AU7">
        <v>104</v>
      </c>
      <c r="AV7" s="20">
        <f t="shared" si="7"/>
        <v>104</v>
      </c>
      <c r="AW7">
        <v>30</v>
      </c>
      <c r="AX7">
        <v>0</v>
      </c>
      <c r="AY7">
        <v>0</v>
      </c>
      <c r="AZ7" s="20">
        <f t="shared" si="8"/>
        <v>20</v>
      </c>
      <c r="BA7">
        <v>30</v>
      </c>
      <c r="BB7">
        <v>0</v>
      </c>
      <c r="BC7">
        <v>0</v>
      </c>
      <c r="BD7" s="20">
        <f t="shared" si="9"/>
        <v>20</v>
      </c>
      <c r="BE7">
        <v>0</v>
      </c>
      <c r="BF7">
        <v>0</v>
      </c>
      <c r="BG7">
        <v>0</v>
      </c>
      <c r="BH7" s="20">
        <f t="shared" si="10"/>
        <v>0</v>
      </c>
      <c r="BI7">
        <v>32.76</v>
      </c>
      <c r="BJ7">
        <v>18.3</v>
      </c>
      <c r="BK7" s="17">
        <f t="shared" si="11"/>
        <v>44.139194139194132</v>
      </c>
      <c r="BL7" s="17">
        <f t="shared" si="12"/>
        <v>3.6556776556776525</v>
      </c>
      <c r="BM7" s="18">
        <f t="shared" si="13"/>
        <v>45509.655677655675</v>
      </c>
      <c r="BN7" s="175">
        <f t="shared" si="14"/>
        <v>91.65567765567539</v>
      </c>
      <c r="BO7">
        <v>6</v>
      </c>
      <c r="BP7" s="22">
        <f t="shared" si="15"/>
        <v>8.6867999999999999</v>
      </c>
      <c r="BQ7">
        <v>9010</v>
      </c>
      <c r="BR7" s="20">
        <v>7.5</v>
      </c>
      <c r="BS7" s="20">
        <f>(BQ7*(100-BR7)/(100-13.5))/BP7*10000/1000</f>
        <v>11091.507918066372</v>
      </c>
      <c r="BT7" s="20">
        <f t="shared" si="16"/>
        <v>206.18828822046461</v>
      </c>
      <c r="BU7">
        <v>39.9</v>
      </c>
      <c r="BV7" s="22">
        <v>5.04</v>
      </c>
      <c r="BW7" s="22">
        <v>4.92</v>
      </c>
      <c r="BX7" s="159">
        <f t="shared" si="17"/>
        <v>53.25433526011561</v>
      </c>
      <c r="BZ7" s="23" t="s">
        <v>42</v>
      </c>
      <c r="CA7" s="21">
        <v>193.58924625735662</v>
      </c>
      <c r="CB7" s="21">
        <v>12.83229907553369</v>
      </c>
    </row>
    <row r="8" spans="2:80" x14ac:dyDescent="0.3">
      <c r="B8" s="63">
        <v>2024</v>
      </c>
      <c r="C8" t="s">
        <v>105</v>
      </c>
      <c r="D8">
        <v>104</v>
      </c>
      <c r="E8">
        <v>1</v>
      </c>
      <c r="F8">
        <v>4</v>
      </c>
      <c r="G8" t="s">
        <v>42</v>
      </c>
      <c r="H8">
        <v>4</v>
      </c>
      <c r="I8" t="s">
        <v>36</v>
      </c>
      <c r="J8">
        <v>44</v>
      </c>
      <c r="K8">
        <v>58</v>
      </c>
      <c r="L8" s="21">
        <f t="shared" si="0"/>
        <v>211.35515955242437</v>
      </c>
      <c r="M8">
        <v>68</v>
      </c>
      <c r="N8">
        <v>63</v>
      </c>
      <c r="O8">
        <v>65</v>
      </c>
      <c r="P8">
        <v>59</v>
      </c>
      <c r="Q8" s="20">
        <f t="shared" si="1"/>
        <v>63.75</v>
      </c>
      <c r="R8">
        <v>75</v>
      </c>
      <c r="S8">
        <v>77</v>
      </c>
      <c r="T8">
        <v>85</v>
      </c>
      <c r="U8">
        <v>84</v>
      </c>
      <c r="V8" s="20">
        <f t="shared" si="2"/>
        <v>80.25</v>
      </c>
      <c r="W8">
        <v>90</v>
      </c>
      <c r="X8">
        <v>95</v>
      </c>
      <c r="Y8">
        <v>92</v>
      </c>
      <c r="Z8">
        <v>93</v>
      </c>
      <c r="AA8" s="20">
        <f t="shared" si="3"/>
        <v>92.5</v>
      </c>
      <c r="AB8">
        <v>100</v>
      </c>
      <c r="AC8">
        <v>90</v>
      </c>
      <c r="AD8">
        <v>95</v>
      </c>
      <c r="AE8">
        <v>90</v>
      </c>
      <c r="AF8" s="20">
        <f t="shared" si="4"/>
        <v>93.75</v>
      </c>
      <c r="AG8" s="20"/>
      <c r="AH8" s="20"/>
      <c r="AI8" s="20"/>
      <c r="AJ8" s="20"/>
      <c r="AK8" s="20" t="e">
        <f t="shared" si="5"/>
        <v>#DIV/0!</v>
      </c>
      <c r="AL8" s="20"/>
      <c r="AM8" s="20"/>
      <c r="AN8" s="20"/>
      <c r="AO8" s="20"/>
      <c r="AP8" s="20" t="e">
        <f t="shared" si="6"/>
        <v>#DIV/0!</v>
      </c>
      <c r="AQ8" s="147">
        <v>45482</v>
      </c>
      <c r="AR8">
        <v>96</v>
      </c>
      <c r="AS8">
        <v>98</v>
      </c>
      <c r="AT8">
        <v>97</v>
      </c>
      <c r="AU8">
        <v>93</v>
      </c>
      <c r="AV8" s="20">
        <f t="shared" si="7"/>
        <v>96</v>
      </c>
      <c r="AW8">
        <v>30</v>
      </c>
      <c r="AX8">
        <v>0</v>
      </c>
      <c r="AY8">
        <v>0</v>
      </c>
      <c r="AZ8" s="20">
        <f t="shared" si="8"/>
        <v>20</v>
      </c>
      <c r="BA8">
        <v>30</v>
      </c>
      <c r="BB8">
        <v>0</v>
      </c>
      <c r="BC8">
        <v>0</v>
      </c>
      <c r="BD8" s="20">
        <f t="shared" si="9"/>
        <v>20</v>
      </c>
      <c r="BE8">
        <v>0</v>
      </c>
      <c r="BF8">
        <v>0</v>
      </c>
      <c r="BG8">
        <v>0</v>
      </c>
      <c r="BH8" s="20">
        <f t="shared" si="10"/>
        <v>0</v>
      </c>
      <c r="BI8">
        <v>34.020000000000003</v>
      </c>
      <c r="BJ8">
        <v>17.8</v>
      </c>
      <c r="BK8" s="17">
        <f t="shared" si="11"/>
        <v>47.677836566725453</v>
      </c>
      <c r="BL8" s="17">
        <f t="shared" si="12"/>
        <v>5.0711346266901813</v>
      </c>
      <c r="BM8" s="18">
        <f t="shared" si="13"/>
        <v>45511.071134626691</v>
      </c>
      <c r="BN8" s="175">
        <f t="shared" si="14"/>
        <v>93.071134626690764</v>
      </c>
      <c r="BO8">
        <v>6</v>
      </c>
      <c r="BP8" s="22">
        <f t="shared" si="15"/>
        <v>8.6867999999999999</v>
      </c>
      <c r="BQ8">
        <v>8770</v>
      </c>
      <c r="BR8" s="20">
        <v>8.4</v>
      </c>
      <c r="BS8" s="20">
        <f>(BQ8*(100-BR8)/(100-13.5))/BP8*10000/1000</f>
        <v>10691.019874417127</v>
      </c>
      <c r="BT8" s="20">
        <f t="shared" si="16"/>
        <v>198.74331817826709</v>
      </c>
      <c r="BU8">
        <v>34.6</v>
      </c>
      <c r="BV8" s="22">
        <v>6.8</v>
      </c>
      <c r="BW8" s="22">
        <v>5.24</v>
      </c>
      <c r="BX8" s="159">
        <f t="shared" si="17"/>
        <v>63.749364161849698</v>
      </c>
      <c r="BZ8" s="23" t="s">
        <v>41</v>
      </c>
      <c r="CA8" s="21">
        <v>198.39347516560781</v>
      </c>
      <c r="CB8" s="21">
        <v>14.718272548534184</v>
      </c>
    </row>
    <row r="9" spans="2:80" x14ac:dyDescent="0.3">
      <c r="B9" s="63">
        <v>2024</v>
      </c>
      <c r="C9" t="s">
        <v>105</v>
      </c>
      <c r="D9">
        <v>105</v>
      </c>
      <c r="E9">
        <v>1</v>
      </c>
      <c r="F9">
        <v>5</v>
      </c>
      <c r="G9" t="s">
        <v>42</v>
      </c>
      <c r="H9">
        <v>5</v>
      </c>
      <c r="I9" t="s">
        <v>31</v>
      </c>
      <c r="J9">
        <v>30</v>
      </c>
      <c r="K9">
        <v>54</v>
      </c>
      <c r="L9" s="21">
        <f t="shared" si="0"/>
        <v>174.05719021964362</v>
      </c>
      <c r="M9">
        <v>56</v>
      </c>
      <c r="N9">
        <v>45</v>
      </c>
      <c r="O9">
        <v>50</v>
      </c>
      <c r="P9">
        <v>47</v>
      </c>
      <c r="Q9" s="20">
        <f t="shared" si="1"/>
        <v>49.5</v>
      </c>
      <c r="R9">
        <v>61</v>
      </c>
      <c r="S9">
        <v>72</v>
      </c>
      <c r="T9">
        <v>66</v>
      </c>
      <c r="U9">
        <v>75</v>
      </c>
      <c r="V9" s="20">
        <f t="shared" si="2"/>
        <v>68.5</v>
      </c>
      <c r="W9">
        <v>88</v>
      </c>
      <c r="X9">
        <v>92</v>
      </c>
      <c r="Y9">
        <v>89</v>
      </c>
      <c r="Z9">
        <v>92</v>
      </c>
      <c r="AA9" s="20">
        <f t="shared" si="3"/>
        <v>90.25</v>
      </c>
      <c r="AB9">
        <v>90</v>
      </c>
      <c r="AC9">
        <v>95</v>
      </c>
      <c r="AD9">
        <v>110</v>
      </c>
      <c r="AE9">
        <v>100</v>
      </c>
      <c r="AF9" s="20">
        <f t="shared" si="4"/>
        <v>98.75</v>
      </c>
      <c r="AG9" s="20"/>
      <c r="AH9" s="20"/>
      <c r="AI9" s="20"/>
      <c r="AJ9" s="20"/>
      <c r="AK9" s="20" t="e">
        <f t="shared" si="5"/>
        <v>#DIV/0!</v>
      </c>
      <c r="AL9" s="20"/>
      <c r="AM9" s="20"/>
      <c r="AN9" s="20"/>
      <c r="AO9" s="20"/>
      <c r="AP9" s="20" t="e">
        <f t="shared" si="6"/>
        <v>#DIV/0!</v>
      </c>
      <c r="AQ9" s="147">
        <v>45482</v>
      </c>
      <c r="AR9">
        <v>101</v>
      </c>
      <c r="AS9">
        <v>92</v>
      </c>
      <c r="AT9">
        <v>99</v>
      </c>
      <c r="AU9">
        <v>102</v>
      </c>
      <c r="AV9" s="20">
        <f t="shared" si="7"/>
        <v>98.5</v>
      </c>
      <c r="AW9">
        <v>5</v>
      </c>
      <c r="AX9">
        <v>0</v>
      </c>
      <c r="AY9">
        <v>0</v>
      </c>
      <c r="AZ9" s="20">
        <f t="shared" si="8"/>
        <v>3.3333333333333335</v>
      </c>
      <c r="BA9">
        <v>10</v>
      </c>
      <c r="BB9">
        <v>0</v>
      </c>
      <c r="BC9">
        <v>0</v>
      </c>
      <c r="BD9" s="20">
        <f t="shared" si="9"/>
        <v>6.666666666666667</v>
      </c>
      <c r="BE9">
        <v>0</v>
      </c>
      <c r="BF9">
        <v>0</v>
      </c>
      <c r="BG9">
        <v>0</v>
      </c>
      <c r="BH9" s="20">
        <f t="shared" si="10"/>
        <v>0</v>
      </c>
      <c r="BI9">
        <v>38.42</v>
      </c>
      <c r="BJ9">
        <v>20</v>
      </c>
      <c r="BK9" s="17">
        <f t="shared" si="11"/>
        <v>47.943779281624153</v>
      </c>
      <c r="BL9" s="17">
        <f t="shared" si="12"/>
        <v>5.177511712649661</v>
      </c>
      <c r="BM9" s="18">
        <f t="shared" si="13"/>
        <v>45511.177511712653</v>
      </c>
      <c r="BN9" s="175">
        <f t="shared" si="14"/>
        <v>93.177511712652631</v>
      </c>
      <c r="BO9">
        <v>6</v>
      </c>
      <c r="BP9" s="22">
        <f t="shared" si="15"/>
        <v>8.6867999999999999</v>
      </c>
      <c r="BQ9">
        <v>8710</v>
      </c>
      <c r="BR9" s="20">
        <v>7.3</v>
      </c>
      <c r="BS9" s="20">
        <f>(BQ9*(100-BR9)/(100-13.5))/BP9*10000/1000</f>
        <v>10745.384466126403</v>
      </c>
      <c r="BT9" s="20">
        <f t="shared" si="16"/>
        <v>199.75394199850365</v>
      </c>
      <c r="BU9">
        <v>41.3</v>
      </c>
      <c r="BV9" s="22">
        <v>4.6900000000000004</v>
      </c>
      <c r="BW9" s="22">
        <v>4.92</v>
      </c>
      <c r="BX9" s="159">
        <f t="shared" si="17"/>
        <v>51.494046242774566</v>
      </c>
      <c r="BZ9" s="23" t="s">
        <v>272</v>
      </c>
      <c r="CA9" s="21">
        <v>194.49233111685024</v>
      </c>
      <c r="CB9" s="21">
        <v>13.325631930091365</v>
      </c>
    </row>
    <row r="10" spans="2:80" x14ac:dyDescent="0.3">
      <c r="B10" s="63">
        <v>2024</v>
      </c>
      <c r="C10" t="s">
        <v>105</v>
      </c>
      <c r="D10">
        <v>106</v>
      </c>
      <c r="E10">
        <v>1</v>
      </c>
      <c r="F10">
        <v>6</v>
      </c>
      <c r="G10" t="s">
        <v>42</v>
      </c>
      <c r="H10">
        <v>6</v>
      </c>
      <c r="I10" t="s">
        <v>35</v>
      </c>
      <c r="J10">
        <v>42</v>
      </c>
      <c r="K10">
        <v>33</v>
      </c>
      <c r="L10" s="21">
        <f t="shared" si="0"/>
        <v>155.40820555325323</v>
      </c>
      <c r="M10">
        <v>64</v>
      </c>
      <c r="N10">
        <v>64</v>
      </c>
      <c r="O10">
        <v>60</v>
      </c>
      <c r="P10">
        <v>57</v>
      </c>
      <c r="Q10" s="20">
        <f t="shared" si="1"/>
        <v>61.25</v>
      </c>
      <c r="R10">
        <v>71</v>
      </c>
      <c r="S10">
        <v>76</v>
      </c>
      <c r="T10">
        <v>74</v>
      </c>
      <c r="U10">
        <v>76</v>
      </c>
      <c r="V10" s="20">
        <f t="shared" si="2"/>
        <v>74.25</v>
      </c>
      <c r="W10">
        <v>77</v>
      </c>
      <c r="X10">
        <v>85</v>
      </c>
      <c r="Y10">
        <v>80</v>
      </c>
      <c r="Z10">
        <v>78</v>
      </c>
      <c r="AA10" s="20">
        <f t="shared" si="3"/>
        <v>80</v>
      </c>
      <c r="AB10">
        <v>80</v>
      </c>
      <c r="AC10">
        <v>80</v>
      </c>
      <c r="AD10">
        <v>85</v>
      </c>
      <c r="AE10">
        <v>80</v>
      </c>
      <c r="AF10" s="20">
        <f t="shared" si="4"/>
        <v>81.25</v>
      </c>
      <c r="AG10" s="20"/>
      <c r="AH10" s="20"/>
      <c r="AI10" s="20"/>
      <c r="AJ10" s="20"/>
      <c r="AK10" s="20" t="e">
        <f t="shared" si="5"/>
        <v>#DIV/0!</v>
      </c>
      <c r="AL10" s="20"/>
      <c r="AM10" s="20"/>
      <c r="AN10" s="20"/>
      <c r="AO10" s="20"/>
      <c r="AP10" s="20" t="e">
        <f t="shared" si="6"/>
        <v>#DIV/0!</v>
      </c>
      <c r="AQ10" s="147">
        <v>45482</v>
      </c>
      <c r="AR10">
        <v>83</v>
      </c>
      <c r="AS10">
        <v>80</v>
      </c>
      <c r="AT10">
        <v>80</v>
      </c>
      <c r="AU10">
        <v>80</v>
      </c>
      <c r="AV10" s="20">
        <f t="shared" si="7"/>
        <v>80.75</v>
      </c>
      <c r="AW10">
        <v>50</v>
      </c>
      <c r="AX10">
        <v>0</v>
      </c>
      <c r="AY10">
        <v>0</v>
      </c>
      <c r="AZ10" s="20">
        <f t="shared" si="8"/>
        <v>33.333333333333336</v>
      </c>
      <c r="BA10">
        <v>5</v>
      </c>
      <c r="BB10">
        <v>0</v>
      </c>
      <c r="BC10">
        <v>0</v>
      </c>
      <c r="BD10" s="20">
        <f t="shared" si="9"/>
        <v>3.3333333333333335</v>
      </c>
      <c r="BE10">
        <v>0</v>
      </c>
      <c r="BF10">
        <v>0</v>
      </c>
      <c r="BG10">
        <v>0</v>
      </c>
      <c r="BH10" s="20">
        <f t="shared" si="10"/>
        <v>0</v>
      </c>
      <c r="BI10">
        <v>29.71</v>
      </c>
      <c r="BJ10">
        <v>15.3</v>
      </c>
      <c r="BK10" s="17">
        <f t="shared" si="11"/>
        <v>48.502187815550322</v>
      </c>
      <c r="BL10" s="17">
        <f t="shared" si="12"/>
        <v>5.4008751262201287</v>
      </c>
      <c r="BM10" s="18">
        <f t="shared" si="13"/>
        <v>45511.400875126223</v>
      </c>
      <c r="BN10" s="175">
        <f t="shared" si="14"/>
        <v>93.400875126222672</v>
      </c>
      <c r="BO10">
        <v>6</v>
      </c>
      <c r="BP10" s="22">
        <f t="shared" si="15"/>
        <v>8.6867999999999999</v>
      </c>
      <c r="BQ10" s="40"/>
      <c r="BR10" s="159"/>
      <c r="BS10" s="20"/>
      <c r="BT10" s="20"/>
      <c r="BU10">
        <v>66.099999999999994</v>
      </c>
      <c r="BV10" s="22">
        <v>5.16</v>
      </c>
      <c r="BW10" s="22">
        <v>4.92</v>
      </c>
      <c r="BX10" s="159">
        <f t="shared" si="17"/>
        <v>58.26589595375723</v>
      </c>
    </row>
    <row r="11" spans="2:80" x14ac:dyDescent="0.3">
      <c r="B11" s="63">
        <v>2024</v>
      </c>
      <c r="C11" t="s">
        <v>105</v>
      </c>
      <c r="D11">
        <v>107</v>
      </c>
      <c r="E11">
        <v>1</v>
      </c>
      <c r="F11">
        <v>7</v>
      </c>
      <c r="G11" t="s">
        <v>42</v>
      </c>
      <c r="H11">
        <v>7</v>
      </c>
      <c r="I11" t="s">
        <v>34</v>
      </c>
      <c r="J11">
        <v>39</v>
      </c>
      <c r="K11">
        <v>39</v>
      </c>
      <c r="L11" s="21">
        <f t="shared" si="0"/>
        <v>161.62453377538336</v>
      </c>
      <c r="M11">
        <v>55</v>
      </c>
      <c r="N11">
        <v>46</v>
      </c>
      <c r="O11">
        <v>64</v>
      </c>
      <c r="P11">
        <v>46</v>
      </c>
      <c r="Q11" s="20">
        <f t="shared" si="1"/>
        <v>52.75</v>
      </c>
      <c r="R11">
        <v>61</v>
      </c>
      <c r="S11">
        <v>66</v>
      </c>
      <c r="T11">
        <v>69</v>
      </c>
      <c r="U11">
        <v>73</v>
      </c>
      <c r="V11" s="20">
        <f t="shared" si="2"/>
        <v>67.25</v>
      </c>
      <c r="W11">
        <v>94</v>
      </c>
      <c r="X11">
        <v>93</v>
      </c>
      <c r="Y11">
        <v>94</v>
      </c>
      <c r="Z11">
        <v>91</v>
      </c>
      <c r="AA11" s="20">
        <f t="shared" si="3"/>
        <v>93</v>
      </c>
      <c r="AB11">
        <v>90</v>
      </c>
      <c r="AC11">
        <v>90</v>
      </c>
      <c r="AD11">
        <v>95</v>
      </c>
      <c r="AE11">
        <v>90</v>
      </c>
      <c r="AF11" s="20">
        <f t="shared" si="4"/>
        <v>91.25</v>
      </c>
      <c r="AG11" s="20"/>
      <c r="AH11" s="20"/>
      <c r="AI11" s="20"/>
      <c r="AJ11" s="20"/>
      <c r="AK11" s="20" t="e">
        <f t="shared" si="5"/>
        <v>#DIV/0!</v>
      </c>
      <c r="AL11" s="20"/>
      <c r="AM11" s="20"/>
      <c r="AN11" s="20"/>
      <c r="AO11" s="20"/>
      <c r="AP11" s="20" t="e">
        <f t="shared" si="6"/>
        <v>#DIV/0!</v>
      </c>
      <c r="AQ11" s="147">
        <v>45482</v>
      </c>
      <c r="AR11">
        <v>92</v>
      </c>
      <c r="AS11">
        <v>92</v>
      </c>
      <c r="AT11">
        <v>92</v>
      </c>
      <c r="AU11">
        <v>93</v>
      </c>
      <c r="AV11" s="20">
        <f t="shared" si="7"/>
        <v>92.25</v>
      </c>
      <c r="AW11">
        <v>10</v>
      </c>
      <c r="AX11">
        <v>0</v>
      </c>
      <c r="AY11">
        <v>0</v>
      </c>
      <c r="AZ11" s="20">
        <f t="shared" si="8"/>
        <v>6.666666666666667</v>
      </c>
      <c r="BA11">
        <v>30</v>
      </c>
      <c r="BB11">
        <v>0</v>
      </c>
      <c r="BC11">
        <v>0</v>
      </c>
      <c r="BD11" s="20">
        <f t="shared" si="9"/>
        <v>20</v>
      </c>
      <c r="BE11">
        <v>0</v>
      </c>
      <c r="BF11">
        <v>0</v>
      </c>
      <c r="BG11">
        <v>0</v>
      </c>
      <c r="BH11" s="20">
        <f t="shared" si="10"/>
        <v>0</v>
      </c>
      <c r="BI11">
        <v>35.409999999999997</v>
      </c>
      <c r="BJ11">
        <v>18.5</v>
      </c>
      <c r="BK11" s="17">
        <f t="shared" si="11"/>
        <v>47.754871505224507</v>
      </c>
      <c r="BL11" s="17">
        <f>(BK11-35)/2.5</f>
        <v>5.1019486020898031</v>
      </c>
      <c r="BM11" s="18">
        <f t="shared" si="13"/>
        <v>45511.101948602089</v>
      </c>
      <c r="BN11" s="175">
        <f t="shared" si="14"/>
        <v>93.101948602088669</v>
      </c>
      <c r="BO11">
        <v>6</v>
      </c>
      <c r="BP11" s="22">
        <f t="shared" si="15"/>
        <v>8.6867999999999999</v>
      </c>
      <c r="BQ11">
        <v>9410</v>
      </c>
      <c r="BR11" s="20">
        <v>12.6</v>
      </c>
      <c r="BS11" s="20">
        <f t="shared" ref="BS11:BS36" si="18">(BQ11*(100-BR11)/(100-13.5))/BP11*10000/1000</f>
        <v>10945.235891756305</v>
      </c>
      <c r="BT11" s="20">
        <f t="shared" si="16"/>
        <v>203.46912875700824</v>
      </c>
      <c r="BU11">
        <v>47.6</v>
      </c>
      <c r="BV11" s="22">
        <v>5.01</v>
      </c>
      <c r="BW11" s="22">
        <v>5.13</v>
      </c>
      <c r="BX11" s="159">
        <f t="shared" si="17"/>
        <v>51.227514450867055</v>
      </c>
    </row>
    <row r="12" spans="2:80" x14ac:dyDescent="0.3">
      <c r="B12" s="63">
        <v>2024</v>
      </c>
      <c r="C12" t="s">
        <v>105</v>
      </c>
      <c r="D12">
        <v>108</v>
      </c>
      <c r="E12">
        <v>1</v>
      </c>
      <c r="F12">
        <v>8</v>
      </c>
      <c r="G12" t="s">
        <v>42</v>
      </c>
      <c r="H12">
        <v>8</v>
      </c>
      <c r="I12" t="s">
        <v>38</v>
      </c>
      <c r="J12">
        <v>45</v>
      </c>
      <c r="K12">
        <v>23</v>
      </c>
      <c r="L12" s="21">
        <f t="shared" si="0"/>
        <v>140.90343970161626</v>
      </c>
      <c r="M12">
        <v>52</v>
      </c>
      <c r="N12">
        <v>54</v>
      </c>
      <c r="O12">
        <v>59</v>
      </c>
      <c r="P12">
        <v>56</v>
      </c>
      <c r="Q12" s="20">
        <f t="shared" si="1"/>
        <v>55.25</v>
      </c>
      <c r="R12">
        <v>75</v>
      </c>
      <c r="S12">
        <v>77</v>
      </c>
      <c r="T12">
        <v>74</v>
      </c>
      <c r="U12">
        <v>67</v>
      </c>
      <c r="V12" s="20">
        <f t="shared" si="2"/>
        <v>73.25</v>
      </c>
      <c r="W12">
        <v>100</v>
      </c>
      <c r="X12">
        <v>101</v>
      </c>
      <c r="Y12">
        <v>103</v>
      </c>
      <c r="Z12">
        <v>99</v>
      </c>
      <c r="AA12" s="20">
        <f t="shared" si="3"/>
        <v>100.75</v>
      </c>
      <c r="AB12">
        <v>95</v>
      </c>
      <c r="AC12">
        <v>100</v>
      </c>
      <c r="AD12">
        <v>110</v>
      </c>
      <c r="AE12">
        <v>100</v>
      </c>
      <c r="AF12" s="20">
        <f t="shared" si="4"/>
        <v>101.25</v>
      </c>
      <c r="AG12" s="20"/>
      <c r="AH12" s="20"/>
      <c r="AI12" s="20"/>
      <c r="AJ12" s="20"/>
      <c r="AK12" s="20" t="e">
        <f t="shared" si="5"/>
        <v>#DIV/0!</v>
      </c>
      <c r="AL12" s="20"/>
      <c r="AM12" s="20"/>
      <c r="AN12" s="20"/>
      <c r="AO12" s="20"/>
      <c r="AP12" s="20" t="e">
        <f t="shared" si="6"/>
        <v>#DIV/0!</v>
      </c>
      <c r="AQ12" s="147">
        <v>45482</v>
      </c>
      <c r="AR12">
        <v>99</v>
      </c>
      <c r="AS12">
        <v>99</v>
      </c>
      <c r="AT12">
        <v>98</v>
      </c>
      <c r="AU12">
        <v>97</v>
      </c>
      <c r="AV12" s="20">
        <f t="shared" si="7"/>
        <v>98.25</v>
      </c>
      <c r="AW12">
        <v>40</v>
      </c>
      <c r="AX12">
        <v>0</v>
      </c>
      <c r="AY12">
        <v>0</v>
      </c>
      <c r="AZ12" s="20">
        <f t="shared" si="8"/>
        <v>26.666666666666668</v>
      </c>
      <c r="BA12">
        <v>60</v>
      </c>
      <c r="BB12">
        <v>0</v>
      </c>
      <c r="BC12">
        <v>0</v>
      </c>
      <c r="BD12" s="20">
        <f t="shared" si="9"/>
        <v>40</v>
      </c>
      <c r="BE12">
        <v>0</v>
      </c>
      <c r="BF12">
        <v>0</v>
      </c>
      <c r="BG12">
        <v>0</v>
      </c>
      <c r="BH12" s="20">
        <f t="shared" si="10"/>
        <v>0</v>
      </c>
      <c r="BI12">
        <v>31.3</v>
      </c>
      <c r="BJ12">
        <v>15.2</v>
      </c>
      <c r="BK12" s="17">
        <f t="shared" si="11"/>
        <v>51.437699680511187</v>
      </c>
      <c r="BL12" s="17">
        <f t="shared" si="12"/>
        <v>6.5750798722044745</v>
      </c>
      <c r="BM12" s="18">
        <f t="shared" si="13"/>
        <v>45512.575079872207</v>
      </c>
      <c r="BN12" s="175">
        <f t="shared" si="14"/>
        <v>94.575079872207425</v>
      </c>
      <c r="BO12">
        <v>6</v>
      </c>
      <c r="BP12" s="22">
        <f t="shared" si="15"/>
        <v>8.6867999999999999</v>
      </c>
      <c r="BQ12">
        <v>8960</v>
      </c>
      <c r="BR12" s="20">
        <v>8.3000000000000007</v>
      </c>
      <c r="BS12" s="20">
        <f t="shared" si="18"/>
        <v>10934.562598598204</v>
      </c>
      <c r="BT12" s="20">
        <f t="shared" si="16"/>
        <v>203.27071497394098</v>
      </c>
      <c r="BU12">
        <v>40.1</v>
      </c>
      <c r="BV12" s="22">
        <v>4.95</v>
      </c>
      <c r="BW12" s="22">
        <v>4.7300000000000004</v>
      </c>
      <c r="BX12" s="159">
        <f t="shared" si="17"/>
        <v>51.309595375722537</v>
      </c>
      <c r="BZ12" s="160" t="s">
        <v>269</v>
      </c>
      <c r="CA12" t="s">
        <v>273</v>
      </c>
    </row>
    <row r="13" spans="2:80" x14ac:dyDescent="0.3">
      <c r="B13" s="63">
        <v>2024</v>
      </c>
      <c r="C13" t="s">
        <v>105</v>
      </c>
      <c r="D13">
        <v>109</v>
      </c>
      <c r="E13">
        <v>1</v>
      </c>
      <c r="F13">
        <v>9</v>
      </c>
      <c r="G13" t="s">
        <v>42</v>
      </c>
      <c r="H13">
        <v>9</v>
      </c>
      <c r="I13" t="s">
        <v>33</v>
      </c>
      <c r="J13">
        <v>38</v>
      </c>
      <c r="K13">
        <v>38</v>
      </c>
      <c r="L13" s="21">
        <f t="shared" si="0"/>
        <v>157.48031496062993</v>
      </c>
      <c r="M13">
        <v>54</v>
      </c>
      <c r="N13">
        <v>55</v>
      </c>
      <c r="O13">
        <v>50</v>
      </c>
      <c r="P13">
        <v>51</v>
      </c>
      <c r="Q13" s="20">
        <f t="shared" si="1"/>
        <v>52.5</v>
      </c>
      <c r="R13">
        <v>69</v>
      </c>
      <c r="S13">
        <v>69</v>
      </c>
      <c r="T13">
        <v>70</v>
      </c>
      <c r="U13">
        <v>76</v>
      </c>
      <c r="V13" s="20">
        <f t="shared" si="2"/>
        <v>71</v>
      </c>
      <c r="W13">
        <v>87</v>
      </c>
      <c r="X13">
        <v>92</v>
      </c>
      <c r="Y13">
        <v>85</v>
      </c>
      <c r="Z13">
        <v>89</v>
      </c>
      <c r="AA13" s="20">
        <f t="shared" si="3"/>
        <v>88.25</v>
      </c>
      <c r="AB13">
        <v>90</v>
      </c>
      <c r="AC13">
        <v>95</v>
      </c>
      <c r="AD13">
        <v>90</v>
      </c>
      <c r="AE13">
        <v>100</v>
      </c>
      <c r="AF13" s="20">
        <f t="shared" si="4"/>
        <v>93.75</v>
      </c>
      <c r="AG13" s="20"/>
      <c r="AH13" s="20"/>
      <c r="AI13" s="20"/>
      <c r="AJ13" s="20"/>
      <c r="AK13" s="20" t="e">
        <f t="shared" si="5"/>
        <v>#DIV/0!</v>
      </c>
      <c r="AL13" s="20"/>
      <c r="AM13" s="20"/>
      <c r="AN13" s="20"/>
      <c r="AO13" s="20"/>
      <c r="AP13" s="20" t="e">
        <f t="shared" si="6"/>
        <v>#DIV/0!</v>
      </c>
      <c r="AQ13" s="147">
        <v>45482</v>
      </c>
      <c r="AR13">
        <v>98</v>
      </c>
      <c r="AS13">
        <v>97</v>
      </c>
      <c r="AT13">
        <v>94</v>
      </c>
      <c r="AU13">
        <v>96</v>
      </c>
      <c r="AV13" s="20">
        <f t="shared" si="7"/>
        <v>96.25</v>
      </c>
      <c r="AW13">
        <v>5</v>
      </c>
      <c r="AX13">
        <v>0</v>
      </c>
      <c r="AY13">
        <v>0</v>
      </c>
      <c r="AZ13" s="20">
        <f t="shared" si="8"/>
        <v>3.3333333333333335</v>
      </c>
      <c r="BA13">
        <v>10</v>
      </c>
      <c r="BB13">
        <v>0</v>
      </c>
      <c r="BC13">
        <v>0</v>
      </c>
      <c r="BD13" s="20">
        <f t="shared" si="9"/>
        <v>6.666666666666667</v>
      </c>
      <c r="BE13">
        <v>0</v>
      </c>
      <c r="BF13">
        <v>0</v>
      </c>
      <c r="BG13">
        <v>0</v>
      </c>
      <c r="BH13" s="20">
        <f t="shared" si="10"/>
        <v>0</v>
      </c>
      <c r="BI13">
        <v>38</v>
      </c>
      <c r="BJ13">
        <v>19.899999999999999</v>
      </c>
      <c r="BK13" s="17">
        <f t="shared" si="11"/>
        <v>47.631578947368425</v>
      </c>
      <c r="BL13" s="17">
        <f t="shared" si="12"/>
        <v>5.0526315789473699</v>
      </c>
      <c r="BM13" s="18">
        <f t="shared" si="13"/>
        <v>45511.052631578947</v>
      </c>
      <c r="BN13" s="175">
        <f t="shared" si="14"/>
        <v>93.052631578946603</v>
      </c>
      <c r="BO13">
        <v>6</v>
      </c>
      <c r="BP13" s="22">
        <f t="shared" si="15"/>
        <v>8.6867999999999999</v>
      </c>
      <c r="BQ13">
        <v>9400</v>
      </c>
      <c r="BR13" s="20">
        <v>19.2</v>
      </c>
      <c r="BS13" s="20">
        <f t="shared" si="18"/>
        <v>10107.954637705578</v>
      </c>
      <c r="BT13" s="20">
        <f t="shared" si="16"/>
        <v>187.90428493170626</v>
      </c>
      <c r="BU13">
        <v>62.7</v>
      </c>
      <c r="BV13" s="22">
        <v>5.41</v>
      </c>
      <c r="BW13" s="22">
        <v>5.52</v>
      </c>
      <c r="BX13" s="159">
        <f t="shared" si="17"/>
        <v>51.048786127167631</v>
      </c>
      <c r="BZ13" s="23" t="s">
        <v>31</v>
      </c>
      <c r="CA13" s="21">
        <v>96.145833333333329</v>
      </c>
    </row>
    <row r="14" spans="2:80" x14ac:dyDescent="0.3">
      <c r="B14" s="63">
        <v>2024</v>
      </c>
      <c r="C14" t="s">
        <v>105</v>
      </c>
      <c r="D14">
        <v>110</v>
      </c>
      <c r="E14">
        <v>1</v>
      </c>
      <c r="F14">
        <v>10</v>
      </c>
      <c r="G14" t="s">
        <v>106</v>
      </c>
      <c r="H14">
        <v>1</v>
      </c>
      <c r="I14" t="s">
        <v>37</v>
      </c>
      <c r="J14">
        <v>48</v>
      </c>
      <c r="K14">
        <v>38</v>
      </c>
      <c r="L14" s="21">
        <f t="shared" si="0"/>
        <v>178.20140903439702</v>
      </c>
      <c r="M14">
        <v>69</v>
      </c>
      <c r="N14">
        <v>74</v>
      </c>
      <c r="O14">
        <v>70</v>
      </c>
      <c r="P14">
        <v>66</v>
      </c>
      <c r="Q14" s="20">
        <f t="shared" si="1"/>
        <v>69.75</v>
      </c>
      <c r="R14">
        <v>99</v>
      </c>
      <c r="S14">
        <v>89</v>
      </c>
      <c r="T14">
        <v>96</v>
      </c>
      <c r="U14">
        <v>95</v>
      </c>
      <c r="V14" s="20">
        <f t="shared" si="2"/>
        <v>94.75</v>
      </c>
      <c r="W14">
        <v>105</v>
      </c>
      <c r="X14">
        <v>102</v>
      </c>
      <c r="Y14">
        <v>103</v>
      </c>
      <c r="Z14">
        <v>110</v>
      </c>
      <c r="AA14" s="20">
        <f t="shared" si="3"/>
        <v>105</v>
      </c>
      <c r="AB14">
        <v>110</v>
      </c>
      <c r="AC14">
        <v>100</v>
      </c>
      <c r="AD14">
        <v>120</v>
      </c>
      <c r="AE14">
        <v>110</v>
      </c>
      <c r="AF14" s="20">
        <f t="shared" si="4"/>
        <v>110</v>
      </c>
      <c r="AG14" s="20"/>
      <c r="AH14" s="20"/>
      <c r="AI14" s="20"/>
      <c r="AJ14" s="20"/>
      <c r="AK14" s="20" t="e">
        <f t="shared" si="5"/>
        <v>#DIV/0!</v>
      </c>
      <c r="AL14" s="20"/>
      <c r="AM14" s="20"/>
      <c r="AN14" s="20"/>
      <c r="AO14" s="20"/>
      <c r="AP14" s="20" t="e">
        <f t="shared" si="6"/>
        <v>#DIV/0!</v>
      </c>
      <c r="AQ14" s="147">
        <v>45480</v>
      </c>
      <c r="AR14">
        <v>108</v>
      </c>
      <c r="AS14">
        <v>103</v>
      </c>
      <c r="AT14">
        <v>103</v>
      </c>
      <c r="AU14">
        <v>111</v>
      </c>
      <c r="AV14" s="20">
        <f t="shared" si="7"/>
        <v>106.25</v>
      </c>
      <c r="AW14">
        <v>5</v>
      </c>
      <c r="AX14">
        <v>0</v>
      </c>
      <c r="AY14">
        <v>0</v>
      </c>
      <c r="AZ14" s="20">
        <f t="shared" si="8"/>
        <v>3.3333333333333335</v>
      </c>
      <c r="BA14">
        <v>5</v>
      </c>
      <c r="BB14">
        <v>0</v>
      </c>
      <c r="BC14">
        <v>0</v>
      </c>
      <c r="BD14" s="20">
        <f t="shared" si="9"/>
        <v>3.3333333333333335</v>
      </c>
      <c r="BE14">
        <v>0</v>
      </c>
      <c r="BF14">
        <v>0</v>
      </c>
      <c r="BG14">
        <v>0</v>
      </c>
      <c r="BH14" s="20">
        <f t="shared" si="10"/>
        <v>0</v>
      </c>
      <c r="BI14">
        <v>33.97</v>
      </c>
      <c r="BJ14">
        <v>17.5</v>
      </c>
      <c r="BK14" s="17">
        <f t="shared" si="11"/>
        <v>48.483956432146009</v>
      </c>
      <c r="BL14" s="17">
        <f t="shared" si="12"/>
        <v>5.3935825728584037</v>
      </c>
      <c r="BM14" s="18">
        <f t="shared" si="13"/>
        <v>45511.393582572855</v>
      </c>
      <c r="BN14" s="175">
        <f t="shared" si="14"/>
        <v>93.393582572854939</v>
      </c>
      <c r="BO14">
        <v>6</v>
      </c>
      <c r="BP14" s="22">
        <f t="shared" si="15"/>
        <v>8.6867999999999999</v>
      </c>
      <c r="BQ14">
        <v>8770</v>
      </c>
      <c r="BR14" s="20">
        <v>7.9</v>
      </c>
      <c r="BS14" s="20">
        <f t="shared" si="18"/>
        <v>10749.3769698015</v>
      </c>
      <c r="BT14" s="20">
        <f t="shared" si="16"/>
        <v>199.82816161810482</v>
      </c>
      <c r="BU14">
        <v>35.5</v>
      </c>
      <c r="BV14" s="22">
        <v>4.71</v>
      </c>
      <c r="BW14" s="22">
        <v>4.82</v>
      </c>
      <c r="BX14" s="159">
        <f t="shared" si="17"/>
        <v>50.734855491329483</v>
      </c>
      <c r="BZ14" s="23" t="s">
        <v>35</v>
      </c>
      <c r="CA14" s="21">
        <v>88.354166666666671</v>
      </c>
    </row>
    <row r="15" spans="2:80" x14ac:dyDescent="0.3">
      <c r="B15" s="63">
        <v>2024</v>
      </c>
      <c r="C15" t="s">
        <v>105</v>
      </c>
      <c r="D15">
        <v>111</v>
      </c>
      <c r="E15">
        <v>1</v>
      </c>
      <c r="F15">
        <v>11</v>
      </c>
      <c r="G15" t="s">
        <v>106</v>
      </c>
      <c r="H15">
        <v>2</v>
      </c>
      <c r="I15" t="s">
        <v>32</v>
      </c>
      <c r="J15">
        <v>37</v>
      </c>
      <c r="K15">
        <v>50</v>
      </c>
      <c r="L15" s="21">
        <f t="shared" si="0"/>
        <v>180.27351844177375</v>
      </c>
      <c r="M15">
        <v>59</v>
      </c>
      <c r="N15">
        <v>62</v>
      </c>
      <c r="O15">
        <v>71</v>
      </c>
      <c r="P15">
        <v>73</v>
      </c>
      <c r="Q15" s="20">
        <f t="shared" si="1"/>
        <v>66.25</v>
      </c>
      <c r="R15">
        <v>99</v>
      </c>
      <c r="S15">
        <v>95</v>
      </c>
      <c r="T15">
        <v>95</v>
      </c>
      <c r="U15">
        <v>86</v>
      </c>
      <c r="V15" s="20">
        <f t="shared" si="2"/>
        <v>93.75</v>
      </c>
      <c r="W15">
        <v>95</v>
      </c>
      <c r="X15">
        <v>102</v>
      </c>
      <c r="Y15">
        <v>98</v>
      </c>
      <c r="Z15">
        <v>101</v>
      </c>
      <c r="AA15" s="20">
        <f>AVERAGE(W15:Z15)</f>
        <v>99</v>
      </c>
      <c r="AB15">
        <v>100</v>
      </c>
      <c r="AC15">
        <v>110</v>
      </c>
      <c r="AD15">
        <v>110</v>
      </c>
      <c r="AE15">
        <v>100</v>
      </c>
      <c r="AF15" s="20">
        <f t="shared" si="4"/>
        <v>105</v>
      </c>
      <c r="AG15" s="20"/>
      <c r="AH15" s="20"/>
      <c r="AI15" s="20"/>
      <c r="AJ15" s="20"/>
      <c r="AK15" s="20" t="e">
        <f t="shared" si="5"/>
        <v>#DIV/0!</v>
      </c>
      <c r="AL15" s="20"/>
      <c r="AM15" s="20"/>
      <c r="AN15" s="20"/>
      <c r="AO15" s="20"/>
      <c r="AP15" s="20" t="e">
        <f t="shared" si="6"/>
        <v>#DIV/0!</v>
      </c>
      <c r="AQ15" s="147">
        <v>45480</v>
      </c>
      <c r="AR15">
        <v>108</v>
      </c>
      <c r="AS15">
        <v>107</v>
      </c>
      <c r="AT15">
        <v>105</v>
      </c>
      <c r="AU15">
        <v>103</v>
      </c>
      <c r="AV15" s="20">
        <f t="shared" si="7"/>
        <v>105.75</v>
      </c>
      <c r="AW15">
        <v>40</v>
      </c>
      <c r="AX15">
        <v>0</v>
      </c>
      <c r="AY15">
        <v>0</v>
      </c>
      <c r="AZ15" s="20">
        <f t="shared" si="8"/>
        <v>26.666666666666668</v>
      </c>
      <c r="BA15">
        <v>45</v>
      </c>
      <c r="BB15">
        <v>0</v>
      </c>
      <c r="BC15">
        <v>0</v>
      </c>
      <c r="BD15" s="20">
        <f t="shared" si="9"/>
        <v>30</v>
      </c>
      <c r="BE15">
        <v>0</v>
      </c>
      <c r="BF15">
        <v>0</v>
      </c>
      <c r="BG15">
        <v>0</v>
      </c>
      <c r="BH15" s="20">
        <f t="shared" si="10"/>
        <v>0</v>
      </c>
      <c r="BI15">
        <v>27.81</v>
      </c>
      <c r="BJ15">
        <v>13.3</v>
      </c>
      <c r="BK15" s="17">
        <f t="shared" si="11"/>
        <v>52.175476447321103</v>
      </c>
      <c r="BL15" s="17">
        <f t="shared" si="12"/>
        <v>6.8701905789284412</v>
      </c>
      <c r="BM15" s="18">
        <f t="shared" si="13"/>
        <v>45512.870190578928</v>
      </c>
      <c r="BN15" s="175">
        <f t="shared" si="14"/>
        <v>94.870190578927577</v>
      </c>
      <c r="BO15">
        <v>6</v>
      </c>
      <c r="BP15" s="22">
        <f t="shared" si="15"/>
        <v>8.6867999999999999</v>
      </c>
      <c r="BQ15">
        <v>8500</v>
      </c>
      <c r="BR15" s="20">
        <v>12.5</v>
      </c>
      <c r="BS15" s="20">
        <f t="shared" si="18"/>
        <v>9898.082027851171</v>
      </c>
      <c r="BT15" s="20">
        <f t="shared" si="16"/>
        <v>184.00280692800254</v>
      </c>
      <c r="BU15">
        <v>64.8</v>
      </c>
      <c r="BV15" s="22">
        <v>4.41</v>
      </c>
      <c r="BW15" s="22">
        <v>4.58</v>
      </c>
      <c r="BX15" s="159">
        <f t="shared" si="17"/>
        <v>45.469653179190757</v>
      </c>
      <c r="BZ15" s="23" t="s">
        <v>32</v>
      </c>
      <c r="CA15" s="21">
        <v>98.25</v>
      </c>
    </row>
    <row r="16" spans="2:80" x14ac:dyDescent="0.3">
      <c r="B16" s="63">
        <v>2024</v>
      </c>
      <c r="C16" t="s">
        <v>105</v>
      </c>
      <c r="D16">
        <v>112</v>
      </c>
      <c r="E16">
        <v>1</v>
      </c>
      <c r="F16">
        <v>12</v>
      </c>
      <c r="G16" t="s">
        <v>106</v>
      </c>
      <c r="H16">
        <v>3</v>
      </c>
      <c r="I16" t="s">
        <v>39</v>
      </c>
      <c r="J16">
        <v>43</v>
      </c>
      <c r="K16">
        <v>45</v>
      </c>
      <c r="L16" s="21">
        <f t="shared" si="0"/>
        <v>182.34562784915045</v>
      </c>
      <c r="M16">
        <v>73</v>
      </c>
      <c r="N16">
        <v>75</v>
      </c>
      <c r="O16">
        <v>68</v>
      </c>
      <c r="P16">
        <v>76</v>
      </c>
      <c r="Q16" s="20">
        <f t="shared" si="1"/>
        <v>73</v>
      </c>
      <c r="R16">
        <v>83</v>
      </c>
      <c r="S16">
        <v>88</v>
      </c>
      <c r="T16">
        <v>83</v>
      </c>
      <c r="U16">
        <v>91</v>
      </c>
      <c r="V16" s="20">
        <f t="shared" si="2"/>
        <v>86.25</v>
      </c>
      <c r="W16">
        <v>102</v>
      </c>
      <c r="X16">
        <v>101</v>
      </c>
      <c r="Y16">
        <v>96</v>
      </c>
      <c r="Z16">
        <v>99</v>
      </c>
      <c r="AA16" s="20">
        <f t="shared" si="3"/>
        <v>99.5</v>
      </c>
      <c r="AB16">
        <v>100</v>
      </c>
      <c r="AC16">
        <v>100</v>
      </c>
      <c r="AD16">
        <v>110</v>
      </c>
      <c r="AE16">
        <v>110</v>
      </c>
      <c r="AF16" s="20">
        <f t="shared" si="4"/>
        <v>105</v>
      </c>
      <c r="AG16" s="20"/>
      <c r="AH16" s="20"/>
      <c r="AI16" s="20"/>
      <c r="AJ16" s="20"/>
      <c r="AK16" s="20" t="e">
        <f t="shared" si="5"/>
        <v>#DIV/0!</v>
      </c>
      <c r="AL16" s="20"/>
      <c r="AM16" s="20"/>
      <c r="AN16" s="20"/>
      <c r="AO16" s="20"/>
      <c r="AP16" s="20" t="e">
        <f t="shared" si="6"/>
        <v>#DIV/0!</v>
      </c>
      <c r="AQ16" s="147">
        <v>45481</v>
      </c>
      <c r="AR16">
        <v>105</v>
      </c>
      <c r="AS16">
        <v>99</v>
      </c>
      <c r="AT16">
        <v>101</v>
      </c>
      <c r="AU16">
        <v>104</v>
      </c>
      <c r="AV16" s="20">
        <f t="shared" si="7"/>
        <v>102.25</v>
      </c>
      <c r="AW16">
        <v>25</v>
      </c>
      <c r="AX16">
        <v>0</v>
      </c>
      <c r="AY16">
        <v>0</v>
      </c>
      <c r="AZ16" s="20">
        <f t="shared" si="8"/>
        <v>16.666666666666668</v>
      </c>
      <c r="BA16">
        <v>60</v>
      </c>
      <c r="BB16">
        <v>0</v>
      </c>
      <c r="BC16">
        <v>0</v>
      </c>
      <c r="BD16" s="20">
        <f t="shared" si="9"/>
        <v>40</v>
      </c>
      <c r="BE16">
        <v>0</v>
      </c>
      <c r="BF16">
        <v>0</v>
      </c>
      <c r="BG16">
        <v>0</v>
      </c>
      <c r="BH16" s="20">
        <f t="shared" si="10"/>
        <v>0</v>
      </c>
      <c r="BI16">
        <v>29.77</v>
      </c>
      <c r="BJ16">
        <v>14</v>
      </c>
      <c r="BK16" s="17">
        <f t="shared" si="11"/>
        <v>52.972791400738991</v>
      </c>
      <c r="BL16" s="17">
        <f t="shared" si="12"/>
        <v>7.1891165602955969</v>
      </c>
      <c r="BM16" s="18">
        <f t="shared" si="13"/>
        <v>45513.189116560294</v>
      </c>
      <c r="BN16" s="175">
        <f t="shared" si="14"/>
        <v>95.189116560293769</v>
      </c>
      <c r="BO16">
        <v>6</v>
      </c>
      <c r="BP16" s="22">
        <f t="shared" si="15"/>
        <v>8.6867999999999999</v>
      </c>
      <c r="BQ16">
        <v>8810</v>
      </c>
      <c r="BR16" s="20">
        <v>8.1</v>
      </c>
      <c r="BS16" s="20">
        <f t="shared" si="18"/>
        <v>10774.955610013307</v>
      </c>
      <c r="BT16" s="20">
        <f t="shared" si="16"/>
        <v>200.3036619810166</v>
      </c>
      <c r="BU16">
        <v>35.6</v>
      </c>
      <c r="BV16" s="22">
        <v>4.96</v>
      </c>
      <c r="BW16" s="22">
        <v>4.7300000000000004</v>
      </c>
      <c r="BX16" s="159">
        <f t="shared" si="17"/>
        <v>51.474624277456655</v>
      </c>
      <c r="BZ16" s="23" t="s">
        <v>38</v>
      </c>
      <c r="CA16" s="21">
        <v>96.6875</v>
      </c>
    </row>
    <row r="17" spans="2:80" x14ac:dyDescent="0.3">
      <c r="B17" s="63">
        <v>2024</v>
      </c>
      <c r="C17" t="s">
        <v>105</v>
      </c>
      <c r="D17">
        <v>113</v>
      </c>
      <c r="E17">
        <v>1</v>
      </c>
      <c r="F17">
        <v>13</v>
      </c>
      <c r="G17" t="s">
        <v>106</v>
      </c>
      <c r="H17">
        <v>4</v>
      </c>
      <c r="I17" t="s">
        <v>36</v>
      </c>
      <c r="J17">
        <v>21</v>
      </c>
      <c r="K17">
        <v>44</v>
      </c>
      <c r="L17" s="21">
        <f t="shared" si="0"/>
        <v>134.68711147948613</v>
      </c>
      <c r="M17">
        <v>74</v>
      </c>
      <c r="N17">
        <v>64</v>
      </c>
      <c r="O17">
        <v>71</v>
      </c>
      <c r="P17">
        <v>80</v>
      </c>
      <c r="Q17" s="20">
        <f t="shared" si="1"/>
        <v>72.25</v>
      </c>
      <c r="R17">
        <v>87</v>
      </c>
      <c r="S17">
        <v>91</v>
      </c>
      <c r="T17">
        <v>86</v>
      </c>
      <c r="U17">
        <v>88</v>
      </c>
      <c r="V17" s="20">
        <f t="shared" si="2"/>
        <v>88</v>
      </c>
      <c r="W17">
        <v>94</v>
      </c>
      <c r="X17">
        <v>97</v>
      </c>
      <c r="Y17">
        <v>99</v>
      </c>
      <c r="Z17">
        <v>96</v>
      </c>
      <c r="AA17" s="20">
        <f t="shared" si="3"/>
        <v>96.5</v>
      </c>
      <c r="AB17">
        <v>95</v>
      </c>
      <c r="AC17">
        <v>100</v>
      </c>
      <c r="AD17">
        <v>100</v>
      </c>
      <c r="AE17">
        <v>110</v>
      </c>
      <c r="AF17" s="20">
        <f t="shared" si="4"/>
        <v>101.25</v>
      </c>
      <c r="AG17" s="20"/>
      <c r="AH17" s="20"/>
      <c r="AI17" s="20"/>
      <c r="AJ17" s="20"/>
      <c r="AK17" s="20" t="e">
        <f t="shared" si="5"/>
        <v>#DIV/0!</v>
      </c>
      <c r="AL17" s="20"/>
      <c r="AM17" s="20"/>
      <c r="AN17" s="20"/>
      <c r="AO17" s="20"/>
      <c r="AP17" s="20" t="e">
        <f t="shared" si="6"/>
        <v>#DIV/0!</v>
      </c>
      <c r="AQ17" s="147">
        <v>45481</v>
      </c>
      <c r="AR17">
        <v>107</v>
      </c>
      <c r="AS17">
        <v>108</v>
      </c>
      <c r="AT17">
        <v>106</v>
      </c>
      <c r="AU17">
        <v>97</v>
      </c>
      <c r="AV17" s="20">
        <f t="shared" si="7"/>
        <v>104.5</v>
      </c>
      <c r="AW17">
        <v>5</v>
      </c>
      <c r="AX17">
        <v>0</v>
      </c>
      <c r="AY17">
        <v>0</v>
      </c>
      <c r="AZ17" s="20">
        <f t="shared" si="8"/>
        <v>3.3333333333333335</v>
      </c>
      <c r="BA17">
        <v>10</v>
      </c>
      <c r="BB17">
        <v>0</v>
      </c>
      <c r="BC17">
        <v>0</v>
      </c>
      <c r="BD17" s="20">
        <f t="shared" si="9"/>
        <v>6.666666666666667</v>
      </c>
      <c r="BE17">
        <v>0</v>
      </c>
      <c r="BF17">
        <v>0</v>
      </c>
      <c r="BG17">
        <v>0</v>
      </c>
      <c r="BH17" s="20">
        <f t="shared" si="10"/>
        <v>0</v>
      </c>
      <c r="BI17">
        <v>30.27</v>
      </c>
      <c r="BJ17">
        <v>14.2</v>
      </c>
      <c r="BK17" s="17">
        <f t="shared" si="11"/>
        <v>53.088866864882725</v>
      </c>
      <c r="BL17" s="17">
        <f t="shared" si="12"/>
        <v>7.2355467459530898</v>
      </c>
      <c r="BM17" s="18">
        <f t="shared" si="13"/>
        <v>45513.235546745957</v>
      </c>
      <c r="BN17" s="175">
        <f t="shared" si="14"/>
        <v>95.235546745956526</v>
      </c>
      <c r="BO17">
        <v>6</v>
      </c>
      <c r="BP17" s="22">
        <f t="shared" si="15"/>
        <v>8.6867999999999999</v>
      </c>
      <c r="BQ17">
        <v>9480</v>
      </c>
      <c r="BR17" s="20">
        <v>16.2</v>
      </c>
      <c r="BS17" s="20">
        <f t="shared" si="18"/>
        <v>10572.469131957834</v>
      </c>
      <c r="BT17" s="20">
        <f t="shared" si="16"/>
        <v>196.53949027357513</v>
      </c>
      <c r="BU17">
        <v>48.1</v>
      </c>
      <c r="BV17" s="22">
        <v>4.66</v>
      </c>
      <c r="BW17" s="22">
        <v>4.7699999999999996</v>
      </c>
      <c r="BX17" s="159">
        <f t="shared" si="17"/>
        <v>45.678265895953757</v>
      </c>
      <c r="BZ17" s="23" t="s">
        <v>34</v>
      </c>
      <c r="CA17" s="21">
        <v>91.729166666666671</v>
      </c>
    </row>
    <row r="18" spans="2:80" x14ac:dyDescent="0.3">
      <c r="B18" s="63">
        <v>2024</v>
      </c>
      <c r="C18" t="s">
        <v>105</v>
      </c>
      <c r="D18">
        <v>114</v>
      </c>
      <c r="E18">
        <v>1</v>
      </c>
      <c r="F18">
        <v>14</v>
      </c>
      <c r="G18" t="s">
        <v>106</v>
      </c>
      <c r="H18">
        <v>5</v>
      </c>
      <c r="I18" t="s">
        <v>31</v>
      </c>
      <c r="J18">
        <v>49</v>
      </c>
      <c r="K18">
        <v>46</v>
      </c>
      <c r="L18" s="21">
        <f t="shared" si="0"/>
        <v>196.85039370078741</v>
      </c>
      <c r="M18">
        <v>57</v>
      </c>
      <c r="N18">
        <v>51</v>
      </c>
      <c r="O18">
        <v>58</v>
      </c>
      <c r="P18">
        <v>76</v>
      </c>
      <c r="Q18" s="20">
        <f t="shared" si="1"/>
        <v>60.5</v>
      </c>
      <c r="R18">
        <v>81</v>
      </c>
      <c r="S18">
        <v>85</v>
      </c>
      <c r="T18">
        <v>85</v>
      </c>
      <c r="U18">
        <v>71</v>
      </c>
      <c r="V18" s="20">
        <f t="shared" si="2"/>
        <v>80.5</v>
      </c>
      <c r="W18">
        <v>94</v>
      </c>
      <c r="X18">
        <v>103</v>
      </c>
      <c r="Y18">
        <v>104</v>
      </c>
      <c r="Z18">
        <v>100</v>
      </c>
      <c r="AA18" s="20">
        <f t="shared" si="3"/>
        <v>100.25</v>
      </c>
      <c r="AB18">
        <v>100</v>
      </c>
      <c r="AC18">
        <v>110</v>
      </c>
      <c r="AD18">
        <v>95</v>
      </c>
      <c r="AE18">
        <v>100</v>
      </c>
      <c r="AF18" s="20">
        <f t="shared" si="4"/>
        <v>101.25</v>
      </c>
      <c r="AG18" s="20"/>
      <c r="AH18" s="20"/>
      <c r="AI18" s="20"/>
      <c r="AJ18" s="20"/>
      <c r="AK18" s="20" t="e">
        <f t="shared" si="5"/>
        <v>#DIV/0!</v>
      </c>
      <c r="AL18" s="20"/>
      <c r="AM18" s="20"/>
      <c r="AN18" s="20"/>
      <c r="AO18" s="20"/>
      <c r="AP18" s="20" t="e">
        <f t="shared" si="6"/>
        <v>#DIV/0!</v>
      </c>
      <c r="AQ18" s="147">
        <v>45481</v>
      </c>
      <c r="AR18">
        <v>99</v>
      </c>
      <c r="AS18">
        <v>96</v>
      </c>
      <c r="AT18">
        <v>104</v>
      </c>
      <c r="AU18">
        <v>99</v>
      </c>
      <c r="AV18" s="20">
        <f t="shared" si="7"/>
        <v>99.5</v>
      </c>
      <c r="AW18">
        <v>30</v>
      </c>
      <c r="AX18">
        <v>0</v>
      </c>
      <c r="AY18">
        <v>0</v>
      </c>
      <c r="AZ18" s="20">
        <f t="shared" si="8"/>
        <v>20</v>
      </c>
      <c r="BA18">
        <v>30</v>
      </c>
      <c r="BB18">
        <v>0</v>
      </c>
      <c r="BC18">
        <v>0</v>
      </c>
      <c r="BD18" s="20">
        <f t="shared" si="9"/>
        <v>20</v>
      </c>
      <c r="BE18">
        <v>0</v>
      </c>
      <c r="BF18">
        <v>0</v>
      </c>
      <c r="BG18">
        <v>0</v>
      </c>
      <c r="BH18" s="20">
        <f t="shared" si="10"/>
        <v>0</v>
      </c>
      <c r="BI18">
        <v>34.76</v>
      </c>
      <c r="BJ18">
        <v>15.6</v>
      </c>
      <c r="BK18" s="17">
        <f t="shared" si="11"/>
        <v>55.12082853855005</v>
      </c>
      <c r="BL18" s="17">
        <f t="shared" si="12"/>
        <v>8.0483314154200194</v>
      </c>
      <c r="BM18" s="18">
        <f t="shared" si="13"/>
        <v>45514.048331415419</v>
      </c>
      <c r="BN18" s="175">
        <f t="shared" si="14"/>
        <v>96.048331415418943</v>
      </c>
      <c r="BO18">
        <v>6</v>
      </c>
      <c r="BP18" s="22">
        <f t="shared" si="15"/>
        <v>8.6867999999999999</v>
      </c>
      <c r="BQ18">
        <v>8880</v>
      </c>
      <c r="BR18" s="20">
        <v>8.8000000000000007</v>
      </c>
      <c r="BS18" s="20">
        <f t="shared" si="18"/>
        <v>10777.843521004961</v>
      </c>
      <c r="BT18" s="20">
        <f t="shared" si="16"/>
        <v>200.35734750586147</v>
      </c>
      <c r="BU18">
        <v>38.1</v>
      </c>
      <c r="BV18" s="22">
        <v>4.59</v>
      </c>
      <c r="BW18" s="22">
        <v>4.82</v>
      </c>
      <c r="BX18" s="159">
        <f t="shared" si="17"/>
        <v>49.606473988439312</v>
      </c>
      <c r="BZ18" s="23" t="s">
        <v>39</v>
      </c>
      <c r="CA18" s="21">
        <v>98.5625</v>
      </c>
    </row>
    <row r="19" spans="2:80" x14ac:dyDescent="0.3">
      <c r="B19" s="63">
        <v>2024</v>
      </c>
      <c r="C19" t="s">
        <v>105</v>
      </c>
      <c r="D19">
        <v>115</v>
      </c>
      <c r="E19">
        <v>1</v>
      </c>
      <c r="F19">
        <v>15</v>
      </c>
      <c r="G19" t="s">
        <v>106</v>
      </c>
      <c r="H19">
        <v>6</v>
      </c>
      <c r="I19" t="s">
        <v>35</v>
      </c>
      <c r="J19">
        <v>35</v>
      </c>
      <c r="K19">
        <v>52</v>
      </c>
      <c r="L19" s="21">
        <f t="shared" si="0"/>
        <v>180.27351844177375</v>
      </c>
      <c r="M19">
        <v>78</v>
      </c>
      <c r="N19">
        <v>76</v>
      </c>
      <c r="O19">
        <v>65</v>
      </c>
      <c r="P19">
        <v>64</v>
      </c>
      <c r="Q19" s="20">
        <f t="shared" si="1"/>
        <v>70.75</v>
      </c>
      <c r="R19">
        <v>81</v>
      </c>
      <c r="S19">
        <v>96</v>
      </c>
      <c r="T19">
        <v>84</v>
      </c>
      <c r="U19">
        <v>79</v>
      </c>
      <c r="V19" s="20">
        <f t="shared" si="2"/>
        <v>85</v>
      </c>
      <c r="W19">
        <v>90</v>
      </c>
      <c r="X19">
        <v>96</v>
      </c>
      <c r="Y19">
        <v>90</v>
      </c>
      <c r="Z19">
        <v>98</v>
      </c>
      <c r="AA19" s="20">
        <f t="shared" si="3"/>
        <v>93.5</v>
      </c>
      <c r="AB19">
        <v>95</v>
      </c>
      <c r="AC19">
        <v>95</v>
      </c>
      <c r="AD19">
        <v>100</v>
      </c>
      <c r="AE19">
        <v>100</v>
      </c>
      <c r="AF19" s="20">
        <f t="shared" si="4"/>
        <v>97.5</v>
      </c>
      <c r="AG19" s="20"/>
      <c r="AH19" s="20"/>
      <c r="AI19" s="20"/>
      <c r="AJ19" s="20"/>
      <c r="AK19" s="20" t="e">
        <f t="shared" si="5"/>
        <v>#DIV/0!</v>
      </c>
      <c r="AL19" s="20"/>
      <c r="AM19" s="20"/>
      <c r="AN19" s="20"/>
      <c r="AO19" s="20"/>
      <c r="AP19" s="20" t="e">
        <f t="shared" si="6"/>
        <v>#DIV/0!</v>
      </c>
      <c r="AQ19" s="147">
        <v>45481</v>
      </c>
      <c r="AR19">
        <v>92</v>
      </c>
      <c r="AS19">
        <v>93</v>
      </c>
      <c r="AT19">
        <v>98</v>
      </c>
      <c r="AU19">
        <v>92</v>
      </c>
      <c r="AV19" s="20">
        <f t="shared" si="7"/>
        <v>93.75</v>
      </c>
      <c r="AW19">
        <v>5</v>
      </c>
      <c r="AX19">
        <v>0</v>
      </c>
      <c r="AY19">
        <v>0</v>
      </c>
      <c r="AZ19" s="20">
        <f t="shared" si="8"/>
        <v>3.3333333333333335</v>
      </c>
      <c r="BA19">
        <v>10</v>
      </c>
      <c r="BB19">
        <v>0</v>
      </c>
      <c r="BC19">
        <v>0</v>
      </c>
      <c r="BD19" s="20">
        <f t="shared" si="9"/>
        <v>6.666666666666667</v>
      </c>
      <c r="BE19">
        <v>0</v>
      </c>
      <c r="BF19">
        <v>0</v>
      </c>
      <c r="BG19">
        <v>0</v>
      </c>
      <c r="BH19" s="20">
        <f t="shared" si="10"/>
        <v>0</v>
      </c>
      <c r="BI19">
        <v>30.77</v>
      </c>
      <c r="BJ19">
        <v>13.4</v>
      </c>
      <c r="BK19" s="17">
        <f t="shared" si="11"/>
        <v>56.451088722781925</v>
      </c>
      <c r="BL19" s="17">
        <f t="shared" si="12"/>
        <v>8.5804354891127694</v>
      </c>
      <c r="BM19" s="18">
        <f t="shared" si="13"/>
        <v>45514.580435489115</v>
      </c>
      <c r="BN19" s="175">
        <f t="shared" si="14"/>
        <v>96.580435489115189</v>
      </c>
      <c r="BO19">
        <v>6</v>
      </c>
      <c r="BP19" s="22">
        <f t="shared" si="15"/>
        <v>8.6867999999999999</v>
      </c>
      <c r="BQ19">
        <v>9180</v>
      </c>
      <c r="BR19" s="20">
        <v>3.1</v>
      </c>
      <c r="BS19" s="20">
        <f t="shared" si="18"/>
        <v>11838.332347184927</v>
      </c>
      <c r="BT19" s="20">
        <f t="shared" si="16"/>
        <v>220.07156286433516</v>
      </c>
      <c r="BU19">
        <v>19.5</v>
      </c>
      <c r="BV19" s="22">
        <v>4.8600000000000003</v>
      </c>
      <c r="BW19" s="22">
        <v>4.58</v>
      </c>
      <c r="BX19" s="159">
        <f t="shared" si="17"/>
        <v>52.8749132947977</v>
      </c>
      <c r="BZ19" s="23" t="s">
        <v>33</v>
      </c>
      <c r="CA19" s="21">
        <v>93.333333333333329</v>
      </c>
    </row>
    <row r="20" spans="2:80" x14ac:dyDescent="0.3">
      <c r="B20" s="63">
        <v>2024</v>
      </c>
      <c r="C20" t="s">
        <v>105</v>
      </c>
      <c r="D20">
        <v>116</v>
      </c>
      <c r="E20">
        <v>1</v>
      </c>
      <c r="F20">
        <v>16</v>
      </c>
      <c r="G20" t="s">
        <v>106</v>
      </c>
      <c r="H20">
        <v>7</v>
      </c>
      <c r="I20" t="s">
        <v>34</v>
      </c>
      <c r="J20">
        <v>54</v>
      </c>
      <c r="K20">
        <v>39</v>
      </c>
      <c r="L20" s="21">
        <f t="shared" si="0"/>
        <v>192.70617488603401</v>
      </c>
      <c r="M20">
        <v>70</v>
      </c>
      <c r="N20">
        <v>73</v>
      </c>
      <c r="O20">
        <v>72</v>
      </c>
      <c r="P20">
        <v>71</v>
      </c>
      <c r="Q20" s="20">
        <f t="shared" si="1"/>
        <v>71.5</v>
      </c>
      <c r="R20">
        <v>94</v>
      </c>
      <c r="S20">
        <v>97</v>
      </c>
      <c r="T20">
        <v>88</v>
      </c>
      <c r="U20">
        <v>84</v>
      </c>
      <c r="V20" s="20">
        <f t="shared" si="2"/>
        <v>90.75</v>
      </c>
      <c r="W20">
        <v>96</v>
      </c>
      <c r="X20">
        <v>101</v>
      </c>
      <c r="Y20">
        <v>100</v>
      </c>
      <c r="Z20">
        <v>92</v>
      </c>
      <c r="AA20" s="20">
        <f t="shared" si="3"/>
        <v>97.25</v>
      </c>
      <c r="AB20">
        <v>100</v>
      </c>
      <c r="AC20">
        <v>110</v>
      </c>
      <c r="AD20">
        <v>100</v>
      </c>
      <c r="AE20">
        <v>90</v>
      </c>
      <c r="AF20" s="20">
        <f t="shared" si="4"/>
        <v>100</v>
      </c>
      <c r="AG20" s="20"/>
      <c r="AH20" s="20"/>
      <c r="AI20" s="20"/>
      <c r="AJ20" s="20"/>
      <c r="AK20" s="20" t="e">
        <f t="shared" si="5"/>
        <v>#DIV/0!</v>
      </c>
      <c r="AL20" s="20"/>
      <c r="AM20" s="20"/>
      <c r="AN20" s="20"/>
      <c r="AO20" s="20"/>
      <c r="AP20" s="20" t="e">
        <f t="shared" si="6"/>
        <v>#DIV/0!</v>
      </c>
      <c r="AQ20" s="147">
        <v>45481</v>
      </c>
      <c r="AR20">
        <v>97</v>
      </c>
      <c r="AS20">
        <v>98</v>
      </c>
      <c r="AT20">
        <v>105</v>
      </c>
      <c r="AU20">
        <v>103</v>
      </c>
      <c r="AV20" s="20">
        <f t="shared" si="7"/>
        <v>100.75</v>
      </c>
      <c r="AW20">
        <v>40</v>
      </c>
      <c r="AX20">
        <v>0</v>
      </c>
      <c r="AY20">
        <v>0</v>
      </c>
      <c r="AZ20" s="20">
        <f t="shared" si="8"/>
        <v>26.666666666666668</v>
      </c>
      <c r="BA20">
        <v>60</v>
      </c>
      <c r="BB20">
        <v>0</v>
      </c>
      <c r="BC20">
        <v>0</v>
      </c>
      <c r="BD20" s="20">
        <f t="shared" si="9"/>
        <v>40</v>
      </c>
      <c r="BE20">
        <v>0</v>
      </c>
      <c r="BF20">
        <v>0</v>
      </c>
      <c r="BG20">
        <v>0</v>
      </c>
      <c r="BH20" s="20">
        <f t="shared" si="10"/>
        <v>0</v>
      </c>
      <c r="BI20">
        <v>34.799999999999997</v>
      </c>
      <c r="BJ20">
        <v>15.6</v>
      </c>
      <c r="BK20" s="17">
        <f t="shared" si="11"/>
        <v>55.172413793103438</v>
      </c>
      <c r="BL20" s="17">
        <f t="shared" si="12"/>
        <v>8.0689655172413755</v>
      </c>
      <c r="BM20" s="18">
        <f t="shared" si="13"/>
        <v>45514.068965517239</v>
      </c>
      <c r="BN20" s="175">
        <f t="shared" si="14"/>
        <v>96.068965517239121</v>
      </c>
      <c r="BO20">
        <v>6</v>
      </c>
      <c r="BP20" s="22">
        <f t="shared" si="15"/>
        <v>8.6867999999999999</v>
      </c>
      <c r="BQ20">
        <v>9540</v>
      </c>
      <c r="BR20" s="20">
        <v>15.4</v>
      </c>
      <c r="BS20" s="20">
        <f t="shared" si="18"/>
        <v>10740.952787047039</v>
      </c>
      <c r="BT20" s="20">
        <f t="shared" si="16"/>
        <v>199.67155822074625</v>
      </c>
      <c r="BU20">
        <v>50.5</v>
      </c>
      <c r="BV20" s="22">
        <v>4.8899999999999997</v>
      </c>
      <c r="BW20" s="22">
        <v>5.08</v>
      </c>
      <c r="BX20" s="159">
        <f t="shared" si="17"/>
        <v>48.755028901734093</v>
      </c>
      <c r="BZ20" s="23" t="s">
        <v>36</v>
      </c>
      <c r="CA20" s="21">
        <v>93.25</v>
      </c>
    </row>
    <row r="21" spans="2:80" x14ac:dyDescent="0.3">
      <c r="B21" s="63">
        <v>2024</v>
      </c>
      <c r="C21" t="s">
        <v>105</v>
      </c>
      <c r="D21">
        <v>117</v>
      </c>
      <c r="E21">
        <v>1</v>
      </c>
      <c r="F21">
        <v>17</v>
      </c>
      <c r="G21" t="s">
        <v>106</v>
      </c>
      <c r="H21">
        <v>8</v>
      </c>
      <c r="I21" t="s">
        <v>38</v>
      </c>
      <c r="J21">
        <v>38</v>
      </c>
      <c r="K21">
        <v>48</v>
      </c>
      <c r="L21" s="21">
        <f t="shared" si="0"/>
        <v>178.20140903439702</v>
      </c>
      <c r="M21">
        <v>75</v>
      </c>
      <c r="N21">
        <v>76</v>
      </c>
      <c r="O21">
        <v>68</v>
      </c>
      <c r="P21">
        <v>60</v>
      </c>
      <c r="Q21" s="20">
        <f t="shared" si="1"/>
        <v>69.75</v>
      </c>
      <c r="R21">
        <v>87</v>
      </c>
      <c r="S21">
        <v>81</v>
      </c>
      <c r="T21">
        <v>97</v>
      </c>
      <c r="U21">
        <v>91</v>
      </c>
      <c r="V21" s="20">
        <f t="shared" si="2"/>
        <v>89</v>
      </c>
      <c r="W21">
        <v>101</v>
      </c>
      <c r="X21">
        <v>104</v>
      </c>
      <c r="Y21">
        <v>105</v>
      </c>
      <c r="Z21">
        <v>107</v>
      </c>
      <c r="AA21" s="20">
        <f t="shared" si="3"/>
        <v>104.25</v>
      </c>
      <c r="AB21">
        <v>100</v>
      </c>
      <c r="AC21">
        <v>100</v>
      </c>
      <c r="AD21">
        <v>110</v>
      </c>
      <c r="AE21">
        <v>100</v>
      </c>
      <c r="AF21" s="20">
        <f t="shared" si="4"/>
        <v>102.5</v>
      </c>
      <c r="AG21" s="20"/>
      <c r="AH21" s="20"/>
      <c r="AI21" s="20"/>
      <c r="AJ21" s="20"/>
      <c r="AK21" s="20" t="e">
        <f t="shared" si="5"/>
        <v>#DIV/0!</v>
      </c>
      <c r="AL21" s="20"/>
      <c r="AM21" s="20"/>
      <c r="AN21" s="20"/>
      <c r="AO21" s="20"/>
      <c r="AP21" s="20" t="e">
        <f t="shared" si="6"/>
        <v>#DIV/0!</v>
      </c>
      <c r="AQ21" s="147">
        <v>45481</v>
      </c>
      <c r="AR21">
        <v>103</v>
      </c>
      <c r="AS21">
        <v>103</v>
      </c>
      <c r="AT21">
        <v>103</v>
      </c>
      <c r="AU21">
        <v>102</v>
      </c>
      <c r="AV21" s="20">
        <f t="shared" si="7"/>
        <v>102.75</v>
      </c>
      <c r="AW21">
        <v>50</v>
      </c>
      <c r="AX21">
        <v>0</v>
      </c>
      <c r="AY21">
        <v>0</v>
      </c>
      <c r="AZ21" s="20">
        <f t="shared" si="8"/>
        <v>33.333333333333336</v>
      </c>
      <c r="BA21">
        <v>70</v>
      </c>
      <c r="BB21">
        <v>0</v>
      </c>
      <c r="BC21">
        <v>0</v>
      </c>
      <c r="BD21" s="20">
        <f t="shared" si="9"/>
        <v>46.666666666666664</v>
      </c>
      <c r="BE21">
        <v>0</v>
      </c>
      <c r="BF21">
        <v>0</v>
      </c>
      <c r="BG21">
        <v>0</v>
      </c>
      <c r="BH21" s="20">
        <f t="shared" si="10"/>
        <v>0</v>
      </c>
      <c r="BI21">
        <v>20.13</v>
      </c>
      <c r="BJ21">
        <v>9</v>
      </c>
      <c r="BK21" s="17">
        <f t="shared" si="11"/>
        <v>55.290611028315936</v>
      </c>
      <c r="BL21" s="17">
        <f t="shared" si="12"/>
        <v>8.1162444113263739</v>
      </c>
      <c r="BM21" s="18">
        <f t="shared" si="13"/>
        <v>45514.116244411329</v>
      </c>
      <c r="BN21" s="175">
        <f t="shared" si="14"/>
        <v>96.116244411328807</v>
      </c>
      <c r="BO21">
        <v>6</v>
      </c>
      <c r="BP21" s="22">
        <f t="shared" si="15"/>
        <v>8.6867999999999999</v>
      </c>
      <c r="BQ21">
        <v>9310</v>
      </c>
      <c r="BR21" s="20">
        <v>12.6</v>
      </c>
      <c r="BS21" s="20">
        <f t="shared" si="18"/>
        <v>10828.92095135507</v>
      </c>
      <c r="BT21" s="20">
        <f t="shared" si="16"/>
        <v>201.30686383929299</v>
      </c>
      <c r="BU21">
        <v>47.9</v>
      </c>
      <c r="BV21" s="22">
        <v>4.3899999999999997</v>
      </c>
      <c r="BW21" s="22">
        <v>4.4800000000000004</v>
      </c>
      <c r="BX21" s="159">
        <f t="shared" si="17"/>
        <v>44.811445086705213</v>
      </c>
      <c r="BZ21" s="23" t="s">
        <v>37</v>
      </c>
      <c r="CA21" s="21">
        <v>99.0625</v>
      </c>
    </row>
    <row r="22" spans="2:80" x14ac:dyDescent="0.3">
      <c r="B22" s="63">
        <v>2024</v>
      </c>
      <c r="C22" t="s">
        <v>105</v>
      </c>
      <c r="D22">
        <v>118</v>
      </c>
      <c r="E22">
        <v>1</v>
      </c>
      <c r="F22">
        <v>18</v>
      </c>
      <c r="G22" t="s">
        <v>106</v>
      </c>
      <c r="H22">
        <v>9</v>
      </c>
      <c r="I22" t="s">
        <v>33</v>
      </c>
      <c r="J22">
        <v>47</v>
      </c>
      <c r="K22">
        <v>34</v>
      </c>
      <c r="L22" s="21">
        <f t="shared" si="0"/>
        <v>167.84086199751349</v>
      </c>
      <c r="M22">
        <v>71</v>
      </c>
      <c r="N22">
        <v>75</v>
      </c>
      <c r="O22">
        <v>73</v>
      </c>
      <c r="P22">
        <v>60</v>
      </c>
      <c r="Q22" s="20">
        <f t="shared" si="1"/>
        <v>69.75</v>
      </c>
      <c r="R22">
        <v>96</v>
      </c>
      <c r="S22">
        <v>91</v>
      </c>
      <c r="T22">
        <v>97</v>
      </c>
      <c r="U22">
        <v>77</v>
      </c>
      <c r="V22" s="20">
        <f t="shared" si="2"/>
        <v>90.25</v>
      </c>
      <c r="W22">
        <v>93</v>
      </c>
      <c r="X22">
        <v>95</v>
      </c>
      <c r="Y22">
        <v>90</v>
      </c>
      <c r="Z22">
        <v>97</v>
      </c>
      <c r="AA22" s="20">
        <f t="shared" si="3"/>
        <v>93.75</v>
      </c>
      <c r="AB22">
        <v>100</v>
      </c>
      <c r="AC22">
        <v>100</v>
      </c>
      <c r="AD22">
        <v>110</v>
      </c>
      <c r="AE22">
        <v>105</v>
      </c>
      <c r="AF22" s="20">
        <f t="shared" si="4"/>
        <v>103.75</v>
      </c>
      <c r="AG22" s="20"/>
      <c r="AH22" s="20"/>
      <c r="AI22" s="20"/>
      <c r="AJ22" s="20"/>
      <c r="AK22" s="20" t="e">
        <f t="shared" si="5"/>
        <v>#DIV/0!</v>
      </c>
      <c r="AL22" s="20"/>
      <c r="AM22" s="20"/>
      <c r="AN22" s="20"/>
      <c r="AO22" s="20"/>
      <c r="AP22" s="20" t="e">
        <f t="shared" si="6"/>
        <v>#DIV/0!</v>
      </c>
      <c r="AQ22" s="147">
        <v>45481</v>
      </c>
      <c r="AR22">
        <v>108</v>
      </c>
      <c r="AS22">
        <v>100</v>
      </c>
      <c r="AT22">
        <v>98</v>
      </c>
      <c r="AU22">
        <v>108</v>
      </c>
      <c r="AV22" s="20">
        <f t="shared" si="7"/>
        <v>103.5</v>
      </c>
      <c r="AW22">
        <v>10</v>
      </c>
      <c r="AX22">
        <v>0</v>
      </c>
      <c r="AY22">
        <v>0</v>
      </c>
      <c r="AZ22" s="20">
        <f t="shared" si="8"/>
        <v>6.666666666666667</v>
      </c>
      <c r="BA22">
        <v>50</v>
      </c>
      <c r="BB22">
        <v>0</v>
      </c>
      <c r="BC22">
        <v>0</v>
      </c>
      <c r="BD22" s="20">
        <f t="shared" si="9"/>
        <v>33.333333333333336</v>
      </c>
      <c r="BE22">
        <v>0</v>
      </c>
      <c r="BF22">
        <v>0</v>
      </c>
      <c r="BG22">
        <v>0</v>
      </c>
      <c r="BH22" s="20">
        <f t="shared" si="10"/>
        <v>0</v>
      </c>
      <c r="BI22">
        <v>31.28</v>
      </c>
      <c r="BJ22">
        <v>15.7</v>
      </c>
      <c r="BK22" s="17">
        <f t="shared" si="11"/>
        <v>49.808184143222512</v>
      </c>
      <c r="BL22" s="17">
        <f t="shared" si="12"/>
        <v>5.9232736572890046</v>
      </c>
      <c r="BM22" s="18">
        <f t="shared" si="13"/>
        <v>45511.923273657289</v>
      </c>
      <c r="BN22" s="175">
        <f t="shared" si="14"/>
        <v>93.923273657288519</v>
      </c>
      <c r="BO22">
        <v>6</v>
      </c>
      <c r="BP22" s="22">
        <f t="shared" si="15"/>
        <v>8.6867999999999999</v>
      </c>
      <c r="BQ22">
        <v>9240</v>
      </c>
      <c r="BR22" s="20">
        <v>14.1</v>
      </c>
      <c r="BS22" s="20">
        <f t="shared" si="18"/>
        <v>10563.046823284601</v>
      </c>
      <c r="BT22" s="20">
        <f t="shared" si="16"/>
        <v>196.36433197131632</v>
      </c>
      <c r="BU22">
        <v>48.8</v>
      </c>
      <c r="BV22" s="22">
        <v>4.45</v>
      </c>
      <c r="BW22" s="22">
        <v>5</v>
      </c>
      <c r="BX22" s="159">
        <f t="shared" si="17"/>
        <v>46.922254335260121</v>
      </c>
      <c r="BZ22" s="23" t="s">
        <v>272</v>
      </c>
      <c r="CA22">
        <v>95.041666666666671</v>
      </c>
    </row>
    <row r="23" spans="2:80" x14ac:dyDescent="0.3">
      <c r="B23" s="63">
        <v>2024</v>
      </c>
      <c r="C23" t="s">
        <v>105</v>
      </c>
      <c r="D23">
        <v>119</v>
      </c>
      <c r="E23">
        <v>1</v>
      </c>
      <c r="F23">
        <v>19</v>
      </c>
      <c r="G23" t="s">
        <v>41</v>
      </c>
      <c r="H23">
        <v>1</v>
      </c>
      <c r="I23" t="s">
        <v>37</v>
      </c>
      <c r="J23">
        <v>38</v>
      </c>
      <c r="K23">
        <v>49</v>
      </c>
      <c r="L23" s="21">
        <f t="shared" si="0"/>
        <v>180.27351844177375</v>
      </c>
      <c r="M23">
        <v>66</v>
      </c>
      <c r="N23">
        <v>65</v>
      </c>
      <c r="O23">
        <v>63</v>
      </c>
      <c r="P23">
        <v>47</v>
      </c>
      <c r="Q23" s="20">
        <f t="shared" si="1"/>
        <v>60.25</v>
      </c>
      <c r="R23">
        <v>86</v>
      </c>
      <c r="S23">
        <v>86</v>
      </c>
      <c r="T23">
        <v>80</v>
      </c>
      <c r="U23">
        <v>85</v>
      </c>
      <c r="V23" s="20">
        <f t="shared" si="2"/>
        <v>84.25</v>
      </c>
      <c r="W23">
        <v>80</v>
      </c>
      <c r="X23">
        <v>84</v>
      </c>
      <c r="Y23">
        <v>90</v>
      </c>
      <c r="Z23">
        <v>82</v>
      </c>
      <c r="AA23" s="20">
        <f t="shared" si="3"/>
        <v>84</v>
      </c>
      <c r="AB23">
        <v>75</v>
      </c>
      <c r="AC23">
        <v>90</v>
      </c>
      <c r="AD23">
        <v>70</v>
      </c>
      <c r="AE23">
        <v>99</v>
      </c>
      <c r="AF23" s="20">
        <f t="shared" si="4"/>
        <v>83.5</v>
      </c>
      <c r="AG23" s="20"/>
      <c r="AH23" s="20"/>
      <c r="AI23" s="20"/>
      <c r="AJ23" s="20"/>
      <c r="AK23" s="20" t="e">
        <f t="shared" si="5"/>
        <v>#DIV/0!</v>
      </c>
      <c r="AL23" s="20"/>
      <c r="AM23" s="20"/>
      <c r="AN23" s="20"/>
      <c r="AO23" s="20"/>
      <c r="AP23" s="20" t="e">
        <f t="shared" si="6"/>
        <v>#DIV/0!</v>
      </c>
      <c r="AQ23" s="147">
        <v>45480</v>
      </c>
      <c r="AR23">
        <v>77</v>
      </c>
      <c r="AS23">
        <v>88</v>
      </c>
      <c r="AT23">
        <v>78</v>
      </c>
      <c r="AU23">
        <v>80</v>
      </c>
      <c r="AV23" s="20">
        <f t="shared" si="7"/>
        <v>80.75</v>
      </c>
      <c r="AW23">
        <v>0</v>
      </c>
      <c r="AX23">
        <v>0</v>
      </c>
      <c r="AY23">
        <v>0</v>
      </c>
      <c r="AZ23" s="20">
        <f t="shared" si="8"/>
        <v>0</v>
      </c>
      <c r="BA23">
        <v>10</v>
      </c>
      <c r="BB23">
        <v>0</v>
      </c>
      <c r="BC23">
        <v>0</v>
      </c>
      <c r="BD23" s="20">
        <f t="shared" si="9"/>
        <v>6.666666666666667</v>
      </c>
      <c r="BE23">
        <v>0</v>
      </c>
      <c r="BF23">
        <v>0</v>
      </c>
      <c r="BG23">
        <v>0</v>
      </c>
      <c r="BH23" s="20">
        <f t="shared" si="10"/>
        <v>0</v>
      </c>
      <c r="BI23">
        <v>32.950000000000003</v>
      </c>
      <c r="BJ23">
        <v>16.7</v>
      </c>
      <c r="BK23" s="17">
        <f t="shared" si="11"/>
        <v>49.317147192716241</v>
      </c>
      <c r="BL23" s="17">
        <f t="shared" si="12"/>
        <v>5.7268588770864968</v>
      </c>
      <c r="BM23" s="18">
        <f t="shared" si="13"/>
        <v>45511.726858877089</v>
      </c>
      <c r="BN23" s="175">
        <f t="shared" si="14"/>
        <v>93.726858877089398</v>
      </c>
      <c r="BO23">
        <v>6</v>
      </c>
      <c r="BP23" s="22">
        <f t="shared" si="15"/>
        <v>8.6867999999999999</v>
      </c>
      <c r="BQ23">
        <v>8660</v>
      </c>
      <c r="BR23" s="20">
        <v>7</v>
      </c>
      <c r="BS23" s="20">
        <f t="shared" si="18"/>
        <v>10718.275366172475</v>
      </c>
      <c r="BT23" s="20">
        <f t="shared" si="16"/>
        <v>199.24999078141141</v>
      </c>
      <c r="BU23">
        <v>34.299999999999997</v>
      </c>
      <c r="BV23" s="22">
        <v>5.08</v>
      </c>
      <c r="BW23" s="22">
        <v>5.28</v>
      </c>
      <c r="BX23" s="159">
        <f t="shared" si="17"/>
        <v>55.692485549132947</v>
      </c>
    </row>
    <row r="24" spans="2:80" x14ac:dyDescent="0.3">
      <c r="B24" s="63">
        <v>2024</v>
      </c>
      <c r="C24" t="s">
        <v>105</v>
      </c>
      <c r="D24">
        <v>120</v>
      </c>
      <c r="E24">
        <v>1</v>
      </c>
      <c r="F24">
        <v>20</v>
      </c>
      <c r="G24" t="s">
        <v>41</v>
      </c>
      <c r="H24">
        <v>2</v>
      </c>
      <c r="I24" t="s">
        <v>32</v>
      </c>
      <c r="J24">
        <v>57</v>
      </c>
      <c r="K24">
        <v>48</v>
      </c>
      <c r="L24" s="21">
        <f t="shared" si="0"/>
        <v>217.5714877745545</v>
      </c>
      <c r="M24">
        <v>60</v>
      </c>
      <c r="N24">
        <v>62</v>
      </c>
      <c r="O24">
        <v>69</v>
      </c>
      <c r="P24">
        <v>68</v>
      </c>
      <c r="Q24" s="20">
        <f t="shared" si="1"/>
        <v>64.75</v>
      </c>
      <c r="R24">
        <v>90</v>
      </c>
      <c r="S24">
        <v>80</v>
      </c>
      <c r="T24">
        <v>87</v>
      </c>
      <c r="U24">
        <v>83</v>
      </c>
      <c r="V24" s="20">
        <f t="shared" si="2"/>
        <v>85</v>
      </c>
      <c r="W24">
        <v>85</v>
      </c>
      <c r="X24">
        <v>85</v>
      </c>
      <c r="Y24">
        <v>84</v>
      </c>
      <c r="Z24">
        <v>80</v>
      </c>
      <c r="AA24" s="20">
        <f t="shared" si="3"/>
        <v>83.5</v>
      </c>
      <c r="AB24">
        <v>90</v>
      </c>
      <c r="AC24">
        <v>85</v>
      </c>
      <c r="AD24">
        <v>90</v>
      </c>
      <c r="AE24">
        <v>85</v>
      </c>
      <c r="AF24" s="20">
        <f t="shared" si="4"/>
        <v>87.5</v>
      </c>
      <c r="AG24" s="20"/>
      <c r="AH24" s="20"/>
      <c r="AI24" s="20"/>
      <c r="AJ24" s="20"/>
      <c r="AK24" s="20" t="e">
        <f t="shared" si="5"/>
        <v>#DIV/0!</v>
      </c>
      <c r="AL24" s="20"/>
      <c r="AM24" s="20"/>
      <c r="AN24" s="20"/>
      <c r="AO24" s="20"/>
      <c r="AP24" s="20" t="e">
        <f t="shared" si="6"/>
        <v>#DIV/0!</v>
      </c>
      <c r="AQ24" s="147">
        <v>45480</v>
      </c>
      <c r="AR24">
        <v>83</v>
      </c>
      <c r="AS24">
        <v>88</v>
      </c>
      <c r="AT24">
        <v>85</v>
      </c>
      <c r="AU24">
        <v>83</v>
      </c>
      <c r="AV24" s="20">
        <f t="shared" si="7"/>
        <v>84.75</v>
      </c>
      <c r="AW24">
        <v>0</v>
      </c>
      <c r="AX24">
        <v>0</v>
      </c>
      <c r="AY24">
        <v>0</v>
      </c>
      <c r="AZ24" s="20">
        <f t="shared" si="8"/>
        <v>0</v>
      </c>
      <c r="BA24">
        <v>5</v>
      </c>
      <c r="BB24">
        <v>0</v>
      </c>
      <c r="BC24">
        <v>0</v>
      </c>
      <c r="BD24" s="20">
        <f t="shared" si="9"/>
        <v>3.3333333333333335</v>
      </c>
      <c r="BE24">
        <v>0</v>
      </c>
      <c r="BF24">
        <v>0</v>
      </c>
      <c r="BG24">
        <v>0</v>
      </c>
      <c r="BH24" s="20">
        <f t="shared" si="10"/>
        <v>0</v>
      </c>
      <c r="BI24">
        <v>29.08</v>
      </c>
      <c r="BJ24">
        <v>10.5</v>
      </c>
      <c r="BK24" s="17">
        <f t="shared" si="11"/>
        <v>63.892709766162305</v>
      </c>
      <c r="BL24" s="17">
        <f t="shared" si="12"/>
        <v>11.557083906464921</v>
      </c>
      <c r="BM24" s="18">
        <f t="shared" si="13"/>
        <v>45517.557083906468</v>
      </c>
      <c r="BN24" s="175">
        <f t="shared" si="14"/>
        <v>99.557083906467597</v>
      </c>
      <c r="BO24">
        <v>6</v>
      </c>
      <c r="BP24" s="22">
        <f t="shared" si="15"/>
        <v>8.6867999999999999</v>
      </c>
      <c r="BQ24">
        <v>9780</v>
      </c>
      <c r="BR24" s="20">
        <v>14.6</v>
      </c>
      <c r="BS24" s="20">
        <f t="shared" si="18"/>
        <v>11115.28993162438</v>
      </c>
      <c r="BT24" s="20">
        <f t="shared" si="16"/>
        <v>206.63038975455578</v>
      </c>
      <c r="BU24">
        <v>55.9</v>
      </c>
      <c r="BV24" s="22">
        <v>5.68</v>
      </c>
      <c r="BW24" s="22">
        <v>5.69</v>
      </c>
      <c r="BX24" s="159">
        <f t="shared" si="17"/>
        <v>56.127052023121401</v>
      </c>
    </row>
    <row r="25" spans="2:80" x14ac:dyDescent="0.3">
      <c r="B25" s="63">
        <v>2024</v>
      </c>
      <c r="C25" t="s">
        <v>105</v>
      </c>
      <c r="D25">
        <v>121</v>
      </c>
      <c r="E25">
        <v>1</v>
      </c>
      <c r="F25">
        <v>21</v>
      </c>
      <c r="G25" t="s">
        <v>41</v>
      </c>
      <c r="H25">
        <v>3</v>
      </c>
      <c r="I25" t="s">
        <v>39</v>
      </c>
      <c r="J25">
        <v>29</v>
      </c>
      <c r="K25">
        <v>39</v>
      </c>
      <c r="L25" s="21">
        <f t="shared" si="0"/>
        <v>140.90343970161626</v>
      </c>
      <c r="M25">
        <v>62</v>
      </c>
      <c r="N25">
        <v>64</v>
      </c>
      <c r="O25">
        <v>63</v>
      </c>
      <c r="P25">
        <v>65</v>
      </c>
      <c r="Q25" s="20">
        <f t="shared" si="1"/>
        <v>63.5</v>
      </c>
      <c r="R25">
        <v>88</v>
      </c>
      <c r="S25">
        <v>86</v>
      </c>
      <c r="T25">
        <v>87</v>
      </c>
      <c r="U25">
        <v>91</v>
      </c>
      <c r="V25" s="20">
        <f t="shared" si="2"/>
        <v>88</v>
      </c>
      <c r="W25">
        <v>90</v>
      </c>
      <c r="X25">
        <v>92</v>
      </c>
      <c r="Y25">
        <v>89</v>
      </c>
      <c r="Z25">
        <v>80</v>
      </c>
      <c r="AA25" s="20">
        <f t="shared" si="3"/>
        <v>87.75</v>
      </c>
      <c r="AB25">
        <v>85</v>
      </c>
      <c r="AC25">
        <v>85</v>
      </c>
      <c r="AD25">
        <v>80</v>
      </c>
      <c r="AE25">
        <v>85</v>
      </c>
      <c r="AF25" s="20">
        <f t="shared" si="4"/>
        <v>83.75</v>
      </c>
      <c r="AG25" s="20"/>
      <c r="AH25" s="20"/>
      <c r="AI25" s="20"/>
      <c r="AJ25" s="20"/>
      <c r="AK25" s="20" t="e">
        <f t="shared" si="5"/>
        <v>#DIV/0!</v>
      </c>
      <c r="AL25" s="20"/>
      <c r="AM25" s="20"/>
      <c r="AN25" s="20"/>
      <c r="AO25" s="20"/>
      <c r="AP25" s="20" t="e">
        <f t="shared" si="6"/>
        <v>#DIV/0!</v>
      </c>
      <c r="AQ25" s="147">
        <v>45480</v>
      </c>
      <c r="AR25">
        <v>85</v>
      </c>
      <c r="AS25">
        <v>87</v>
      </c>
      <c r="AT25">
        <v>84</v>
      </c>
      <c r="AU25">
        <v>86</v>
      </c>
      <c r="AV25" s="20">
        <f t="shared" si="7"/>
        <v>85.5</v>
      </c>
      <c r="AW25">
        <v>5</v>
      </c>
      <c r="AX25">
        <v>0</v>
      </c>
      <c r="AY25">
        <v>0</v>
      </c>
      <c r="AZ25" s="20">
        <f t="shared" si="8"/>
        <v>3.3333333333333335</v>
      </c>
      <c r="BA25">
        <v>0</v>
      </c>
      <c r="BB25">
        <v>0</v>
      </c>
      <c r="BC25">
        <v>0</v>
      </c>
      <c r="BD25" s="20">
        <f t="shared" si="9"/>
        <v>0</v>
      </c>
      <c r="BE25">
        <v>0</v>
      </c>
      <c r="BF25">
        <v>0</v>
      </c>
      <c r="BG25">
        <v>0</v>
      </c>
      <c r="BH25" s="20">
        <f t="shared" si="10"/>
        <v>0</v>
      </c>
      <c r="BI25">
        <v>42.16</v>
      </c>
      <c r="BJ25">
        <v>21.8</v>
      </c>
      <c r="BK25" s="17">
        <f t="shared" si="11"/>
        <v>48.292220113851982</v>
      </c>
      <c r="BL25" s="17">
        <f t="shared" si="12"/>
        <v>5.316888045540793</v>
      </c>
      <c r="BM25" s="18">
        <f t="shared" si="13"/>
        <v>45511.316888045541</v>
      </c>
      <c r="BN25" s="175">
        <f t="shared" si="14"/>
        <v>93.316888045541418</v>
      </c>
      <c r="BO25">
        <v>6</v>
      </c>
      <c r="BP25" s="22">
        <f t="shared" si="15"/>
        <v>8.6867999999999999</v>
      </c>
      <c r="BQ25">
        <v>10040</v>
      </c>
      <c r="BR25" s="20">
        <v>16.600000000000001</v>
      </c>
      <c r="BS25" s="20">
        <f t="shared" si="18"/>
        <v>11143.556857644087</v>
      </c>
      <c r="BT25" s="20">
        <f t="shared" si="16"/>
        <v>207.1558646613324</v>
      </c>
      <c r="BU25">
        <v>62.1</v>
      </c>
      <c r="BV25" s="22">
        <v>5.23</v>
      </c>
      <c r="BW25" s="22">
        <v>5.33</v>
      </c>
      <c r="BX25" s="159">
        <f t="shared" si="17"/>
        <v>50.907745664739892</v>
      </c>
    </row>
    <row r="26" spans="2:80" x14ac:dyDescent="0.3">
      <c r="B26" s="63">
        <v>2024</v>
      </c>
      <c r="C26" t="s">
        <v>105</v>
      </c>
      <c r="D26">
        <v>122</v>
      </c>
      <c r="E26">
        <v>1</v>
      </c>
      <c r="F26">
        <v>22</v>
      </c>
      <c r="G26" t="s">
        <v>41</v>
      </c>
      <c r="H26">
        <v>4</v>
      </c>
      <c r="I26" t="s">
        <v>36</v>
      </c>
      <c r="J26">
        <v>53</v>
      </c>
      <c r="K26">
        <v>38</v>
      </c>
      <c r="L26" s="21">
        <f t="shared" si="0"/>
        <v>188.56195607128058</v>
      </c>
      <c r="M26">
        <v>65</v>
      </c>
      <c r="N26">
        <v>69</v>
      </c>
      <c r="O26">
        <v>63</v>
      </c>
      <c r="P26">
        <v>68</v>
      </c>
      <c r="Q26" s="20">
        <f t="shared" si="1"/>
        <v>66.25</v>
      </c>
      <c r="R26">
        <v>85</v>
      </c>
      <c r="S26">
        <v>82</v>
      </c>
      <c r="T26">
        <v>85</v>
      </c>
      <c r="U26">
        <v>88</v>
      </c>
      <c r="V26" s="20">
        <f t="shared" si="2"/>
        <v>85</v>
      </c>
      <c r="W26">
        <v>80</v>
      </c>
      <c r="X26">
        <v>86</v>
      </c>
      <c r="Y26">
        <v>80</v>
      </c>
      <c r="Z26">
        <v>84</v>
      </c>
      <c r="AA26" s="20">
        <f t="shared" si="3"/>
        <v>82.5</v>
      </c>
      <c r="AB26">
        <v>90</v>
      </c>
      <c r="AC26">
        <v>90</v>
      </c>
      <c r="AD26">
        <v>85</v>
      </c>
      <c r="AE26">
        <v>90</v>
      </c>
      <c r="AF26" s="20">
        <f t="shared" si="4"/>
        <v>88.75</v>
      </c>
      <c r="AG26" s="20"/>
      <c r="AH26" s="20"/>
      <c r="AI26" s="20"/>
      <c r="AJ26" s="20"/>
      <c r="AK26" s="20" t="e">
        <f t="shared" si="5"/>
        <v>#DIV/0!</v>
      </c>
      <c r="AL26" s="20"/>
      <c r="AM26" s="20"/>
      <c r="AN26" s="20"/>
      <c r="AO26" s="20"/>
      <c r="AP26" s="20" t="e">
        <f t="shared" si="6"/>
        <v>#DIV/0!</v>
      </c>
      <c r="AQ26" s="147">
        <v>45480</v>
      </c>
      <c r="AR26">
        <v>90</v>
      </c>
      <c r="AS26">
        <v>83</v>
      </c>
      <c r="AT26">
        <v>88</v>
      </c>
      <c r="AU26">
        <v>82</v>
      </c>
      <c r="AV26" s="20">
        <f t="shared" si="7"/>
        <v>85.75</v>
      </c>
      <c r="AW26">
        <v>5</v>
      </c>
      <c r="AX26">
        <v>0</v>
      </c>
      <c r="AY26">
        <v>0</v>
      </c>
      <c r="AZ26" s="20">
        <f t="shared" si="8"/>
        <v>3.3333333333333335</v>
      </c>
      <c r="BA26">
        <v>5</v>
      </c>
      <c r="BB26">
        <v>0</v>
      </c>
      <c r="BC26">
        <v>0</v>
      </c>
      <c r="BD26" s="20">
        <f t="shared" si="9"/>
        <v>3.3333333333333335</v>
      </c>
      <c r="BE26">
        <v>0</v>
      </c>
      <c r="BF26">
        <v>0</v>
      </c>
      <c r="BG26">
        <v>0</v>
      </c>
      <c r="BH26" s="20">
        <f t="shared" si="10"/>
        <v>0</v>
      </c>
      <c r="BI26">
        <v>28.9</v>
      </c>
      <c r="BJ26">
        <v>15.6</v>
      </c>
      <c r="BK26" s="17">
        <f t="shared" si="11"/>
        <v>46.020761245674741</v>
      </c>
      <c r="BL26" s="17">
        <f t="shared" si="12"/>
        <v>4.4083044982698967</v>
      </c>
      <c r="BM26" s="18">
        <f t="shared" si="13"/>
        <v>45510.408304498269</v>
      </c>
      <c r="BN26" s="175">
        <f t="shared" si="14"/>
        <v>92.40830449826899</v>
      </c>
      <c r="BO26">
        <v>6</v>
      </c>
      <c r="BP26" s="22">
        <f t="shared" si="15"/>
        <v>8.6867999999999999</v>
      </c>
      <c r="BQ26">
        <v>9150</v>
      </c>
      <c r="BR26" s="20">
        <v>7.2</v>
      </c>
      <c r="BS26" s="20">
        <f t="shared" si="18"/>
        <v>11300.382402002002</v>
      </c>
      <c r="BT26" s="20">
        <f t="shared" si="16"/>
        <v>210.071211319268</v>
      </c>
      <c r="BU26">
        <v>43.8</v>
      </c>
      <c r="BV26" s="22">
        <v>5.44</v>
      </c>
      <c r="BW26" s="22">
        <v>5.41</v>
      </c>
      <c r="BX26" s="159">
        <f t="shared" si="17"/>
        <v>58.201156069364167</v>
      </c>
      <c r="BZ26" s="160" t="s">
        <v>269</v>
      </c>
      <c r="CA26" t="s">
        <v>273</v>
      </c>
      <c r="CB26" t="s">
        <v>270</v>
      </c>
    </row>
    <row r="27" spans="2:80" x14ac:dyDescent="0.3">
      <c r="B27" s="63">
        <v>2024</v>
      </c>
      <c r="C27" t="s">
        <v>105</v>
      </c>
      <c r="D27">
        <v>123</v>
      </c>
      <c r="E27">
        <v>1</v>
      </c>
      <c r="F27">
        <v>23</v>
      </c>
      <c r="G27" t="s">
        <v>41</v>
      </c>
      <c r="H27">
        <v>5</v>
      </c>
      <c r="I27" t="s">
        <v>31</v>
      </c>
      <c r="J27">
        <v>33</v>
      </c>
      <c r="K27">
        <v>52</v>
      </c>
      <c r="L27" s="21">
        <f t="shared" si="0"/>
        <v>176.12929962702032</v>
      </c>
      <c r="M27">
        <v>67</v>
      </c>
      <c r="N27">
        <v>61</v>
      </c>
      <c r="O27">
        <v>67</v>
      </c>
      <c r="P27">
        <v>61</v>
      </c>
      <c r="Q27" s="20">
        <f t="shared" si="1"/>
        <v>64</v>
      </c>
      <c r="R27">
        <v>81</v>
      </c>
      <c r="S27">
        <v>82</v>
      </c>
      <c r="T27">
        <v>87</v>
      </c>
      <c r="U27">
        <v>92</v>
      </c>
      <c r="V27" s="20">
        <f t="shared" si="2"/>
        <v>85.5</v>
      </c>
      <c r="W27">
        <v>85</v>
      </c>
      <c r="X27">
        <v>88</v>
      </c>
      <c r="Y27">
        <v>92</v>
      </c>
      <c r="Z27">
        <v>88</v>
      </c>
      <c r="AA27" s="20">
        <f t="shared" si="3"/>
        <v>88.25</v>
      </c>
      <c r="AB27">
        <v>80</v>
      </c>
      <c r="AC27">
        <v>90</v>
      </c>
      <c r="AD27">
        <v>90</v>
      </c>
      <c r="AE27">
        <v>80</v>
      </c>
      <c r="AF27" s="20">
        <f t="shared" si="4"/>
        <v>85</v>
      </c>
      <c r="AG27" s="20"/>
      <c r="AH27" s="20"/>
      <c r="AI27" s="20"/>
      <c r="AJ27" s="20"/>
      <c r="AK27" s="20" t="e">
        <f t="shared" si="5"/>
        <v>#DIV/0!</v>
      </c>
      <c r="AL27" s="20"/>
      <c r="AM27" s="20"/>
      <c r="AN27" s="20"/>
      <c r="AO27" s="20"/>
      <c r="AP27" s="20" t="e">
        <f t="shared" si="6"/>
        <v>#DIV/0!</v>
      </c>
      <c r="AQ27" s="147">
        <v>45480</v>
      </c>
      <c r="AR27">
        <v>88</v>
      </c>
      <c r="AS27">
        <v>82</v>
      </c>
      <c r="AT27">
        <v>90</v>
      </c>
      <c r="AU27">
        <v>83</v>
      </c>
      <c r="AV27" s="20">
        <f t="shared" si="7"/>
        <v>85.75</v>
      </c>
      <c r="AW27">
        <v>5</v>
      </c>
      <c r="AX27">
        <v>0</v>
      </c>
      <c r="AY27">
        <v>0</v>
      </c>
      <c r="AZ27" s="20">
        <f t="shared" si="8"/>
        <v>3.3333333333333335</v>
      </c>
      <c r="BA27">
        <v>5</v>
      </c>
      <c r="BB27">
        <v>0</v>
      </c>
      <c r="BC27">
        <v>0</v>
      </c>
      <c r="BD27" s="20">
        <f t="shared" si="9"/>
        <v>3.3333333333333335</v>
      </c>
      <c r="BE27">
        <v>0</v>
      </c>
      <c r="BF27">
        <v>0</v>
      </c>
      <c r="BG27">
        <v>0</v>
      </c>
      <c r="BH27" s="20">
        <f t="shared" si="10"/>
        <v>0</v>
      </c>
      <c r="BI27">
        <v>41.28</v>
      </c>
      <c r="BJ27">
        <v>23.6</v>
      </c>
      <c r="BK27" s="17">
        <f t="shared" si="11"/>
        <v>42.829457364341081</v>
      </c>
      <c r="BL27" s="17">
        <f t="shared" si="12"/>
        <v>3.1317829457364326</v>
      </c>
      <c r="BM27" s="18">
        <f t="shared" si="13"/>
        <v>45509.131782945733</v>
      </c>
      <c r="BN27" s="175">
        <f t="shared" si="14"/>
        <v>91.131782945732994</v>
      </c>
      <c r="BO27">
        <v>6</v>
      </c>
      <c r="BP27" s="22">
        <f t="shared" si="15"/>
        <v>8.6867999999999999</v>
      </c>
      <c r="BQ27">
        <v>9680</v>
      </c>
      <c r="BR27" s="20">
        <v>14.1</v>
      </c>
      <c r="BS27" s="20">
        <f t="shared" si="18"/>
        <v>11066.04905296482</v>
      </c>
      <c r="BT27" s="20">
        <f t="shared" si="16"/>
        <v>205.71501444614088</v>
      </c>
      <c r="BU27">
        <v>54.4</v>
      </c>
      <c r="BV27" s="22">
        <v>5.16</v>
      </c>
      <c r="BW27" s="22">
        <v>5.28</v>
      </c>
      <c r="BX27" s="159">
        <f t="shared" si="17"/>
        <v>51.837919075144519</v>
      </c>
      <c r="BZ27" s="23" t="s">
        <v>106</v>
      </c>
      <c r="CA27">
        <v>102.89583333333333</v>
      </c>
      <c r="CB27">
        <v>191.5775513495102</v>
      </c>
    </row>
    <row r="28" spans="2:80" x14ac:dyDescent="0.3">
      <c r="B28" s="63">
        <v>2024</v>
      </c>
      <c r="C28" t="s">
        <v>105</v>
      </c>
      <c r="D28">
        <v>124</v>
      </c>
      <c r="E28">
        <v>1</v>
      </c>
      <c r="F28">
        <v>24</v>
      </c>
      <c r="G28" t="s">
        <v>41</v>
      </c>
      <c r="H28">
        <v>6</v>
      </c>
      <c r="I28" t="s">
        <v>35</v>
      </c>
      <c r="J28">
        <v>54</v>
      </c>
      <c r="K28">
        <v>46</v>
      </c>
      <c r="L28" s="21">
        <f t="shared" si="0"/>
        <v>207.21094073767097</v>
      </c>
      <c r="M28">
        <v>60</v>
      </c>
      <c r="N28">
        <v>66</v>
      </c>
      <c r="O28">
        <v>71</v>
      </c>
      <c r="P28">
        <v>65</v>
      </c>
      <c r="Q28" s="20">
        <f t="shared" si="1"/>
        <v>65.5</v>
      </c>
      <c r="R28">
        <v>92</v>
      </c>
      <c r="S28">
        <v>96</v>
      </c>
      <c r="T28">
        <v>90</v>
      </c>
      <c r="U28">
        <v>87</v>
      </c>
      <c r="V28" s="20">
        <f t="shared" si="2"/>
        <v>91.25</v>
      </c>
      <c r="W28">
        <v>87</v>
      </c>
      <c r="X28">
        <v>89</v>
      </c>
      <c r="Y28">
        <v>96</v>
      </c>
      <c r="Z28">
        <v>83</v>
      </c>
      <c r="AA28" s="20">
        <f t="shared" si="3"/>
        <v>88.75</v>
      </c>
      <c r="AB28">
        <v>85</v>
      </c>
      <c r="AC28">
        <v>95</v>
      </c>
      <c r="AD28">
        <v>95</v>
      </c>
      <c r="AE28">
        <v>85</v>
      </c>
      <c r="AF28" s="20">
        <f t="shared" si="4"/>
        <v>90</v>
      </c>
      <c r="AG28" s="20"/>
      <c r="AH28" s="20"/>
      <c r="AI28" s="20"/>
      <c r="AJ28" s="20"/>
      <c r="AK28" s="20" t="e">
        <f t="shared" si="5"/>
        <v>#DIV/0!</v>
      </c>
      <c r="AL28" s="20"/>
      <c r="AM28" s="20"/>
      <c r="AN28" s="20"/>
      <c r="AO28" s="20"/>
      <c r="AP28" s="20" t="e">
        <f t="shared" si="6"/>
        <v>#DIV/0!</v>
      </c>
      <c r="AQ28" s="147">
        <v>45480</v>
      </c>
      <c r="AR28">
        <v>90</v>
      </c>
      <c r="AS28">
        <v>92</v>
      </c>
      <c r="AT28">
        <v>92</v>
      </c>
      <c r="AU28">
        <v>88</v>
      </c>
      <c r="AV28" s="20">
        <f t="shared" si="7"/>
        <v>90.5</v>
      </c>
      <c r="AW28">
        <v>5</v>
      </c>
      <c r="AX28">
        <v>0</v>
      </c>
      <c r="AY28">
        <v>0</v>
      </c>
      <c r="AZ28" s="20">
        <f t="shared" si="8"/>
        <v>3.3333333333333335</v>
      </c>
      <c r="BA28">
        <v>0</v>
      </c>
      <c r="BB28">
        <v>0</v>
      </c>
      <c r="BC28">
        <v>0</v>
      </c>
      <c r="BD28" s="20">
        <f t="shared" si="9"/>
        <v>0</v>
      </c>
      <c r="BE28">
        <v>0</v>
      </c>
      <c r="BF28">
        <v>0</v>
      </c>
      <c r="BG28">
        <v>0</v>
      </c>
      <c r="BH28" s="20">
        <f t="shared" si="10"/>
        <v>0</v>
      </c>
      <c r="BI28">
        <v>34.46</v>
      </c>
      <c r="BJ28">
        <v>16.8</v>
      </c>
      <c r="BK28" s="17">
        <f t="shared" si="11"/>
        <v>51.24782356355194</v>
      </c>
      <c r="BL28" s="17">
        <f t="shared" si="12"/>
        <v>6.4991294254207759</v>
      </c>
      <c r="BM28" s="18">
        <f t="shared" si="13"/>
        <v>45512.499129425421</v>
      </c>
      <c r="BN28" s="175">
        <f t="shared" si="14"/>
        <v>94.499129425421415</v>
      </c>
      <c r="BO28">
        <v>6</v>
      </c>
      <c r="BP28" s="22">
        <f t="shared" si="15"/>
        <v>8.6867999999999999</v>
      </c>
      <c r="BQ28">
        <v>9430</v>
      </c>
      <c r="BR28" s="20">
        <v>11.3</v>
      </c>
      <c r="BS28" s="20">
        <f t="shared" si="18"/>
        <v>11131.645888346708</v>
      </c>
      <c r="BT28" s="20">
        <f t="shared" si="16"/>
        <v>206.93444279618879</v>
      </c>
      <c r="BU28">
        <v>52.1</v>
      </c>
      <c r="BV28" s="22">
        <v>6.64</v>
      </c>
      <c r="BW28" s="22">
        <v>5.27</v>
      </c>
      <c r="BX28" s="159">
        <f t="shared" si="17"/>
        <v>61.064566473988442</v>
      </c>
      <c r="BZ28" s="161" t="s">
        <v>31</v>
      </c>
      <c r="CA28" s="21">
        <v>102.9375</v>
      </c>
      <c r="CB28" s="162">
        <v>195.36280005448097</v>
      </c>
    </row>
    <row r="29" spans="2:80" x14ac:dyDescent="0.3">
      <c r="B29" s="63">
        <v>2024</v>
      </c>
      <c r="C29" t="s">
        <v>105</v>
      </c>
      <c r="D29">
        <v>125</v>
      </c>
      <c r="E29">
        <v>1</v>
      </c>
      <c r="F29">
        <v>25</v>
      </c>
      <c r="G29" t="s">
        <v>41</v>
      </c>
      <c r="H29">
        <v>7</v>
      </c>
      <c r="I29" t="s">
        <v>34</v>
      </c>
      <c r="J29">
        <v>33</v>
      </c>
      <c r="K29">
        <v>47</v>
      </c>
      <c r="L29" s="21">
        <f t="shared" si="0"/>
        <v>165.76875259013676</v>
      </c>
      <c r="M29">
        <v>65</v>
      </c>
      <c r="N29">
        <v>69</v>
      </c>
      <c r="O29">
        <v>72</v>
      </c>
      <c r="P29">
        <v>65</v>
      </c>
      <c r="Q29" s="20">
        <f t="shared" si="1"/>
        <v>67.75</v>
      </c>
      <c r="R29">
        <v>84</v>
      </c>
      <c r="S29">
        <v>85</v>
      </c>
      <c r="T29">
        <v>77</v>
      </c>
      <c r="U29">
        <v>82</v>
      </c>
      <c r="V29" s="20">
        <f t="shared" si="2"/>
        <v>82</v>
      </c>
      <c r="W29">
        <v>89</v>
      </c>
      <c r="X29">
        <v>81</v>
      </c>
      <c r="Y29">
        <v>89</v>
      </c>
      <c r="Z29">
        <v>80</v>
      </c>
      <c r="AA29" s="20">
        <f t="shared" si="3"/>
        <v>84.75</v>
      </c>
      <c r="AB29">
        <v>80</v>
      </c>
      <c r="AC29">
        <v>85</v>
      </c>
      <c r="AD29">
        <v>90</v>
      </c>
      <c r="AE29">
        <v>80</v>
      </c>
      <c r="AF29" s="20">
        <f t="shared" si="4"/>
        <v>83.75</v>
      </c>
      <c r="AG29" s="20"/>
      <c r="AH29" s="20"/>
      <c r="AI29" s="20"/>
      <c r="AJ29" s="20"/>
      <c r="AK29" s="20" t="e">
        <f t="shared" si="5"/>
        <v>#DIV/0!</v>
      </c>
      <c r="AL29" s="20"/>
      <c r="AM29" s="20"/>
      <c r="AN29" s="20"/>
      <c r="AO29" s="20"/>
      <c r="AP29" s="20" t="e">
        <f t="shared" si="6"/>
        <v>#DIV/0!</v>
      </c>
      <c r="AQ29" s="147">
        <v>45480</v>
      </c>
      <c r="AR29">
        <v>88</v>
      </c>
      <c r="AS29">
        <v>87</v>
      </c>
      <c r="AT29">
        <v>83</v>
      </c>
      <c r="AU29">
        <v>83</v>
      </c>
      <c r="AV29" s="20">
        <f t="shared" si="7"/>
        <v>85.25</v>
      </c>
      <c r="AW29">
        <v>10</v>
      </c>
      <c r="AX29">
        <v>0</v>
      </c>
      <c r="AY29">
        <v>0</v>
      </c>
      <c r="AZ29" s="20">
        <f t="shared" si="8"/>
        <v>6.666666666666667</v>
      </c>
      <c r="BA29">
        <v>0</v>
      </c>
      <c r="BB29">
        <v>0</v>
      </c>
      <c r="BC29">
        <v>0</v>
      </c>
      <c r="BD29" s="20">
        <f t="shared" si="9"/>
        <v>0</v>
      </c>
      <c r="BE29">
        <v>0</v>
      </c>
      <c r="BF29">
        <v>0</v>
      </c>
      <c r="BG29">
        <v>0</v>
      </c>
      <c r="BH29" s="20">
        <f t="shared" si="10"/>
        <v>0</v>
      </c>
      <c r="BI29">
        <v>28.5</v>
      </c>
      <c r="BJ29">
        <v>17.8</v>
      </c>
      <c r="BK29" s="17">
        <f t="shared" si="11"/>
        <v>37.543859649122808</v>
      </c>
      <c r="BL29" s="17">
        <f t="shared" si="12"/>
        <v>1.0175438596491233</v>
      </c>
      <c r="BM29" s="18">
        <f t="shared" si="13"/>
        <v>45507.017543859649</v>
      </c>
      <c r="BN29" s="175">
        <f t="shared" si="14"/>
        <v>89.017543859648868</v>
      </c>
      <c r="BO29">
        <v>6</v>
      </c>
      <c r="BP29" s="22">
        <f t="shared" si="15"/>
        <v>8.6867999999999999</v>
      </c>
      <c r="BQ29">
        <v>9900</v>
      </c>
      <c r="BR29" s="20">
        <v>14.5</v>
      </c>
      <c r="BS29" s="20">
        <f t="shared" si="18"/>
        <v>11264.849119293614</v>
      </c>
      <c r="BT29" s="20">
        <f t="shared" si="16"/>
        <v>209.4106567048172</v>
      </c>
      <c r="BU29">
        <v>61.2</v>
      </c>
      <c r="BV29" s="22">
        <v>5.16</v>
      </c>
      <c r="BW29" s="22">
        <v>5.32</v>
      </c>
      <c r="BX29" s="159">
        <f t="shared" si="17"/>
        <v>51.794219653179198</v>
      </c>
      <c r="BZ29" s="161" t="s">
        <v>35</v>
      </c>
      <c r="CA29" s="162">
        <v>97.5</v>
      </c>
      <c r="CB29" s="162">
        <v>196.27396958445183</v>
      </c>
    </row>
    <row r="30" spans="2:80" x14ac:dyDescent="0.3">
      <c r="B30" s="63">
        <v>2024</v>
      </c>
      <c r="C30" t="s">
        <v>105</v>
      </c>
      <c r="D30">
        <v>126</v>
      </c>
      <c r="E30">
        <v>1</v>
      </c>
      <c r="F30">
        <v>26</v>
      </c>
      <c r="G30" t="s">
        <v>41</v>
      </c>
      <c r="H30">
        <v>8</v>
      </c>
      <c r="I30" t="s">
        <v>38</v>
      </c>
      <c r="J30">
        <v>50</v>
      </c>
      <c r="K30">
        <v>35</v>
      </c>
      <c r="L30" s="21">
        <f t="shared" si="0"/>
        <v>176.12929962702032</v>
      </c>
      <c r="M30">
        <v>61</v>
      </c>
      <c r="N30">
        <v>68</v>
      </c>
      <c r="O30">
        <v>67</v>
      </c>
      <c r="P30">
        <v>73</v>
      </c>
      <c r="Q30" s="20">
        <f t="shared" si="1"/>
        <v>67.25</v>
      </c>
      <c r="R30">
        <v>85</v>
      </c>
      <c r="S30">
        <v>90</v>
      </c>
      <c r="T30">
        <v>87</v>
      </c>
      <c r="U30">
        <v>85</v>
      </c>
      <c r="V30" s="20">
        <f t="shared" si="2"/>
        <v>86.75</v>
      </c>
      <c r="W30">
        <v>86</v>
      </c>
      <c r="X30">
        <v>93</v>
      </c>
      <c r="Y30">
        <v>82</v>
      </c>
      <c r="Z30">
        <v>84</v>
      </c>
      <c r="AA30" s="20">
        <f t="shared" si="3"/>
        <v>86.25</v>
      </c>
      <c r="AB30">
        <v>90</v>
      </c>
      <c r="AC30">
        <v>85</v>
      </c>
      <c r="AD30">
        <v>90</v>
      </c>
      <c r="AE30">
        <v>90</v>
      </c>
      <c r="AF30" s="20">
        <f t="shared" si="4"/>
        <v>88.75</v>
      </c>
      <c r="AG30" s="20"/>
      <c r="AH30" s="20"/>
      <c r="AI30" s="20"/>
      <c r="AJ30" s="20"/>
      <c r="AK30" s="20" t="e">
        <f t="shared" si="5"/>
        <v>#DIV/0!</v>
      </c>
      <c r="AL30" s="20"/>
      <c r="AM30" s="20"/>
      <c r="AN30" s="20"/>
      <c r="AO30" s="20"/>
      <c r="AP30" s="20" t="e">
        <f t="shared" si="6"/>
        <v>#DIV/0!</v>
      </c>
      <c r="AQ30" s="147">
        <v>45480</v>
      </c>
      <c r="AR30">
        <v>89</v>
      </c>
      <c r="AS30">
        <v>86</v>
      </c>
      <c r="AT30">
        <v>85</v>
      </c>
      <c r="AU30">
        <v>86</v>
      </c>
      <c r="AV30" s="20">
        <f t="shared" si="7"/>
        <v>86.5</v>
      </c>
      <c r="AW30">
        <v>5</v>
      </c>
      <c r="AX30">
        <v>0</v>
      </c>
      <c r="AY30">
        <v>0</v>
      </c>
      <c r="AZ30" s="20">
        <f t="shared" si="8"/>
        <v>3.3333333333333335</v>
      </c>
      <c r="BA30">
        <v>35</v>
      </c>
      <c r="BB30">
        <v>0</v>
      </c>
      <c r="BC30">
        <v>0</v>
      </c>
      <c r="BD30" s="20">
        <f t="shared" si="9"/>
        <v>23.333333333333332</v>
      </c>
      <c r="BE30">
        <v>0</v>
      </c>
      <c r="BF30">
        <v>0</v>
      </c>
      <c r="BG30">
        <v>0</v>
      </c>
      <c r="BH30" s="20">
        <f t="shared" si="10"/>
        <v>0</v>
      </c>
      <c r="BI30">
        <v>29.25</v>
      </c>
      <c r="BJ30">
        <v>17.399999999999999</v>
      </c>
      <c r="BK30" s="17">
        <f t="shared" si="11"/>
        <v>40.512820512820518</v>
      </c>
      <c r="BL30" s="17">
        <f t="shared" si="12"/>
        <v>2.2051282051282071</v>
      </c>
      <c r="BM30" s="18">
        <f t="shared" si="13"/>
        <v>45508.205128205125</v>
      </c>
      <c r="BN30" s="175">
        <f t="shared" si="14"/>
        <v>90.20512820512522</v>
      </c>
      <c r="BO30">
        <v>6</v>
      </c>
      <c r="BP30" s="22">
        <f t="shared" si="15"/>
        <v>8.6867999999999999</v>
      </c>
      <c r="BQ30">
        <v>9460</v>
      </c>
      <c r="BR30" s="20">
        <v>11.6</v>
      </c>
      <c r="BS30" s="20">
        <f t="shared" si="18"/>
        <v>11129.2903111784</v>
      </c>
      <c r="BT30" s="20">
        <f t="shared" si="16"/>
        <v>206.8906532206241</v>
      </c>
      <c r="BU30">
        <v>49.9</v>
      </c>
      <c r="BV30" s="22">
        <v>5.21</v>
      </c>
      <c r="BW30" s="22">
        <v>5.42</v>
      </c>
      <c r="BX30" s="159">
        <f t="shared" si="17"/>
        <v>54.317456647398842</v>
      </c>
      <c r="BZ30" s="161" t="s">
        <v>32</v>
      </c>
      <c r="CA30" s="21">
        <v>105.8125</v>
      </c>
      <c r="CB30" s="21">
        <v>183.83173070482178</v>
      </c>
    </row>
    <row r="31" spans="2:80" x14ac:dyDescent="0.3">
      <c r="B31" s="63">
        <v>2024</v>
      </c>
      <c r="C31" t="s">
        <v>105</v>
      </c>
      <c r="D31">
        <v>127</v>
      </c>
      <c r="E31">
        <v>1</v>
      </c>
      <c r="F31">
        <v>27</v>
      </c>
      <c r="G31" t="s">
        <v>41</v>
      </c>
      <c r="H31">
        <v>9</v>
      </c>
      <c r="I31" t="s">
        <v>33</v>
      </c>
      <c r="J31">
        <v>47</v>
      </c>
      <c r="K31">
        <v>45</v>
      </c>
      <c r="L31" s="21">
        <f t="shared" si="0"/>
        <v>190.63406547865728</v>
      </c>
      <c r="M31">
        <v>74</v>
      </c>
      <c r="N31">
        <v>69</v>
      </c>
      <c r="O31">
        <v>74</v>
      </c>
      <c r="P31">
        <v>66</v>
      </c>
      <c r="Q31" s="20">
        <f t="shared" si="1"/>
        <v>70.75</v>
      </c>
      <c r="R31">
        <v>85</v>
      </c>
      <c r="S31">
        <v>84</v>
      </c>
      <c r="T31">
        <v>88</v>
      </c>
      <c r="U31">
        <v>90</v>
      </c>
      <c r="V31" s="20">
        <f t="shared" si="2"/>
        <v>86.75</v>
      </c>
      <c r="W31">
        <v>82</v>
      </c>
      <c r="X31">
        <v>87</v>
      </c>
      <c r="Y31">
        <v>83</v>
      </c>
      <c r="Z31">
        <v>77</v>
      </c>
      <c r="AA31" s="20">
        <f t="shared" si="3"/>
        <v>82.25</v>
      </c>
      <c r="AB31">
        <v>85</v>
      </c>
      <c r="AC31">
        <v>80</v>
      </c>
      <c r="AD31">
        <v>85</v>
      </c>
      <c r="AE31">
        <v>90</v>
      </c>
      <c r="AF31" s="20">
        <f t="shared" si="4"/>
        <v>85</v>
      </c>
      <c r="AG31" s="20"/>
      <c r="AH31" s="20"/>
      <c r="AI31" s="20"/>
      <c r="AJ31" s="20"/>
      <c r="AK31" s="20" t="e">
        <f t="shared" si="5"/>
        <v>#DIV/0!</v>
      </c>
      <c r="AL31" s="20"/>
      <c r="AM31" s="20"/>
      <c r="AN31" s="20"/>
      <c r="AO31" s="20"/>
      <c r="AP31" s="20" t="e">
        <f t="shared" si="6"/>
        <v>#DIV/0!</v>
      </c>
      <c r="AQ31" s="147">
        <v>45480</v>
      </c>
      <c r="AR31">
        <v>79</v>
      </c>
      <c r="AS31">
        <v>83</v>
      </c>
      <c r="AT31">
        <v>87</v>
      </c>
      <c r="AU31">
        <v>82</v>
      </c>
      <c r="AV31" s="20">
        <f t="shared" si="7"/>
        <v>82.75</v>
      </c>
      <c r="AW31">
        <v>0</v>
      </c>
      <c r="AX31">
        <v>0</v>
      </c>
      <c r="AY31">
        <v>0</v>
      </c>
      <c r="AZ31" s="20">
        <f t="shared" si="8"/>
        <v>0</v>
      </c>
      <c r="BA31">
        <v>60</v>
      </c>
      <c r="BB31">
        <v>0</v>
      </c>
      <c r="BC31">
        <v>0</v>
      </c>
      <c r="BD31" s="20">
        <f t="shared" si="9"/>
        <v>40</v>
      </c>
      <c r="BE31">
        <v>0</v>
      </c>
      <c r="BF31">
        <v>0</v>
      </c>
      <c r="BG31">
        <v>0</v>
      </c>
      <c r="BH31" s="20">
        <f t="shared" si="10"/>
        <v>0</v>
      </c>
      <c r="BI31">
        <v>28.72</v>
      </c>
      <c r="BJ31">
        <v>16.7</v>
      </c>
      <c r="BK31" s="17">
        <f t="shared" si="11"/>
        <v>41.852367688022284</v>
      </c>
      <c r="BL31" s="17">
        <f t="shared" si="12"/>
        <v>2.7409470752089136</v>
      </c>
      <c r="BM31" s="18">
        <f t="shared" si="13"/>
        <v>45508.74094707521</v>
      </c>
      <c r="BN31" s="175">
        <f t="shared" si="14"/>
        <v>90.740947075209988</v>
      </c>
      <c r="BO31">
        <v>6</v>
      </c>
      <c r="BP31" s="22">
        <f t="shared" si="15"/>
        <v>8.6867999999999999</v>
      </c>
      <c r="BQ31">
        <v>10260</v>
      </c>
      <c r="BR31" s="20">
        <v>14.4</v>
      </c>
      <c r="BS31" s="20">
        <f t="shared" si="18"/>
        <v>11688.134358927678</v>
      </c>
      <c r="BT31" s="20">
        <f t="shared" si="16"/>
        <v>217.27942077493762</v>
      </c>
      <c r="BU31">
        <v>63.8</v>
      </c>
      <c r="BV31" s="22">
        <v>5.03</v>
      </c>
      <c r="BW31" s="22">
        <v>5.15</v>
      </c>
      <c r="BX31" s="159">
        <f t="shared" si="17"/>
        <v>50.370404624277455</v>
      </c>
      <c r="BZ31" s="161" t="s">
        <v>38</v>
      </c>
      <c r="CA31" s="21">
        <v>103.875</v>
      </c>
      <c r="CB31" s="21">
        <v>191.75782943108413</v>
      </c>
    </row>
    <row r="32" spans="2:80" x14ac:dyDescent="0.3">
      <c r="B32" s="63">
        <v>2024</v>
      </c>
      <c r="C32" t="s">
        <v>105</v>
      </c>
      <c r="D32">
        <v>201</v>
      </c>
      <c r="E32">
        <v>2</v>
      </c>
      <c r="F32">
        <v>27</v>
      </c>
      <c r="G32" t="s">
        <v>41</v>
      </c>
      <c r="H32">
        <v>9</v>
      </c>
      <c r="I32" s="23" t="s">
        <v>33</v>
      </c>
      <c r="J32">
        <v>46</v>
      </c>
      <c r="K32">
        <v>33</v>
      </c>
      <c r="L32" s="21">
        <f t="shared" si="0"/>
        <v>163.69664318276006</v>
      </c>
      <c r="M32">
        <v>60</v>
      </c>
      <c r="N32">
        <v>55</v>
      </c>
      <c r="O32" s="17">
        <v>66</v>
      </c>
      <c r="P32" s="17">
        <v>47</v>
      </c>
      <c r="Q32" s="20">
        <f t="shared" si="1"/>
        <v>57</v>
      </c>
      <c r="R32">
        <v>85</v>
      </c>
      <c r="S32">
        <v>82</v>
      </c>
      <c r="T32" s="17">
        <v>79</v>
      </c>
      <c r="U32" s="17">
        <v>84</v>
      </c>
      <c r="V32" s="20">
        <f t="shared" si="2"/>
        <v>82.5</v>
      </c>
      <c r="W32">
        <v>83</v>
      </c>
      <c r="X32">
        <v>82</v>
      </c>
      <c r="Y32" s="17">
        <v>80</v>
      </c>
      <c r="Z32" s="17">
        <v>80</v>
      </c>
      <c r="AA32" s="20">
        <f t="shared" si="3"/>
        <v>81.25</v>
      </c>
      <c r="AB32">
        <v>80</v>
      </c>
      <c r="AC32">
        <v>90</v>
      </c>
      <c r="AD32" s="17">
        <v>85</v>
      </c>
      <c r="AE32" s="17">
        <v>90</v>
      </c>
      <c r="AF32" s="20">
        <f t="shared" si="4"/>
        <v>86.25</v>
      </c>
      <c r="AG32" s="18"/>
      <c r="AH32" s="18"/>
      <c r="AI32" s="18"/>
      <c r="AJ32" s="18"/>
      <c r="AK32" s="20" t="e">
        <f t="shared" si="5"/>
        <v>#DIV/0!</v>
      </c>
      <c r="AL32" s="18"/>
      <c r="AM32" s="18"/>
      <c r="AN32" s="18"/>
      <c r="AO32" s="20"/>
      <c r="AP32" s="20" t="e">
        <f t="shared" si="6"/>
        <v>#DIV/0!</v>
      </c>
      <c r="AQ32" s="147">
        <v>45480</v>
      </c>
      <c r="AR32">
        <v>82</v>
      </c>
      <c r="AS32">
        <v>86</v>
      </c>
      <c r="AT32" s="17">
        <v>88</v>
      </c>
      <c r="AU32" s="17">
        <v>83</v>
      </c>
      <c r="AV32" s="20">
        <f t="shared" si="7"/>
        <v>84.75</v>
      </c>
      <c r="AW32">
        <v>5</v>
      </c>
      <c r="AX32">
        <v>0</v>
      </c>
      <c r="AY32" s="22">
        <v>0</v>
      </c>
      <c r="AZ32" s="20">
        <f t="shared" si="8"/>
        <v>3.3333333333333335</v>
      </c>
      <c r="BA32">
        <v>10</v>
      </c>
      <c r="BB32">
        <v>0</v>
      </c>
      <c r="BC32">
        <v>0</v>
      </c>
      <c r="BD32" s="20">
        <f t="shared" si="9"/>
        <v>6.666666666666667</v>
      </c>
      <c r="BE32">
        <v>0</v>
      </c>
      <c r="BF32">
        <v>0</v>
      </c>
      <c r="BG32">
        <v>0</v>
      </c>
      <c r="BH32" s="20">
        <f t="shared" si="10"/>
        <v>0</v>
      </c>
      <c r="BI32">
        <v>28.1</v>
      </c>
      <c r="BJ32" s="22">
        <v>15.1</v>
      </c>
      <c r="BK32" s="17">
        <f t="shared" si="11"/>
        <v>46.263345195729542</v>
      </c>
      <c r="BL32" s="17">
        <f t="shared" si="12"/>
        <v>4.5053380782918167</v>
      </c>
      <c r="BM32" s="18">
        <f t="shared" si="13"/>
        <v>45510.505338078292</v>
      </c>
      <c r="BN32" s="175">
        <f t="shared" si="14"/>
        <v>92.50533807829197</v>
      </c>
      <c r="BO32">
        <v>6</v>
      </c>
      <c r="BP32" s="22">
        <f t="shared" si="15"/>
        <v>8.6867999999999999</v>
      </c>
      <c r="BQ32" s="20">
        <v>8480</v>
      </c>
      <c r="BR32">
        <v>14.3</v>
      </c>
      <c r="BS32" s="20">
        <f t="shared" si="18"/>
        <v>9671.6538360906889</v>
      </c>
      <c r="BT32" s="20">
        <f t="shared" si="16"/>
        <v>179.7935649016859</v>
      </c>
      <c r="BU32">
        <v>64.5</v>
      </c>
      <c r="BV32" s="22">
        <v>5.05</v>
      </c>
      <c r="BW32" s="22">
        <v>5.0599999999999996</v>
      </c>
      <c r="BX32" s="159">
        <f t="shared" si="17"/>
        <v>50.082485549132947</v>
      </c>
      <c r="BZ32" s="161" t="s">
        <v>34</v>
      </c>
      <c r="CA32" s="162">
        <v>99.875</v>
      </c>
      <c r="CB32" s="21">
        <v>193.32009057400663</v>
      </c>
    </row>
    <row r="33" spans="2:80" x14ac:dyDescent="0.3">
      <c r="B33" s="63">
        <v>2024</v>
      </c>
      <c r="C33" t="s">
        <v>105</v>
      </c>
      <c r="D33">
        <v>202</v>
      </c>
      <c r="E33">
        <v>2</v>
      </c>
      <c r="F33">
        <v>26</v>
      </c>
      <c r="G33" t="s">
        <v>41</v>
      </c>
      <c r="H33">
        <v>8</v>
      </c>
      <c r="I33" s="23" t="s">
        <v>38</v>
      </c>
      <c r="J33">
        <v>37</v>
      </c>
      <c r="K33">
        <v>33</v>
      </c>
      <c r="L33" s="21">
        <f t="shared" ref="L33:L57" si="19">(AVERAGE(J34:K34))/L$2</f>
        <v>209.28305014504767</v>
      </c>
      <c r="M33">
        <v>60</v>
      </c>
      <c r="N33" s="21">
        <v>35</v>
      </c>
      <c r="O33">
        <v>45</v>
      </c>
      <c r="P33" s="20">
        <v>56</v>
      </c>
      <c r="Q33" s="20">
        <f t="shared" si="1"/>
        <v>49</v>
      </c>
      <c r="R33">
        <v>81</v>
      </c>
      <c r="S33" s="21">
        <v>80</v>
      </c>
      <c r="T33">
        <v>83</v>
      </c>
      <c r="U33" s="20">
        <v>84</v>
      </c>
      <c r="V33" s="20">
        <f t="shared" si="2"/>
        <v>82</v>
      </c>
      <c r="W33">
        <v>81</v>
      </c>
      <c r="X33" s="21">
        <v>89</v>
      </c>
      <c r="Y33">
        <v>85</v>
      </c>
      <c r="Z33" s="20">
        <v>84</v>
      </c>
      <c r="AA33" s="20">
        <f t="shared" si="3"/>
        <v>84.75</v>
      </c>
      <c r="AB33">
        <v>85</v>
      </c>
      <c r="AC33" s="21">
        <v>85</v>
      </c>
      <c r="AD33">
        <v>90</v>
      </c>
      <c r="AE33" s="20">
        <v>80</v>
      </c>
      <c r="AF33" s="20">
        <f t="shared" si="4"/>
        <v>85</v>
      </c>
      <c r="AG33" s="20"/>
      <c r="AH33" s="20"/>
      <c r="AI33" s="20"/>
      <c r="AJ33" s="20"/>
      <c r="AK33" s="20" t="e">
        <f t="shared" si="5"/>
        <v>#DIV/0!</v>
      </c>
      <c r="AL33" s="20"/>
      <c r="AM33" s="20"/>
      <c r="AN33" s="20"/>
      <c r="AO33" s="20"/>
      <c r="AP33" s="20" t="e">
        <f t="shared" si="6"/>
        <v>#DIV/0!</v>
      </c>
      <c r="AQ33" s="147">
        <v>45481</v>
      </c>
      <c r="AR33">
        <v>83</v>
      </c>
      <c r="AS33" s="21">
        <v>84</v>
      </c>
      <c r="AT33">
        <v>82</v>
      </c>
      <c r="AU33" s="20">
        <v>87</v>
      </c>
      <c r="AV33" s="20">
        <f t="shared" si="7"/>
        <v>84</v>
      </c>
      <c r="AW33">
        <v>10</v>
      </c>
      <c r="AX33">
        <v>0</v>
      </c>
      <c r="AY33" s="20">
        <v>0</v>
      </c>
      <c r="AZ33" s="20">
        <f t="shared" si="8"/>
        <v>6.666666666666667</v>
      </c>
      <c r="BA33">
        <v>0</v>
      </c>
      <c r="BB33">
        <v>0</v>
      </c>
      <c r="BC33">
        <v>0</v>
      </c>
      <c r="BD33" s="20">
        <f t="shared" si="9"/>
        <v>0</v>
      </c>
      <c r="BE33">
        <v>0</v>
      </c>
      <c r="BF33" s="20">
        <v>0</v>
      </c>
      <c r="BG33" s="20">
        <v>0</v>
      </c>
      <c r="BH33" s="20">
        <f t="shared" si="10"/>
        <v>0</v>
      </c>
      <c r="BI33">
        <v>25.21</v>
      </c>
      <c r="BJ33">
        <v>13.9</v>
      </c>
      <c r="BK33" s="17">
        <f t="shared" si="11"/>
        <v>44.863149543831817</v>
      </c>
      <c r="BL33" s="17">
        <f t="shared" si="12"/>
        <v>3.9452598175327269</v>
      </c>
      <c r="BM33" s="18">
        <f t="shared" si="13"/>
        <v>45509.945259817534</v>
      </c>
      <c r="BN33" s="175">
        <f t="shared" si="14"/>
        <v>91.945259817533952</v>
      </c>
      <c r="BO33">
        <v>6</v>
      </c>
      <c r="BP33" s="22">
        <f t="shared" si="15"/>
        <v>8.6867999999999999</v>
      </c>
      <c r="BQ33">
        <v>8220</v>
      </c>
      <c r="BR33">
        <v>13.9</v>
      </c>
      <c r="BS33" s="20">
        <f t="shared" si="18"/>
        <v>9418.8751200745482</v>
      </c>
      <c r="BT33" s="20">
        <f t="shared" si="16"/>
        <v>175.09447338600123</v>
      </c>
      <c r="BU33">
        <v>65.7</v>
      </c>
      <c r="BV33" s="22">
        <v>5.52</v>
      </c>
      <c r="BW33" s="22">
        <v>5.44</v>
      </c>
      <c r="BX33" s="159">
        <f t="shared" si="17"/>
        <v>54.546589595375721</v>
      </c>
      <c r="BZ33" s="161" t="s">
        <v>39</v>
      </c>
      <c r="CA33" s="21">
        <v>106.1875</v>
      </c>
      <c r="CB33" s="21">
        <v>190.53809183262123</v>
      </c>
    </row>
    <row r="34" spans="2:80" x14ac:dyDescent="0.3">
      <c r="B34" s="63">
        <v>2024</v>
      </c>
      <c r="C34" t="s">
        <v>105</v>
      </c>
      <c r="D34">
        <v>203</v>
      </c>
      <c r="E34">
        <v>2</v>
      </c>
      <c r="F34">
        <v>24</v>
      </c>
      <c r="G34" t="s">
        <v>41</v>
      </c>
      <c r="H34">
        <v>6</v>
      </c>
      <c r="I34" s="23" t="s">
        <v>35</v>
      </c>
      <c r="J34">
        <v>50</v>
      </c>
      <c r="K34">
        <v>51</v>
      </c>
      <c r="L34" s="21">
        <f t="shared" si="19"/>
        <v>174.05719021964362</v>
      </c>
      <c r="M34">
        <v>57</v>
      </c>
      <c r="N34" s="21">
        <v>62</v>
      </c>
      <c r="O34">
        <v>64</v>
      </c>
      <c r="P34" s="20">
        <v>54</v>
      </c>
      <c r="Q34" s="20">
        <f t="shared" si="1"/>
        <v>59.25</v>
      </c>
      <c r="R34">
        <v>69</v>
      </c>
      <c r="S34" s="21">
        <v>72</v>
      </c>
      <c r="T34">
        <v>73</v>
      </c>
      <c r="U34" s="20">
        <v>70</v>
      </c>
      <c r="V34" s="20">
        <f t="shared" si="2"/>
        <v>71</v>
      </c>
      <c r="W34">
        <v>71</v>
      </c>
      <c r="X34" s="21">
        <v>78</v>
      </c>
      <c r="Y34">
        <v>73</v>
      </c>
      <c r="Z34" s="20">
        <v>72</v>
      </c>
      <c r="AA34" s="20">
        <f t="shared" si="3"/>
        <v>73.5</v>
      </c>
      <c r="AB34">
        <v>70</v>
      </c>
      <c r="AC34" s="21">
        <v>75</v>
      </c>
      <c r="AD34">
        <v>70</v>
      </c>
      <c r="AE34" s="20">
        <v>75</v>
      </c>
      <c r="AF34" s="20">
        <f t="shared" si="4"/>
        <v>72.5</v>
      </c>
      <c r="AG34" s="20"/>
      <c r="AH34" s="20"/>
      <c r="AI34" s="20"/>
      <c r="AJ34" s="20"/>
      <c r="AK34" s="20" t="e">
        <f t="shared" si="5"/>
        <v>#DIV/0!</v>
      </c>
      <c r="AL34" s="20"/>
      <c r="AM34" s="20"/>
      <c r="AN34" s="20"/>
      <c r="AO34" s="20"/>
      <c r="AP34" s="20" t="e">
        <f t="shared" si="6"/>
        <v>#DIV/0!</v>
      </c>
      <c r="AQ34" s="147">
        <v>45481</v>
      </c>
      <c r="AR34">
        <v>74</v>
      </c>
      <c r="AS34" s="21">
        <v>75</v>
      </c>
      <c r="AT34">
        <v>73</v>
      </c>
      <c r="AU34" s="20">
        <v>74</v>
      </c>
      <c r="AV34" s="20">
        <f t="shared" si="7"/>
        <v>74</v>
      </c>
      <c r="AW34">
        <v>0</v>
      </c>
      <c r="AX34">
        <v>0</v>
      </c>
      <c r="AY34" s="20">
        <v>0</v>
      </c>
      <c r="AZ34" s="20">
        <f t="shared" si="8"/>
        <v>0</v>
      </c>
      <c r="BA34">
        <v>40</v>
      </c>
      <c r="BB34">
        <v>0</v>
      </c>
      <c r="BC34">
        <v>0</v>
      </c>
      <c r="BD34" s="20">
        <f t="shared" si="9"/>
        <v>26.666666666666668</v>
      </c>
      <c r="BE34">
        <v>0</v>
      </c>
      <c r="BF34" s="20">
        <v>0</v>
      </c>
      <c r="BG34" s="20">
        <v>0</v>
      </c>
      <c r="BH34" s="20">
        <f t="shared" si="10"/>
        <v>0</v>
      </c>
      <c r="BI34">
        <v>24.8</v>
      </c>
      <c r="BJ34">
        <v>14.8</v>
      </c>
      <c r="BK34" s="17">
        <f t="shared" si="11"/>
        <v>40.322580645161288</v>
      </c>
      <c r="BL34" s="17">
        <f t="shared" si="12"/>
        <v>2.1290322580645151</v>
      </c>
      <c r="BM34" s="18">
        <f t="shared" si="13"/>
        <v>45508.129032258068</v>
      </c>
      <c r="BN34" s="175">
        <f t="shared" si="14"/>
        <v>90.129032258068037</v>
      </c>
      <c r="BO34">
        <v>6</v>
      </c>
      <c r="BP34" s="22">
        <f t="shared" si="15"/>
        <v>8.6867999999999999</v>
      </c>
      <c r="BQ34">
        <v>8180</v>
      </c>
      <c r="BR34">
        <v>14.4</v>
      </c>
      <c r="BS34" s="20">
        <f t="shared" si="18"/>
        <v>9318.610044447214</v>
      </c>
      <c r="BT34" s="20">
        <f t="shared" si="16"/>
        <v>173.23057133908281</v>
      </c>
      <c r="BU34">
        <v>64.400000000000006</v>
      </c>
      <c r="BV34" s="22">
        <v>5.31</v>
      </c>
      <c r="BW34" s="22">
        <v>5.3</v>
      </c>
      <c r="BX34" s="159">
        <f t="shared" si="17"/>
        <v>52.49803468208092</v>
      </c>
      <c r="BZ34" s="161" t="s">
        <v>33</v>
      </c>
      <c r="CA34" s="21">
        <v>101.6875</v>
      </c>
      <c r="CB34" s="21">
        <v>187.60851974759544</v>
      </c>
    </row>
    <row r="35" spans="2:80" x14ac:dyDescent="0.3">
      <c r="B35" s="63">
        <v>2024</v>
      </c>
      <c r="C35" t="s">
        <v>105</v>
      </c>
      <c r="D35">
        <v>204</v>
      </c>
      <c r="E35">
        <v>2</v>
      </c>
      <c r="F35">
        <v>22</v>
      </c>
      <c r="G35" t="s">
        <v>41</v>
      </c>
      <c r="H35">
        <v>4</v>
      </c>
      <c r="I35" s="23" t="s">
        <v>36</v>
      </c>
      <c r="J35">
        <v>46</v>
      </c>
      <c r="K35">
        <v>38</v>
      </c>
      <c r="L35" s="21">
        <f t="shared" si="19"/>
        <v>180.27351844177375</v>
      </c>
      <c r="M35">
        <v>54</v>
      </c>
      <c r="N35" s="21">
        <v>62</v>
      </c>
      <c r="O35">
        <v>63</v>
      </c>
      <c r="P35" s="20">
        <v>53</v>
      </c>
      <c r="Q35" s="20">
        <f t="shared" si="1"/>
        <v>58</v>
      </c>
      <c r="R35">
        <v>75</v>
      </c>
      <c r="S35" s="21">
        <v>76</v>
      </c>
      <c r="T35">
        <v>71</v>
      </c>
      <c r="U35" s="20">
        <v>76</v>
      </c>
      <c r="V35" s="20">
        <f t="shared" si="2"/>
        <v>74.5</v>
      </c>
      <c r="W35">
        <v>80</v>
      </c>
      <c r="X35" s="21">
        <v>78</v>
      </c>
      <c r="Y35">
        <v>81</v>
      </c>
      <c r="Z35" s="20">
        <v>76</v>
      </c>
      <c r="AA35" s="20">
        <f t="shared" si="3"/>
        <v>78.75</v>
      </c>
      <c r="AB35">
        <v>80</v>
      </c>
      <c r="AC35" s="21">
        <v>80</v>
      </c>
      <c r="AD35">
        <v>75</v>
      </c>
      <c r="AE35" s="20">
        <v>90</v>
      </c>
      <c r="AF35" s="20">
        <f t="shared" si="4"/>
        <v>81.25</v>
      </c>
      <c r="AG35" s="20"/>
      <c r="AH35" s="20"/>
      <c r="AI35" s="20"/>
      <c r="AJ35" s="20"/>
      <c r="AK35" s="20" t="e">
        <f t="shared" si="5"/>
        <v>#DIV/0!</v>
      </c>
      <c r="AL35" s="20"/>
      <c r="AM35" s="20"/>
      <c r="AN35" s="20"/>
      <c r="AO35" s="20"/>
      <c r="AP35" s="20" t="e">
        <f t="shared" si="6"/>
        <v>#DIV/0!</v>
      </c>
      <c r="AQ35" s="147">
        <v>45480</v>
      </c>
      <c r="AR35">
        <v>80</v>
      </c>
      <c r="AS35" s="21">
        <v>79</v>
      </c>
      <c r="AT35">
        <v>79</v>
      </c>
      <c r="AU35" s="20">
        <v>84</v>
      </c>
      <c r="AV35" s="20">
        <f t="shared" si="7"/>
        <v>80.5</v>
      </c>
      <c r="AW35">
        <v>0</v>
      </c>
      <c r="AX35">
        <v>0</v>
      </c>
      <c r="AY35" s="20">
        <v>0</v>
      </c>
      <c r="AZ35" s="20">
        <f t="shared" si="8"/>
        <v>0</v>
      </c>
      <c r="BA35">
        <v>90</v>
      </c>
      <c r="BB35">
        <v>0</v>
      </c>
      <c r="BC35">
        <v>0</v>
      </c>
      <c r="BD35" s="20">
        <f t="shared" si="9"/>
        <v>60</v>
      </c>
      <c r="BE35">
        <v>0</v>
      </c>
      <c r="BF35" s="20">
        <v>0</v>
      </c>
      <c r="BG35" s="20">
        <v>0</v>
      </c>
      <c r="BH35" s="20">
        <f t="shared" si="10"/>
        <v>0</v>
      </c>
      <c r="BI35">
        <v>25.72</v>
      </c>
      <c r="BJ35">
        <v>14.7</v>
      </c>
      <c r="BK35" s="17">
        <f t="shared" si="11"/>
        <v>42.846034214618975</v>
      </c>
      <c r="BL35" s="17">
        <f t="shared" si="12"/>
        <v>3.1384136858475897</v>
      </c>
      <c r="BM35" s="18">
        <f t="shared" si="13"/>
        <v>45509.138413685847</v>
      </c>
      <c r="BN35" s="175">
        <f t="shared" si="14"/>
        <v>91.138413685846899</v>
      </c>
      <c r="BO35">
        <v>6</v>
      </c>
      <c r="BP35" s="22">
        <f t="shared" si="15"/>
        <v>8.6867999999999999</v>
      </c>
      <c r="BQ35">
        <v>7980</v>
      </c>
      <c r="BR35">
        <v>16.2</v>
      </c>
      <c r="BS35" s="20">
        <f t="shared" si="18"/>
        <v>8899.6100920910885</v>
      </c>
      <c r="BT35" s="20">
        <f t="shared" si="16"/>
        <v>165.44146966066768</v>
      </c>
      <c r="BU35">
        <v>65.5</v>
      </c>
      <c r="BV35" s="22">
        <v>5.4</v>
      </c>
      <c r="BW35" s="22">
        <v>5.38</v>
      </c>
      <c r="BX35" s="159">
        <f t="shared" si="17"/>
        <v>52.217572254335266</v>
      </c>
      <c r="BZ35" s="161" t="s">
        <v>36</v>
      </c>
      <c r="CA35" s="162">
        <v>100.75</v>
      </c>
      <c r="CB35" s="21">
        <v>190.70137499574389</v>
      </c>
    </row>
    <row r="36" spans="2:80" x14ac:dyDescent="0.3">
      <c r="B36" s="63">
        <v>2024</v>
      </c>
      <c r="C36" t="s">
        <v>105</v>
      </c>
      <c r="D36">
        <v>205</v>
      </c>
      <c r="E36">
        <v>2</v>
      </c>
      <c r="F36">
        <v>19</v>
      </c>
      <c r="G36" t="s">
        <v>41</v>
      </c>
      <c r="H36">
        <v>1</v>
      </c>
      <c r="I36" s="23" t="s">
        <v>37</v>
      </c>
      <c r="J36">
        <v>41</v>
      </c>
      <c r="K36">
        <v>46</v>
      </c>
      <c r="L36" s="21">
        <f t="shared" si="19"/>
        <v>207.21094073767097</v>
      </c>
      <c r="M36">
        <v>56</v>
      </c>
      <c r="N36" s="21">
        <v>63</v>
      </c>
      <c r="O36">
        <v>61</v>
      </c>
      <c r="P36" s="20">
        <v>57</v>
      </c>
      <c r="Q36" s="20">
        <f t="shared" si="1"/>
        <v>59.25</v>
      </c>
      <c r="R36">
        <v>69</v>
      </c>
      <c r="S36" s="21">
        <v>60</v>
      </c>
      <c r="T36">
        <v>81</v>
      </c>
      <c r="U36" s="20">
        <v>82</v>
      </c>
      <c r="V36" s="20">
        <f t="shared" si="2"/>
        <v>73</v>
      </c>
      <c r="W36">
        <v>80</v>
      </c>
      <c r="X36" s="21">
        <v>87</v>
      </c>
      <c r="Y36">
        <v>79</v>
      </c>
      <c r="Z36" s="20">
        <v>83</v>
      </c>
      <c r="AA36" s="20">
        <f t="shared" si="3"/>
        <v>82.25</v>
      </c>
      <c r="AB36">
        <v>80</v>
      </c>
      <c r="AC36" s="21">
        <v>90</v>
      </c>
      <c r="AD36">
        <v>95</v>
      </c>
      <c r="AE36" s="20">
        <v>75</v>
      </c>
      <c r="AF36" s="20">
        <f t="shared" si="4"/>
        <v>85</v>
      </c>
      <c r="AG36" s="20"/>
      <c r="AH36" s="20"/>
      <c r="AI36" s="20"/>
      <c r="AJ36" s="20"/>
      <c r="AK36" s="20" t="e">
        <f t="shared" si="5"/>
        <v>#DIV/0!</v>
      </c>
      <c r="AL36" s="20"/>
      <c r="AM36" s="20"/>
      <c r="AN36" s="20"/>
      <c r="AO36" s="20"/>
      <c r="AP36" s="20" t="e">
        <f t="shared" si="6"/>
        <v>#DIV/0!</v>
      </c>
      <c r="AQ36" s="147">
        <v>45480</v>
      </c>
      <c r="AR36">
        <v>93</v>
      </c>
      <c r="AS36" s="21">
        <v>93</v>
      </c>
      <c r="AT36">
        <v>82</v>
      </c>
      <c r="AU36" s="20">
        <v>78</v>
      </c>
      <c r="AV36" s="20">
        <f t="shared" si="7"/>
        <v>86.5</v>
      </c>
      <c r="AW36">
        <v>10</v>
      </c>
      <c r="AX36">
        <v>0</v>
      </c>
      <c r="AY36" s="20">
        <v>0</v>
      </c>
      <c r="AZ36" s="20">
        <f t="shared" si="8"/>
        <v>6.666666666666667</v>
      </c>
      <c r="BA36">
        <v>65</v>
      </c>
      <c r="BB36">
        <v>0</v>
      </c>
      <c r="BC36">
        <v>0</v>
      </c>
      <c r="BD36" s="20">
        <f t="shared" si="9"/>
        <v>43.333333333333336</v>
      </c>
      <c r="BE36">
        <v>0</v>
      </c>
      <c r="BF36" s="20">
        <v>0</v>
      </c>
      <c r="BG36" s="20">
        <v>0</v>
      </c>
      <c r="BH36" s="20">
        <f t="shared" si="10"/>
        <v>0</v>
      </c>
      <c r="BI36">
        <v>28.8</v>
      </c>
      <c r="BJ36">
        <v>15.5</v>
      </c>
      <c r="BK36" s="17">
        <f t="shared" si="11"/>
        <v>46.180555555555557</v>
      </c>
      <c r="BL36" s="17">
        <f t="shared" si="12"/>
        <v>4.4722222222222232</v>
      </c>
      <c r="BM36" s="18">
        <f t="shared" si="13"/>
        <v>45510.472222222219</v>
      </c>
      <c r="BN36" s="175">
        <f t="shared" si="14"/>
        <v>92.472222222218988</v>
      </c>
      <c r="BO36">
        <v>6</v>
      </c>
      <c r="BP36" s="22">
        <f t="shared" si="15"/>
        <v>8.6867999999999999</v>
      </c>
      <c r="BQ36">
        <v>8800</v>
      </c>
      <c r="BR36">
        <v>8</v>
      </c>
      <c r="BS36" s="20">
        <f t="shared" si="18"/>
        <v>10774.436584535544</v>
      </c>
      <c r="BT36" s="20">
        <f t="shared" si="16"/>
        <v>200.29401343046845</v>
      </c>
      <c r="BU36">
        <v>36.299999999999997</v>
      </c>
      <c r="BV36" s="22">
        <v>5.52</v>
      </c>
      <c r="BW36" s="22">
        <v>5.52</v>
      </c>
      <c r="BX36" s="159">
        <f t="shared" si="17"/>
        <v>58.709826589595366</v>
      </c>
      <c r="BZ36" s="161" t="s">
        <v>37</v>
      </c>
      <c r="CA36" s="21">
        <v>107.4375</v>
      </c>
      <c r="CB36" s="162">
        <v>194.80355522078582</v>
      </c>
    </row>
    <row r="37" spans="2:80" x14ac:dyDescent="0.3">
      <c r="B37" s="63">
        <v>2024</v>
      </c>
      <c r="C37" t="s">
        <v>105</v>
      </c>
      <c r="D37">
        <v>206</v>
      </c>
      <c r="E37">
        <v>2</v>
      </c>
      <c r="F37">
        <v>25</v>
      </c>
      <c r="G37" t="s">
        <v>41</v>
      </c>
      <c r="H37">
        <v>7</v>
      </c>
      <c r="I37" s="23" t="s">
        <v>34</v>
      </c>
      <c r="J37">
        <v>48</v>
      </c>
      <c r="K37">
        <v>52</v>
      </c>
      <c r="L37" s="21">
        <f t="shared" si="19"/>
        <v>186.48984666390388</v>
      </c>
      <c r="M37">
        <v>63</v>
      </c>
      <c r="N37" s="21">
        <v>59</v>
      </c>
      <c r="O37">
        <v>61</v>
      </c>
      <c r="P37" s="20">
        <v>62</v>
      </c>
      <c r="Q37" s="20">
        <f t="shared" si="1"/>
        <v>61.25</v>
      </c>
      <c r="R37">
        <v>67</v>
      </c>
      <c r="S37" s="21">
        <v>77</v>
      </c>
      <c r="T37">
        <v>71</v>
      </c>
      <c r="U37" s="20">
        <v>74</v>
      </c>
      <c r="V37" s="20">
        <f t="shared" si="2"/>
        <v>72.25</v>
      </c>
      <c r="W37">
        <v>79</v>
      </c>
      <c r="X37" s="21">
        <v>77</v>
      </c>
      <c r="Y37">
        <v>70</v>
      </c>
      <c r="Z37" s="20">
        <v>80</v>
      </c>
      <c r="AA37" s="20">
        <f t="shared" si="3"/>
        <v>76.5</v>
      </c>
      <c r="AB37">
        <v>75</v>
      </c>
      <c r="AC37" s="21">
        <v>80</v>
      </c>
      <c r="AD37">
        <v>80</v>
      </c>
      <c r="AE37" s="20">
        <v>80</v>
      </c>
      <c r="AF37" s="20">
        <f t="shared" si="4"/>
        <v>78.75</v>
      </c>
      <c r="AG37" s="20"/>
      <c r="AH37" s="20"/>
      <c r="AI37" s="20"/>
      <c r="AJ37" s="20"/>
      <c r="AK37" s="20" t="e">
        <f t="shared" si="5"/>
        <v>#DIV/0!</v>
      </c>
      <c r="AL37" s="20"/>
      <c r="AM37" s="20"/>
      <c r="AN37" s="20"/>
      <c r="AO37" s="20"/>
      <c r="AP37" s="20" t="e">
        <f t="shared" si="6"/>
        <v>#DIV/0!</v>
      </c>
      <c r="AQ37" s="147">
        <v>45480</v>
      </c>
      <c r="AR37">
        <v>77</v>
      </c>
      <c r="AS37" s="21">
        <v>78</v>
      </c>
      <c r="AT37">
        <v>78</v>
      </c>
      <c r="AU37" s="20">
        <v>72</v>
      </c>
      <c r="AV37" s="20">
        <f t="shared" si="7"/>
        <v>76.25</v>
      </c>
      <c r="AW37">
        <v>5</v>
      </c>
      <c r="AX37">
        <v>0</v>
      </c>
      <c r="AY37" s="20">
        <v>0</v>
      </c>
      <c r="AZ37" s="20">
        <f t="shared" si="8"/>
        <v>3.3333333333333335</v>
      </c>
      <c r="BA37">
        <v>70</v>
      </c>
      <c r="BB37">
        <v>0</v>
      </c>
      <c r="BC37">
        <v>0</v>
      </c>
      <c r="BD37" s="20">
        <f t="shared" si="9"/>
        <v>46.666666666666664</v>
      </c>
      <c r="BE37">
        <v>0</v>
      </c>
      <c r="BF37" s="20">
        <v>0</v>
      </c>
      <c r="BG37" s="20">
        <v>0</v>
      </c>
      <c r="BH37" s="20">
        <f t="shared" si="10"/>
        <v>0</v>
      </c>
      <c r="BI37">
        <v>22.88</v>
      </c>
      <c r="BJ37">
        <v>14.8</v>
      </c>
      <c r="BK37" s="17">
        <f t="shared" si="11"/>
        <v>35.314685314685306</v>
      </c>
      <c r="BL37" s="17">
        <f t="shared" si="12"/>
        <v>0.12587412587412244</v>
      </c>
      <c r="BM37" s="18">
        <f t="shared" si="13"/>
        <v>45506.125874125872</v>
      </c>
      <c r="BN37" s="175">
        <f t="shared" si="14"/>
        <v>88.125874125871633</v>
      </c>
      <c r="BO37">
        <v>6</v>
      </c>
      <c r="BP37" s="22">
        <f t="shared" si="15"/>
        <v>8.6867999999999999</v>
      </c>
      <c r="BQ37" s="40"/>
      <c r="BR37" s="40"/>
      <c r="BS37" s="20"/>
      <c r="BT37" s="20"/>
      <c r="BV37" s="163"/>
      <c r="BW37" s="163"/>
      <c r="BX37" s="159"/>
      <c r="BZ37" s="23" t="s">
        <v>42</v>
      </c>
      <c r="CA37">
        <v>98.416666666666671</v>
      </c>
      <c r="CB37">
        <v>193.58924625735662</v>
      </c>
    </row>
    <row r="38" spans="2:80" x14ac:dyDescent="0.3">
      <c r="B38" s="63">
        <v>2024</v>
      </c>
      <c r="C38" t="s">
        <v>105</v>
      </c>
      <c r="D38">
        <v>207</v>
      </c>
      <c r="E38">
        <v>2</v>
      </c>
      <c r="F38">
        <v>23</v>
      </c>
      <c r="G38" t="s">
        <v>41</v>
      </c>
      <c r="H38">
        <v>5</v>
      </c>
      <c r="I38" s="23" t="s">
        <v>31</v>
      </c>
      <c r="J38">
        <v>42</v>
      </c>
      <c r="K38">
        <v>48</v>
      </c>
      <c r="L38" s="21">
        <f t="shared" si="19"/>
        <v>192.70617488603401</v>
      </c>
      <c r="M38">
        <v>60</v>
      </c>
      <c r="N38" s="21">
        <v>55</v>
      </c>
      <c r="O38">
        <v>56</v>
      </c>
      <c r="P38" s="20">
        <v>57</v>
      </c>
      <c r="Q38" s="20">
        <f t="shared" si="1"/>
        <v>57</v>
      </c>
      <c r="R38">
        <v>78</v>
      </c>
      <c r="S38" s="21">
        <v>75</v>
      </c>
      <c r="T38">
        <v>77</v>
      </c>
      <c r="U38" s="20">
        <v>78</v>
      </c>
      <c r="V38" s="20">
        <f t="shared" si="2"/>
        <v>77</v>
      </c>
      <c r="W38">
        <v>82</v>
      </c>
      <c r="X38" s="21">
        <v>80</v>
      </c>
      <c r="Y38">
        <v>79</v>
      </c>
      <c r="Z38" s="20">
        <v>82</v>
      </c>
      <c r="AA38" s="20">
        <f t="shared" si="3"/>
        <v>80.75</v>
      </c>
      <c r="AB38">
        <v>86</v>
      </c>
      <c r="AC38" s="21">
        <v>89</v>
      </c>
      <c r="AD38">
        <v>86</v>
      </c>
      <c r="AE38" s="20">
        <v>84</v>
      </c>
      <c r="AF38" s="20">
        <f t="shared" si="4"/>
        <v>86.25</v>
      </c>
      <c r="AG38" s="20"/>
      <c r="AH38" s="20"/>
      <c r="AI38" s="20"/>
      <c r="AJ38" s="20"/>
      <c r="AK38" s="20" t="e">
        <f t="shared" si="5"/>
        <v>#DIV/0!</v>
      </c>
      <c r="AL38" s="20"/>
      <c r="AM38" s="20"/>
      <c r="AN38" s="20"/>
      <c r="AO38" s="20"/>
      <c r="AP38" s="20" t="e">
        <f t="shared" si="6"/>
        <v>#DIV/0!</v>
      </c>
      <c r="AQ38" s="147">
        <v>45480</v>
      </c>
      <c r="AR38">
        <v>87</v>
      </c>
      <c r="AS38" s="21">
        <v>85</v>
      </c>
      <c r="AT38">
        <v>87</v>
      </c>
      <c r="AU38" s="20">
        <v>83</v>
      </c>
      <c r="AV38" s="20">
        <f t="shared" si="7"/>
        <v>85.5</v>
      </c>
      <c r="AW38">
        <v>10</v>
      </c>
      <c r="AX38">
        <v>0</v>
      </c>
      <c r="AY38" s="20">
        <v>0</v>
      </c>
      <c r="AZ38" s="20">
        <f t="shared" si="8"/>
        <v>6.666666666666667</v>
      </c>
      <c r="BA38">
        <v>54</v>
      </c>
      <c r="BB38">
        <v>0</v>
      </c>
      <c r="BC38">
        <v>0</v>
      </c>
      <c r="BD38" s="20">
        <f t="shared" si="9"/>
        <v>36</v>
      </c>
      <c r="BE38">
        <v>0</v>
      </c>
      <c r="BF38" s="20">
        <v>0</v>
      </c>
      <c r="BG38" s="20">
        <v>0</v>
      </c>
      <c r="BH38" s="20">
        <f t="shared" si="10"/>
        <v>0</v>
      </c>
      <c r="BI38">
        <v>25.8</v>
      </c>
      <c r="BJ38">
        <v>13.8</v>
      </c>
      <c r="BK38" s="17">
        <f t="shared" si="11"/>
        <v>46.511627906976742</v>
      </c>
      <c r="BL38" s="17">
        <f t="shared" si="12"/>
        <v>4.604651162790697</v>
      </c>
      <c r="BM38" s="18">
        <f t="shared" si="13"/>
        <v>45510.604651162794</v>
      </c>
      <c r="BN38" s="175">
        <f t="shared" si="14"/>
        <v>92.604651162793743</v>
      </c>
      <c r="BO38">
        <v>6</v>
      </c>
      <c r="BP38" s="22">
        <f t="shared" si="15"/>
        <v>8.6867999999999999</v>
      </c>
      <c r="BQ38">
        <v>9320</v>
      </c>
      <c r="BR38">
        <v>9.8000000000000007</v>
      </c>
      <c r="BS38" s="20">
        <f t="shared" ref="BS38:BS69" si="20">(BQ38*(100-BR38)/(100-13.5))/BP38*10000/1000</f>
        <v>11187.847031746525</v>
      </c>
      <c r="BT38" s="20">
        <f t="shared" si="16"/>
        <v>207.97920764144183</v>
      </c>
      <c r="BU38">
        <v>42.8</v>
      </c>
      <c r="BV38" s="22">
        <v>5.61</v>
      </c>
      <c r="BW38" s="22">
        <v>5.62</v>
      </c>
      <c r="BX38" s="159">
        <f t="shared" si="17"/>
        <v>58.551791907514456</v>
      </c>
      <c r="BZ38" s="161" t="s">
        <v>31</v>
      </c>
      <c r="CA38" s="21">
        <v>101.375</v>
      </c>
      <c r="CB38" s="21">
        <v>191.46206424697334</v>
      </c>
    </row>
    <row r="39" spans="2:80" x14ac:dyDescent="0.3">
      <c r="B39" s="63">
        <v>2024</v>
      </c>
      <c r="C39" t="s">
        <v>105</v>
      </c>
      <c r="D39">
        <v>208</v>
      </c>
      <c r="E39">
        <v>2</v>
      </c>
      <c r="F39">
        <v>21</v>
      </c>
      <c r="G39" t="s">
        <v>41</v>
      </c>
      <c r="H39">
        <v>3</v>
      </c>
      <c r="I39" s="23" t="s">
        <v>39</v>
      </c>
      <c r="J39">
        <v>42</v>
      </c>
      <c r="K39">
        <v>51</v>
      </c>
      <c r="L39" s="21">
        <f t="shared" si="19"/>
        <v>192.70617488603401</v>
      </c>
      <c r="M39">
        <v>59</v>
      </c>
      <c r="N39" s="21">
        <v>58</v>
      </c>
      <c r="O39">
        <v>59</v>
      </c>
      <c r="P39" s="20">
        <v>61</v>
      </c>
      <c r="Q39" s="20">
        <f t="shared" si="1"/>
        <v>59.25</v>
      </c>
      <c r="R39">
        <v>77</v>
      </c>
      <c r="S39" s="21">
        <v>75</v>
      </c>
      <c r="T39">
        <v>78</v>
      </c>
      <c r="U39" s="20">
        <v>75</v>
      </c>
      <c r="V39" s="20">
        <f t="shared" si="2"/>
        <v>76.25</v>
      </c>
      <c r="W39">
        <v>85</v>
      </c>
      <c r="X39" s="21">
        <v>78</v>
      </c>
      <c r="Y39">
        <v>84</v>
      </c>
      <c r="Z39" s="20">
        <v>81</v>
      </c>
      <c r="AA39" s="20">
        <f t="shared" si="3"/>
        <v>82</v>
      </c>
      <c r="AB39">
        <v>87</v>
      </c>
      <c r="AC39" s="21">
        <v>84</v>
      </c>
      <c r="AD39">
        <v>88</v>
      </c>
      <c r="AE39" s="20">
        <v>83</v>
      </c>
      <c r="AF39" s="20">
        <f t="shared" si="4"/>
        <v>85.5</v>
      </c>
      <c r="AG39" s="20"/>
      <c r="AH39" s="20"/>
      <c r="AI39" s="20"/>
      <c r="AJ39" s="20"/>
      <c r="AK39" s="20" t="e">
        <f t="shared" si="5"/>
        <v>#DIV/0!</v>
      </c>
      <c r="AL39" s="20"/>
      <c r="AM39" s="20"/>
      <c r="AN39" s="20"/>
      <c r="AO39" s="20"/>
      <c r="AP39" s="20" t="e">
        <f t="shared" si="6"/>
        <v>#DIV/0!</v>
      </c>
      <c r="AQ39" s="147">
        <v>45480</v>
      </c>
      <c r="AR39">
        <v>80</v>
      </c>
      <c r="AS39" s="21">
        <v>84</v>
      </c>
      <c r="AT39">
        <v>85</v>
      </c>
      <c r="AU39" s="20">
        <v>85</v>
      </c>
      <c r="AV39" s="20">
        <f t="shared" si="7"/>
        <v>83.5</v>
      </c>
      <c r="AW39">
        <v>5</v>
      </c>
      <c r="AX39">
        <v>0</v>
      </c>
      <c r="AY39" s="20">
        <v>0</v>
      </c>
      <c r="AZ39" s="20">
        <f t="shared" si="8"/>
        <v>3.3333333333333335</v>
      </c>
      <c r="BA39">
        <v>50</v>
      </c>
      <c r="BB39">
        <v>0</v>
      </c>
      <c r="BC39">
        <v>0</v>
      </c>
      <c r="BD39" s="20">
        <f t="shared" si="9"/>
        <v>33.333333333333336</v>
      </c>
      <c r="BE39">
        <v>0</v>
      </c>
      <c r="BF39" s="20">
        <v>0</v>
      </c>
      <c r="BG39" s="20">
        <v>0</v>
      </c>
      <c r="BH39" s="20">
        <f t="shared" si="10"/>
        <v>0</v>
      </c>
      <c r="BI39">
        <v>27.1</v>
      </c>
      <c r="BJ39">
        <v>15</v>
      </c>
      <c r="BK39" s="17">
        <f t="shared" si="11"/>
        <v>44.649446494464947</v>
      </c>
      <c r="BL39" s="17">
        <f t="shared" si="12"/>
        <v>3.8597785977859784</v>
      </c>
      <c r="BM39" s="18">
        <f t="shared" si="13"/>
        <v>45509.859778597784</v>
      </c>
      <c r="BN39" s="175">
        <f t="shared" si="14"/>
        <v>91.859778597783588</v>
      </c>
      <c r="BO39">
        <v>6</v>
      </c>
      <c r="BP39" s="22">
        <f t="shared" si="15"/>
        <v>8.6867999999999999</v>
      </c>
      <c r="BQ39">
        <v>8440</v>
      </c>
      <c r="BR39">
        <v>16.5</v>
      </c>
      <c r="BS39" s="20">
        <f t="shared" si="20"/>
        <v>9378.9234666323846</v>
      </c>
      <c r="BT39" s="20">
        <f t="shared" si="16"/>
        <v>174.35178239252508</v>
      </c>
      <c r="BU39">
        <v>65.900000000000006</v>
      </c>
      <c r="BV39" s="22">
        <v>5.56</v>
      </c>
      <c r="BW39" s="22">
        <v>5.33</v>
      </c>
      <c r="BX39" s="159">
        <f t="shared" si="17"/>
        <v>52.561560693641624</v>
      </c>
      <c r="BZ39" s="161" t="s">
        <v>35</v>
      </c>
      <c r="CA39" s="162">
        <v>88.0625</v>
      </c>
      <c r="CB39" s="21">
        <v>189.30134557133306</v>
      </c>
    </row>
    <row r="40" spans="2:80" x14ac:dyDescent="0.3">
      <c r="B40" s="63">
        <v>2024</v>
      </c>
      <c r="C40" t="s">
        <v>105</v>
      </c>
      <c r="D40">
        <v>209</v>
      </c>
      <c r="E40">
        <v>2</v>
      </c>
      <c r="F40">
        <v>20</v>
      </c>
      <c r="G40" t="s">
        <v>41</v>
      </c>
      <c r="H40">
        <v>2</v>
      </c>
      <c r="I40" s="23" t="s">
        <v>32</v>
      </c>
      <c r="J40">
        <v>45</v>
      </c>
      <c r="K40">
        <v>48</v>
      </c>
      <c r="L40" s="21">
        <f t="shared" si="19"/>
        <v>200.99461251554084</v>
      </c>
      <c r="M40">
        <v>56</v>
      </c>
      <c r="N40" s="21">
        <v>56</v>
      </c>
      <c r="O40">
        <v>51</v>
      </c>
      <c r="P40" s="20">
        <v>60</v>
      </c>
      <c r="Q40" s="20">
        <f t="shared" si="1"/>
        <v>55.75</v>
      </c>
      <c r="R40">
        <v>77</v>
      </c>
      <c r="S40" s="21">
        <v>67</v>
      </c>
      <c r="T40">
        <v>78</v>
      </c>
      <c r="U40" s="20">
        <v>73</v>
      </c>
      <c r="V40" s="20">
        <f t="shared" si="2"/>
        <v>73.75</v>
      </c>
      <c r="W40">
        <v>80</v>
      </c>
      <c r="X40" s="21">
        <v>81</v>
      </c>
      <c r="Y40">
        <v>83</v>
      </c>
      <c r="Z40" s="20">
        <v>77</v>
      </c>
      <c r="AA40" s="20">
        <f t="shared" si="3"/>
        <v>80.25</v>
      </c>
      <c r="AB40">
        <v>81</v>
      </c>
      <c r="AC40" s="21">
        <v>82</v>
      </c>
      <c r="AD40">
        <v>84</v>
      </c>
      <c r="AE40" s="20">
        <v>83</v>
      </c>
      <c r="AF40" s="20">
        <f t="shared" si="4"/>
        <v>82.5</v>
      </c>
      <c r="AG40" s="20"/>
      <c r="AH40" s="20"/>
      <c r="AI40" s="20"/>
      <c r="AJ40" s="20"/>
      <c r="AK40" s="20" t="e">
        <f t="shared" si="5"/>
        <v>#DIV/0!</v>
      </c>
      <c r="AL40" s="20"/>
      <c r="AM40" s="20"/>
      <c r="AN40" s="20"/>
      <c r="AO40" s="20"/>
      <c r="AP40" s="20" t="e">
        <f t="shared" si="6"/>
        <v>#DIV/0!</v>
      </c>
      <c r="AQ40" s="147">
        <v>45480</v>
      </c>
      <c r="AR40">
        <v>80</v>
      </c>
      <c r="AS40" s="21">
        <v>82</v>
      </c>
      <c r="AT40">
        <v>82</v>
      </c>
      <c r="AU40" s="20">
        <v>80</v>
      </c>
      <c r="AV40" s="20">
        <f t="shared" si="7"/>
        <v>81</v>
      </c>
      <c r="AW40">
        <v>0</v>
      </c>
      <c r="AX40">
        <v>0</v>
      </c>
      <c r="AY40" s="20">
        <v>0</v>
      </c>
      <c r="AZ40" s="20">
        <f t="shared" si="8"/>
        <v>0</v>
      </c>
      <c r="BA40">
        <v>85</v>
      </c>
      <c r="BB40">
        <v>0</v>
      </c>
      <c r="BC40">
        <v>0</v>
      </c>
      <c r="BD40" s="20">
        <f t="shared" si="9"/>
        <v>56.666666666666664</v>
      </c>
      <c r="BE40">
        <v>0</v>
      </c>
      <c r="BF40" s="20">
        <v>0</v>
      </c>
      <c r="BG40" s="20">
        <v>0</v>
      </c>
      <c r="BH40" s="20">
        <f t="shared" si="10"/>
        <v>0</v>
      </c>
      <c r="BI40">
        <v>24.6</v>
      </c>
      <c r="BJ40">
        <v>13.9</v>
      </c>
      <c r="BK40" s="17">
        <f t="shared" si="11"/>
        <v>43.495934959349597</v>
      </c>
      <c r="BL40" s="17">
        <f t="shared" si="12"/>
        <v>3.3983739837398388</v>
      </c>
      <c r="BM40" s="18">
        <f t="shared" si="13"/>
        <v>45509.398373983742</v>
      </c>
      <c r="BN40" s="175">
        <f t="shared" si="14"/>
        <v>91.398373983742204</v>
      </c>
      <c r="BO40">
        <v>6</v>
      </c>
      <c r="BP40" s="22">
        <f t="shared" si="15"/>
        <v>8.6867999999999999</v>
      </c>
      <c r="BQ40">
        <v>8620</v>
      </c>
      <c r="BR40">
        <v>15.5</v>
      </c>
      <c r="BS40" s="20">
        <f t="shared" si="20"/>
        <v>9693.6658396860712</v>
      </c>
      <c r="BT40" s="20">
        <f t="shared" si="16"/>
        <v>180.20276240442055</v>
      </c>
      <c r="BU40">
        <v>65.8</v>
      </c>
      <c r="BV40" s="22">
        <v>5.43</v>
      </c>
      <c r="BW40" s="22">
        <v>5.42</v>
      </c>
      <c r="BX40" s="159">
        <f t="shared" si="17"/>
        <v>52.995664739884397</v>
      </c>
      <c r="BZ40" s="161" t="s">
        <v>32</v>
      </c>
      <c r="CA40" s="21">
        <v>103.0625</v>
      </c>
      <c r="CB40" s="21">
        <v>194.77974309283047</v>
      </c>
    </row>
    <row r="41" spans="2:80" x14ac:dyDescent="0.3">
      <c r="B41" s="63">
        <v>2024</v>
      </c>
      <c r="C41" t="s">
        <v>105</v>
      </c>
      <c r="D41">
        <v>210</v>
      </c>
      <c r="E41">
        <v>2</v>
      </c>
      <c r="F41">
        <v>8</v>
      </c>
      <c r="G41" t="s">
        <v>42</v>
      </c>
      <c r="H41">
        <v>8</v>
      </c>
      <c r="I41" s="23" t="s">
        <v>38</v>
      </c>
      <c r="J41">
        <v>48</v>
      </c>
      <c r="K41">
        <v>49</v>
      </c>
      <c r="L41" s="21">
        <f t="shared" si="19"/>
        <v>186.48984666390388</v>
      </c>
      <c r="M41">
        <v>45</v>
      </c>
      <c r="N41" s="21">
        <v>65</v>
      </c>
      <c r="O41">
        <v>45</v>
      </c>
      <c r="P41" s="20">
        <v>47</v>
      </c>
      <c r="Q41" s="20">
        <f t="shared" si="1"/>
        <v>50.5</v>
      </c>
      <c r="R41">
        <v>60</v>
      </c>
      <c r="S41" s="21">
        <v>80</v>
      </c>
      <c r="T41">
        <v>74</v>
      </c>
      <c r="U41" s="20">
        <v>82</v>
      </c>
      <c r="V41" s="20">
        <f t="shared" si="2"/>
        <v>74</v>
      </c>
      <c r="W41">
        <v>93</v>
      </c>
      <c r="X41" s="21">
        <v>94</v>
      </c>
      <c r="Y41">
        <v>99</v>
      </c>
      <c r="Z41" s="20">
        <v>95</v>
      </c>
      <c r="AA41" s="20">
        <f t="shared" si="3"/>
        <v>95.25</v>
      </c>
      <c r="AB41">
        <v>104</v>
      </c>
      <c r="AC41" s="21">
        <v>101</v>
      </c>
      <c r="AD41">
        <v>110</v>
      </c>
      <c r="AE41" s="20">
        <v>100</v>
      </c>
      <c r="AF41" s="20">
        <f t="shared" si="4"/>
        <v>103.75</v>
      </c>
      <c r="AG41" s="20"/>
      <c r="AH41" s="20"/>
      <c r="AI41" s="20"/>
      <c r="AJ41" s="20"/>
      <c r="AK41" s="20" t="e">
        <f t="shared" si="5"/>
        <v>#DIV/0!</v>
      </c>
      <c r="AL41" s="20"/>
      <c r="AM41" s="20"/>
      <c r="AN41" s="20"/>
      <c r="AO41" s="20"/>
      <c r="AP41" s="20" t="e">
        <f t="shared" si="6"/>
        <v>#DIV/0!</v>
      </c>
      <c r="AQ41" s="147">
        <v>45481</v>
      </c>
      <c r="AR41">
        <v>98</v>
      </c>
      <c r="AS41" s="21">
        <v>104</v>
      </c>
      <c r="AT41">
        <v>97</v>
      </c>
      <c r="AU41" s="20">
        <v>101</v>
      </c>
      <c r="AV41" s="20">
        <f t="shared" si="7"/>
        <v>100</v>
      </c>
      <c r="AW41">
        <v>80</v>
      </c>
      <c r="AX41">
        <v>0</v>
      </c>
      <c r="AY41" s="20">
        <v>0</v>
      </c>
      <c r="AZ41" s="20">
        <f t="shared" si="8"/>
        <v>53.333333333333336</v>
      </c>
      <c r="BA41">
        <v>42</v>
      </c>
      <c r="BB41">
        <v>0</v>
      </c>
      <c r="BC41">
        <v>0</v>
      </c>
      <c r="BD41" s="20">
        <f t="shared" si="9"/>
        <v>28</v>
      </c>
      <c r="BE41">
        <v>0</v>
      </c>
      <c r="BF41" s="20">
        <v>0</v>
      </c>
      <c r="BG41" s="20">
        <v>0</v>
      </c>
      <c r="BH41" s="20">
        <f t="shared" si="10"/>
        <v>0</v>
      </c>
      <c r="BI41">
        <v>32.5</v>
      </c>
      <c r="BJ41">
        <v>17.7</v>
      </c>
      <c r="BK41" s="17">
        <f t="shared" si="11"/>
        <v>45.53846153846154</v>
      </c>
      <c r="BL41" s="17">
        <f t="shared" si="12"/>
        <v>4.2153846153846164</v>
      </c>
      <c r="BM41" s="18">
        <f t="shared" si="13"/>
        <v>45510.215384615381</v>
      </c>
      <c r="BN41" s="175">
        <f t="shared" si="14"/>
        <v>92.215384615381481</v>
      </c>
      <c r="BO41">
        <v>6</v>
      </c>
      <c r="BP41" s="22">
        <f t="shared" si="15"/>
        <v>8.6867999999999999</v>
      </c>
      <c r="BQ41">
        <v>8600</v>
      </c>
      <c r="BR41">
        <v>14.9</v>
      </c>
      <c r="BS41" s="20">
        <f t="shared" si="20"/>
        <v>9739.8457988613918</v>
      </c>
      <c r="BT41" s="20">
        <f t="shared" si="16"/>
        <v>181.06123600447461</v>
      </c>
      <c r="BU41">
        <v>68.400000000000006</v>
      </c>
      <c r="BV41" s="22">
        <v>4.91</v>
      </c>
      <c r="BW41" s="22">
        <v>5</v>
      </c>
      <c r="BX41" s="159">
        <f t="shared" si="17"/>
        <v>48.74803468208092</v>
      </c>
      <c r="BZ41" s="161" t="s">
        <v>38</v>
      </c>
      <c r="CA41" s="21">
        <v>101.0625</v>
      </c>
      <c r="CB41" s="21">
        <v>193.3869500813307</v>
      </c>
    </row>
    <row r="42" spans="2:80" x14ac:dyDescent="0.3">
      <c r="B42" s="63">
        <v>2024</v>
      </c>
      <c r="C42" t="s">
        <v>105</v>
      </c>
      <c r="D42">
        <v>211</v>
      </c>
      <c r="E42">
        <v>2</v>
      </c>
      <c r="F42">
        <v>1</v>
      </c>
      <c r="G42" t="s">
        <v>42</v>
      </c>
      <c r="H42">
        <v>1</v>
      </c>
      <c r="I42" s="23" t="s">
        <v>37</v>
      </c>
      <c r="J42">
        <v>42</v>
      </c>
      <c r="K42">
        <v>48</v>
      </c>
      <c r="L42" s="21">
        <f t="shared" si="19"/>
        <v>194.77828429341071</v>
      </c>
      <c r="M42">
        <v>48</v>
      </c>
      <c r="N42">
        <v>50</v>
      </c>
      <c r="O42">
        <v>56</v>
      </c>
      <c r="P42">
        <v>61</v>
      </c>
      <c r="Q42" s="20">
        <f t="shared" si="1"/>
        <v>53.75</v>
      </c>
      <c r="R42">
        <v>93</v>
      </c>
      <c r="S42">
        <v>80</v>
      </c>
      <c r="T42">
        <v>77</v>
      </c>
      <c r="U42">
        <v>64</v>
      </c>
      <c r="V42" s="20">
        <f t="shared" si="2"/>
        <v>78.5</v>
      </c>
      <c r="W42">
        <v>99</v>
      </c>
      <c r="X42">
        <v>98</v>
      </c>
      <c r="Y42">
        <v>97</v>
      </c>
      <c r="Z42">
        <v>100</v>
      </c>
      <c r="AA42" s="20">
        <f t="shared" si="3"/>
        <v>98.5</v>
      </c>
      <c r="AB42">
        <v>104</v>
      </c>
      <c r="AC42">
        <v>106</v>
      </c>
      <c r="AD42">
        <v>104</v>
      </c>
      <c r="AE42">
        <v>107</v>
      </c>
      <c r="AF42" s="20">
        <f t="shared" si="4"/>
        <v>105.25</v>
      </c>
      <c r="AG42" s="20"/>
      <c r="AH42" s="20"/>
      <c r="AI42" s="20"/>
      <c r="AJ42" s="20"/>
      <c r="AK42" s="20" t="e">
        <f t="shared" si="5"/>
        <v>#DIV/0!</v>
      </c>
      <c r="AL42" s="20"/>
      <c r="AM42" s="20"/>
      <c r="AN42" s="20"/>
      <c r="AO42" s="20"/>
      <c r="AP42" s="20" t="e">
        <f t="shared" si="6"/>
        <v>#DIV/0!</v>
      </c>
      <c r="AQ42" s="147">
        <v>45482</v>
      </c>
      <c r="AR42">
        <v>100</v>
      </c>
      <c r="AS42">
        <v>99</v>
      </c>
      <c r="AT42">
        <v>104</v>
      </c>
      <c r="AU42">
        <v>105</v>
      </c>
      <c r="AV42" s="20">
        <f t="shared" si="7"/>
        <v>102</v>
      </c>
      <c r="AW42">
        <v>80</v>
      </c>
      <c r="AX42">
        <v>0</v>
      </c>
      <c r="AY42">
        <v>0</v>
      </c>
      <c r="AZ42" s="20">
        <f t="shared" si="8"/>
        <v>53.333333333333336</v>
      </c>
      <c r="BA42">
        <v>0</v>
      </c>
      <c r="BB42">
        <v>0</v>
      </c>
      <c r="BC42">
        <v>0</v>
      </c>
      <c r="BD42" s="20">
        <f t="shared" si="9"/>
        <v>0</v>
      </c>
      <c r="BE42">
        <v>0</v>
      </c>
      <c r="BF42">
        <v>0</v>
      </c>
      <c r="BG42">
        <v>0</v>
      </c>
      <c r="BH42" s="20">
        <f t="shared" si="10"/>
        <v>0</v>
      </c>
      <c r="BI42">
        <v>22.8</v>
      </c>
      <c r="BJ42">
        <v>17.8</v>
      </c>
      <c r="BK42" s="17">
        <f t="shared" si="11"/>
        <v>21.929824561403507</v>
      </c>
      <c r="BL42" s="17">
        <f t="shared" si="12"/>
        <v>-5.2280701754385976</v>
      </c>
      <c r="BM42" s="18">
        <f t="shared" si="13"/>
        <v>45500.771929824565</v>
      </c>
      <c r="BN42" s="175">
        <f t="shared" si="14"/>
        <v>82.771929824564722</v>
      </c>
      <c r="BO42">
        <v>6</v>
      </c>
      <c r="BP42" s="22">
        <f t="shared" si="15"/>
        <v>8.6867999999999999</v>
      </c>
      <c r="BQ42">
        <v>8980</v>
      </c>
      <c r="BR42" s="20">
        <v>7.8</v>
      </c>
      <c r="BS42" s="20">
        <f t="shared" si="20"/>
        <v>11018.724576069304</v>
      </c>
      <c r="BT42" s="20">
        <f t="shared" si="16"/>
        <v>204.8352645551345</v>
      </c>
      <c r="BU42">
        <v>40.4</v>
      </c>
      <c r="BV42" s="22">
        <v>5.32</v>
      </c>
      <c r="BW42" s="22">
        <v>5.29</v>
      </c>
      <c r="BX42" s="159">
        <f t="shared" si="17"/>
        <v>56.545780346820806</v>
      </c>
      <c r="BZ42" s="161" t="s">
        <v>34</v>
      </c>
      <c r="CA42" s="162">
        <v>93.8125</v>
      </c>
      <c r="CB42" s="162">
        <v>198.20330859598533</v>
      </c>
    </row>
    <row r="43" spans="2:80" x14ac:dyDescent="0.3">
      <c r="B43" s="63">
        <v>2024</v>
      </c>
      <c r="C43" t="s">
        <v>105</v>
      </c>
      <c r="D43">
        <v>212</v>
      </c>
      <c r="E43">
        <v>2</v>
      </c>
      <c r="F43">
        <v>2</v>
      </c>
      <c r="G43" t="s">
        <v>42</v>
      </c>
      <c r="H43">
        <v>2</v>
      </c>
      <c r="I43" s="23" t="s">
        <v>32</v>
      </c>
      <c r="J43">
        <v>54</v>
      </c>
      <c r="K43">
        <v>40</v>
      </c>
      <c r="L43" s="21">
        <f t="shared" si="19"/>
        <v>190.63406547865728</v>
      </c>
      <c r="M43">
        <v>48</v>
      </c>
      <c r="N43">
        <v>50</v>
      </c>
      <c r="O43">
        <v>61</v>
      </c>
      <c r="P43">
        <v>54</v>
      </c>
      <c r="Q43" s="20">
        <f t="shared" si="1"/>
        <v>53.25</v>
      </c>
      <c r="R43">
        <v>74</v>
      </c>
      <c r="S43">
        <v>73</v>
      </c>
      <c r="T43">
        <v>67</v>
      </c>
      <c r="U43">
        <v>83</v>
      </c>
      <c r="V43" s="20">
        <f t="shared" si="2"/>
        <v>74.25</v>
      </c>
      <c r="W43">
        <v>92</v>
      </c>
      <c r="X43">
        <v>93</v>
      </c>
      <c r="Y43">
        <v>98</v>
      </c>
      <c r="Z43">
        <v>95</v>
      </c>
      <c r="AA43" s="20">
        <f t="shared" si="3"/>
        <v>94.5</v>
      </c>
      <c r="AB43">
        <v>103</v>
      </c>
      <c r="AC43">
        <v>105</v>
      </c>
      <c r="AD43">
        <v>106</v>
      </c>
      <c r="AE43">
        <v>98</v>
      </c>
      <c r="AF43" s="20">
        <f t="shared" si="4"/>
        <v>103</v>
      </c>
      <c r="AG43" s="20"/>
      <c r="AH43" s="20"/>
      <c r="AI43" s="20"/>
      <c r="AJ43" s="20"/>
      <c r="AK43" s="20" t="e">
        <f t="shared" si="5"/>
        <v>#DIV/0!</v>
      </c>
      <c r="AL43" s="20"/>
      <c r="AM43" s="20"/>
      <c r="AN43" s="20"/>
      <c r="AO43" s="20"/>
      <c r="AP43" s="20" t="e">
        <f t="shared" si="6"/>
        <v>#DIV/0!</v>
      </c>
      <c r="AQ43" s="147">
        <v>45482</v>
      </c>
      <c r="AR43">
        <v>99</v>
      </c>
      <c r="AS43">
        <v>102</v>
      </c>
      <c r="AT43">
        <v>98</v>
      </c>
      <c r="AU43">
        <v>105</v>
      </c>
      <c r="AV43" s="20">
        <f t="shared" si="7"/>
        <v>101</v>
      </c>
      <c r="AW43">
        <v>60</v>
      </c>
      <c r="AX43">
        <v>0</v>
      </c>
      <c r="AY43">
        <v>0</v>
      </c>
      <c r="AZ43" s="20">
        <f t="shared" si="8"/>
        <v>40</v>
      </c>
      <c r="BA43">
        <v>25</v>
      </c>
      <c r="BB43">
        <v>0</v>
      </c>
      <c r="BC43">
        <v>0</v>
      </c>
      <c r="BD43" s="20">
        <f t="shared" si="9"/>
        <v>16.666666666666668</v>
      </c>
      <c r="BE43">
        <v>0</v>
      </c>
      <c r="BF43">
        <v>0</v>
      </c>
      <c r="BG43">
        <v>0</v>
      </c>
      <c r="BH43" s="20">
        <f t="shared" si="10"/>
        <v>0</v>
      </c>
      <c r="BI43">
        <v>28.6</v>
      </c>
      <c r="BJ43">
        <v>17.7</v>
      </c>
      <c r="BK43" s="17">
        <f t="shared" si="11"/>
        <v>38.111888111888113</v>
      </c>
      <c r="BL43" s="17">
        <f t="shared" si="12"/>
        <v>1.2447552447552455</v>
      </c>
      <c r="BM43" s="18">
        <f t="shared" si="13"/>
        <v>45507.244755244756</v>
      </c>
      <c r="BN43" s="175">
        <f t="shared" si="14"/>
        <v>89.244755244755652</v>
      </c>
      <c r="BO43">
        <v>6</v>
      </c>
      <c r="BP43" s="22">
        <f t="shared" si="15"/>
        <v>8.6867999999999999</v>
      </c>
      <c r="BQ43">
        <v>8600</v>
      </c>
      <c r="BR43" s="20">
        <v>15.7</v>
      </c>
      <c r="BS43" s="20">
        <f t="shared" si="20"/>
        <v>9648.2843812457741</v>
      </c>
      <c r="BT43" s="20">
        <f t="shared" si="16"/>
        <v>179.35913272828682</v>
      </c>
      <c r="BU43">
        <v>69.400000000000006</v>
      </c>
      <c r="BV43" s="22">
        <v>5.42</v>
      </c>
      <c r="BW43" s="22">
        <v>5.24</v>
      </c>
      <c r="BX43" s="159">
        <f t="shared" si="17"/>
        <v>51.94439306358381</v>
      </c>
      <c r="BZ43" s="161" t="s">
        <v>39</v>
      </c>
      <c r="CA43" s="21">
        <v>104.875</v>
      </c>
      <c r="CB43" s="21">
        <v>196.58358909755489</v>
      </c>
    </row>
    <row r="44" spans="2:80" x14ac:dyDescent="0.3">
      <c r="B44" s="63">
        <v>2024</v>
      </c>
      <c r="C44" t="s">
        <v>105</v>
      </c>
      <c r="D44">
        <v>213</v>
      </c>
      <c r="E44">
        <v>2</v>
      </c>
      <c r="F44">
        <v>6</v>
      </c>
      <c r="G44" t="s">
        <v>42</v>
      </c>
      <c r="H44">
        <v>6</v>
      </c>
      <c r="I44" s="23" t="s">
        <v>35</v>
      </c>
      <c r="J44">
        <v>44</v>
      </c>
      <c r="K44">
        <v>48</v>
      </c>
      <c r="L44" s="21">
        <f t="shared" si="19"/>
        <v>230.00414421881476</v>
      </c>
      <c r="M44">
        <v>58</v>
      </c>
      <c r="N44">
        <v>63</v>
      </c>
      <c r="O44">
        <v>60</v>
      </c>
      <c r="P44">
        <v>63</v>
      </c>
      <c r="Q44" s="20">
        <f t="shared" si="1"/>
        <v>61</v>
      </c>
      <c r="R44">
        <v>89</v>
      </c>
      <c r="S44">
        <v>74</v>
      </c>
      <c r="T44">
        <v>62</v>
      </c>
      <c r="U44">
        <v>57</v>
      </c>
      <c r="V44" s="20">
        <f t="shared" si="2"/>
        <v>70.5</v>
      </c>
      <c r="W44">
        <v>82</v>
      </c>
      <c r="X44">
        <v>89</v>
      </c>
      <c r="Y44">
        <v>90</v>
      </c>
      <c r="Z44">
        <v>82</v>
      </c>
      <c r="AA44" s="20">
        <f t="shared" si="3"/>
        <v>85.75</v>
      </c>
      <c r="AB44">
        <v>85</v>
      </c>
      <c r="AC44">
        <v>81</v>
      </c>
      <c r="AD44">
        <v>83</v>
      </c>
      <c r="AE44">
        <v>88</v>
      </c>
      <c r="AF44" s="20">
        <f t="shared" si="4"/>
        <v>84.25</v>
      </c>
      <c r="AG44" s="20"/>
      <c r="AH44" s="20"/>
      <c r="AI44" s="20"/>
      <c r="AJ44" s="20"/>
      <c r="AK44" s="20" t="e">
        <f t="shared" si="5"/>
        <v>#DIV/0!</v>
      </c>
      <c r="AL44" s="20"/>
      <c r="AM44" s="20"/>
      <c r="AN44" s="20"/>
      <c r="AO44" s="20"/>
      <c r="AP44" s="20" t="e">
        <f t="shared" si="6"/>
        <v>#DIV/0!</v>
      </c>
      <c r="AQ44" s="147">
        <v>45483</v>
      </c>
      <c r="AR44">
        <v>85</v>
      </c>
      <c r="AS44">
        <v>84</v>
      </c>
      <c r="AT44">
        <v>88</v>
      </c>
      <c r="AU44">
        <v>88</v>
      </c>
      <c r="AV44" s="20">
        <f t="shared" si="7"/>
        <v>86.25</v>
      </c>
      <c r="AW44">
        <v>0</v>
      </c>
      <c r="AX44">
        <v>0</v>
      </c>
      <c r="AY44">
        <v>0</v>
      </c>
      <c r="AZ44" s="20">
        <f t="shared" si="8"/>
        <v>0</v>
      </c>
      <c r="BA44">
        <v>0</v>
      </c>
      <c r="BB44">
        <v>0</v>
      </c>
      <c r="BC44">
        <v>0</v>
      </c>
      <c r="BD44" s="20">
        <f t="shared" si="9"/>
        <v>0</v>
      </c>
      <c r="BE44">
        <v>0</v>
      </c>
      <c r="BF44">
        <v>0</v>
      </c>
      <c r="BG44">
        <v>0</v>
      </c>
      <c r="BH44" s="20">
        <f t="shared" si="10"/>
        <v>0</v>
      </c>
      <c r="BI44">
        <v>29.4</v>
      </c>
      <c r="BJ44">
        <v>15.2</v>
      </c>
      <c r="BK44" s="17">
        <f t="shared" si="11"/>
        <v>48.299319727891152</v>
      </c>
      <c r="BL44" s="17">
        <f t="shared" si="12"/>
        <v>5.3197278911564609</v>
      </c>
      <c r="BM44" s="18">
        <f t="shared" si="13"/>
        <v>45511.319727891154</v>
      </c>
      <c r="BN44" s="175">
        <f t="shared" si="14"/>
        <v>93.319727891153889</v>
      </c>
      <c r="BO44">
        <v>6</v>
      </c>
      <c r="BP44" s="22">
        <f t="shared" si="15"/>
        <v>8.6867999999999999</v>
      </c>
      <c r="BQ44">
        <v>8750</v>
      </c>
      <c r="BR44" s="20">
        <v>7.9</v>
      </c>
      <c r="BS44" s="20">
        <f t="shared" si="20"/>
        <v>10724.862997236389</v>
      </c>
      <c r="BT44" s="20">
        <f t="shared" si="16"/>
        <v>199.37245315375338</v>
      </c>
      <c r="BU44">
        <v>35.9</v>
      </c>
      <c r="BV44" s="22">
        <v>4.84</v>
      </c>
      <c r="BW44" s="22">
        <v>5.05</v>
      </c>
      <c r="BX44" s="159">
        <f t="shared" si="17"/>
        <v>52.651387283236993</v>
      </c>
      <c r="BZ44" s="161" t="s">
        <v>33</v>
      </c>
      <c r="CA44" s="162">
        <v>94.25</v>
      </c>
      <c r="CB44" s="21">
        <v>196.43416026342447</v>
      </c>
    </row>
    <row r="45" spans="2:80" x14ac:dyDescent="0.3">
      <c r="B45" s="63">
        <v>2024</v>
      </c>
      <c r="C45" t="s">
        <v>105</v>
      </c>
      <c r="D45">
        <v>214</v>
      </c>
      <c r="E45">
        <v>2</v>
      </c>
      <c r="F45">
        <v>9</v>
      </c>
      <c r="G45" t="s">
        <v>42</v>
      </c>
      <c r="H45">
        <v>9</v>
      </c>
      <c r="I45" s="23" t="s">
        <v>33</v>
      </c>
      <c r="J45">
        <v>54</v>
      </c>
      <c r="K45">
        <v>57</v>
      </c>
      <c r="L45" s="21">
        <f t="shared" si="19"/>
        <v>176.12929962702032</v>
      </c>
      <c r="M45">
        <v>60</v>
      </c>
      <c r="N45">
        <v>58</v>
      </c>
      <c r="O45">
        <v>58</v>
      </c>
      <c r="P45">
        <v>59</v>
      </c>
      <c r="Q45" s="20">
        <f t="shared" si="1"/>
        <v>58.75</v>
      </c>
      <c r="R45">
        <v>72</v>
      </c>
      <c r="S45">
        <v>78</v>
      </c>
      <c r="T45">
        <v>78</v>
      </c>
      <c r="U45">
        <v>75</v>
      </c>
      <c r="V45" s="20">
        <f t="shared" si="2"/>
        <v>75.75</v>
      </c>
      <c r="W45">
        <v>84</v>
      </c>
      <c r="X45">
        <v>85</v>
      </c>
      <c r="Y45">
        <v>95</v>
      </c>
      <c r="Z45">
        <v>96</v>
      </c>
      <c r="AA45" s="20">
        <f t="shared" si="3"/>
        <v>90</v>
      </c>
      <c r="AB45">
        <v>93</v>
      </c>
      <c r="AC45">
        <v>98</v>
      </c>
      <c r="AD45">
        <v>95</v>
      </c>
      <c r="AE45">
        <v>100</v>
      </c>
      <c r="AF45" s="20">
        <f t="shared" si="4"/>
        <v>96.5</v>
      </c>
      <c r="AG45" s="20"/>
      <c r="AH45" s="20"/>
      <c r="AI45" s="20"/>
      <c r="AJ45" s="20"/>
      <c r="AK45" s="20" t="e">
        <f t="shared" si="5"/>
        <v>#DIV/0!</v>
      </c>
      <c r="AL45" s="20"/>
      <c r="AM45" s="20"/>
      <c r="AN45" s="20"/>
      <c r="AO45" s="20"/>
      <c r="AP45" s="20" t="e">
        <f t="shared" si="6"/>
        <v>#DIV/0!</v>
      </c>
      <c r="AQ45" s="147">
        <v>45483</v>
      </c>
      <c r="AR45">
        <v>97</v>
      </c>
      <c r="AS45">
        <v>97</v>
      </c>
      <c r="AT45">
        <v>93</v>
      </c>
      <c r="AU45">
        <v>86</v>
      </c>
      <c r="AV45" s="20">
        <f t="shared" si="7"/>
        <v>93.25</v>
      </c>
      <c r="AW45">
        <v>0</v>
      </c>
      <c r="AX45">
        <v>0</v>
      </c>
      <c r="AY45">
        <v>0</v>
      </c>
      <c r="AZ45" s="20">
        <f t="shared" si="8"/>
        <v>0</v>
      </c>
      <c r="BA45">
        <v>40</v>
      </c>
      <c r="BB45">
        <v>0</v>
      </c>
      <c r="BC45">
        <v>0</v>
      </c>
      <c r="BD45" s="20">
        <f t="shared" si="9"/>
        <v>26.666666666666668</v>
      </c>
      <c r="BE45">
        <v>0</v>
      </c>
      <c r="BF45">
        <v>0</v>
      </c>
      <c r="BG45">
        <v>0</v>
      </c>
      <c r="BH45" s="20">
        <f t="shared" si="10"/>
        <v>0</v>
      </c>
      <c r="BI45">
        <v>29.9</v>
      </c>
      <c r="BJ45">
        <v>16.100000000000001</v>
      </c>
      <c r="BK45" s="17">
        <f t="shared" si="11"/>
        <v>46.153846153846146</v>
      </c>
      <c r="BL45" s="17">
        <f t="shared" si="12"/>
        <v>4.4615384615384581</v>
      </c>
      <c r="BM45" s="18">
        <f t="shared" si="13"/>
        <v>45510.461538461539</v>
      </c>
      <c r="BN45" s="175">
        <f t="shared" si="14"/>
        <v>92.461538461539021</v>
      </c>
      <c r="BO45">
        <v>6</v>
      </c>
      <c r="BP45" s="22">
        <f t="shared" si="15"/>
        <v>8.6867999999999999</v>
      </c>
      <c r="BQ45">
        <v>8740</v>
      </c>
      <c r="BR45" s="20">
        <v>7.5</v>
      </c>
      <c r="BS45" s="20">
        <f t="shared" si="20"/>
        <v>10759.131987114328</v>
      </c>
      <c r="BT45" s="20">
        <f t="shared" si="16"/>
        <v>200.0095048886638</v>
      </c>
      <c r="BU45">
        <v>37.1</v>
      </c>
      <c r="BV45" s="22">
        <v>5.1100000000000003</v>
      </c>
      <c r="BW45" s="22">
        <v>5.2</v>
      </c>
      <c r="BX45" s="159">
        <f t="shared" si="17"/>
        <v>55.125722543352602</v>
      </c>
      <c r="BZ45" s="161" t="s">
        <v>36</v>
      </c>
      <c r="CA45" s="162">
        <v>94.375</v>
      </c>
      <c r="CB45" s="21">
        <v>186.50611099778541</v>
      </c>
    </row>
    <row r="46" spans="2:80" x14ac:dyDescent="0.3">
      <c r="B46" s="63">
        <v>2024</v>
      </c>
      <c r="C46" t="s">
        <v>105</v>
      </c>
      <c r="D46">
        <v>215</v>
      </c>
      <c r="E46">
        <v>2</v>
      </c>
      <c r="F46">
        <v>4</v>
      </c>
      <c r="G46" t="s">
        <v>42</v>
      </c>
      <c r="H46">
        <v>4</v>
      </c>
      <c r="I46" s="23" t="s">
        <v>36</v>
      </c>
      <c r="J46">
        <v>47</v>
      </c>
      <c r="K46">
        <v>38</v>
      </c>
      <c r="L46" s="21">
        <f t="shared" si="19"/>
        <v>155.40820555325323</v>
      </c>
      <c r="M46">
        <v>59</v>
      </c>
      <c r="N46">
        <v>69</v>
      </c>
      <c r="O46">
        <v>64</v>
      </c>
      <c r="P46">
        <v>62</v>
      </c>
      <c r="Q46" s="20">
        <f t="shared" si="1"/>
        <v>63.5</v>
      </c>
      <c r="R46">
        <v>90</v>
      </c>
      <c r="S46">
        <v>80</v>
      </c>
      <c r="T46">
        <v>72</v>
      </c>
      <c r="U46">
        <v>79</v>
      </c>
      <c r="V46" s="20">
        <f t="shared" si="2"/>
        <v>80.25</v>
      </c>
      <c r="W46">
        <v>94</v>
      </c>
      <c r="X46">
        <v>93</v>
      </c>
      <c r="Y46">
        <v>86</v>
      </c>
      <c r="Z46">
        <v>81</v>
      </c>
      <c r="AA46" s="20">
        <f t="shared" si="3"/>
        <v>88.5</v>
      </c>
      <c r="AB46">
        <v>92</v>
      </c>
      <c r="AC46">
        <v>88</v>
      </c>
      <c r="AD46">
        <v>98</v>
      </c>
      <c r="AE46">
        <v>97</v>
      </c>
      <c r="AF46" s="20">
        <f t="shared" si="4"/>
        <v>93.75</v>
      </c>
      <c r="AG46" s="20"/>
      <c r="AH46" s="20"/>
      <c r="AI46" s="20"/>
      <c r="AJ46" s="20"/>
      <c r="AK46" s="20" t="e">
        <f t="shared" si="5"/>
        <v>#DIV/0!</v>
      </c>
      <c r="AL46" s="20"/>
      <c r="AM46" s="20"/>
      <c r="AN46" s="20"/>
      <c r="AO46" s="20"/>
      <c r="AP46" s="20" t="e">
        <f t="shared" si="6"/>
        <v>#DIV/0!</v>
      </c>
      <c r="AQ46" s="147">
        <v>45482</v>
      </c>
      <c r="AR46">
        <v>87</v>
      </c>
      <c r="AS46">
        <v>90</v>
      </c>
      <c r="AT46">
        <v>92</v>
      </c>
      <c r="AU46">
        <v>96</v>
      </c>
      <c r="AV46" s="20">
        <f t="shared" si="7"/>
        <v>91.25</v>
      </c>
      <c r="AW46">
        <v>0</v>
      </c>
      <c r="AX46">
        <v>0</v>
      </c>
      <c r="AY46">
        <v>0</v>
      </c>
      <c r="AZ46" s="20">
        <f t="shared" si="8"/>
        <v>0</v>
      </c>
      <c r="BA46">
        <v>50</v>
      </c>
      <c r="BB46">
        <v>0</v>
      </c>
      <c r="BC46">
        <v>0</v>
      </c>
      <c r="BD46" s="20">
        <f t="shared" si="9"/>
        <v>33.333333333333336</v>
      </c>
      <c r="BE46">
        <v>0</v>
      </c>
      <c r="BF46">
        <v>0</v>
      </c>
      <c r="BG46">
        <v>0</v>
      </c>
      <c r="BH46" s="20">
        <f t="shared" si="10"/>
        <v>0</v>
      </c>
      <c r="BI46">
        <v>29.8</v>
      </c>
      <c r="BJ46">
        <v>12.9</v>
      </c>
      <c r="BK46" s="17">
        <f t="shared" si="11"/>
        <v>56.711409395973142</v>
      </c>
      <c r="BL46" s="17">
        <f t="shared" si="12"/>
        <v>8.6845637583892561</v>
      </c>
      <c r="BM46" s="18">
        <f t="shared" si="13"/>
        <v>45514.68456375839</v>
      </c>
      <c r="BN46" s="175">
        <f t="shared" si="14"/>
        <v>96.684563758390141</v>
      </c>
      <c r="BO46">
        <v>6</v>
      </c>
      <c r="BP46" s="22">
        <f t="shared" si="15"/>
        <v>8.6867999999999999</v>
      </c>
      <c r="BQ46">
        <v>8160</v>
      </c>
      <c r="BR46" s="20">
        <v>15.7</v>
      </c>
      <c r="BS46" s="20">
        <f t="shared" si="20"/>
        <v>9154.6512268564547</v>
      </c>
      <c r="BT46" s="20">
        <f t="shared" si="16"/>
        <v>170.18261896079306</v>
      </c>
      <c r="BU46">
        <v>68.5</v>
      </c>
      <c r="BV46" s="22">
        <v>5.38</v>
      </c>
      <c r="BW46" s="22">
        <v>5.08</v>
      </c>
      <c r="BX46" s="159">
        <f t="shared" si="17"/>
        <v>50.969826589595378</v>
      </c>
      <c r="BZ46" s="161" t="s">
        <v>37</v>
      </c>
      <c r="CA46" s="21">
        <v>104.875</v>
      </c>
      <c r="CB46" s="162">
        <v>194.57396919748606</v>
      </c>
    </row>
    <row r="47" spans="2:80" x14ac:dyDescent="0.3">
      <c r="B47" s="63">
        <v>2024</v>
      </c>
      <c r="C47" t="s">
        <v>105</v>
      </c>
      <c r="D47">
        <v>216</v>
      </c>
      <c r="E47">
        <v>2</v>
      </c>
      <c r="F47">
        <v>5</v>
      </c>
      <c r="G47" t="s">
        <v>42</v>
      </c>
      <c r="H47">
        <v>5</v>
      </c>
      <c r="I47" s="23" t="s">
        <v>31</v>
      </c>
      <c r="J47">
        <v>45</v>
      </c>
      <c r="K47">
        <v>30</v>
      </c>
      <c r="L47" s="21">
        <f t="shared" si="19"/>
        <v>169.91297140489019</v>
      </c>
      <c r="M47">
        <v>60</v>
      </c>
      <c r="N47">
        <v>61</v>
      </c>
      <c r="O47">
        <v>54</v>
      </c>
      <c r="P47">
        <v>55</v>
      </c>
      <c r="Q47" s="20">
        <f t="shared" si="1"/>
        <v>57.5</v>
      </c>
      <c r="R47">
        <v>73</v>
      </c>
      <c r="S47">
        <v>82</v>
      </c>
      <c r="T47">
        <v>79</v>
      </c>
      <c r="U47">
        <v>85</v>
      </c>
      <c r="V47" s="20">
        <f t="shared" si="2"/>
        <v>79.75</v>
      </c>
      <c r="W47">
        <v>85</v>
      </c>
      <c r="X47">
        <v>92</v>
      </c>
      <c r="Y47">
        <v>99</v>
      </c>
      <c r="Z47">
        <v>89</v>
      </c>
      <c r="AA47" s="20">
        <f t="shared" si="3"/>
        <v>91.25</v>
      </c>
      <c r="AB47">
        <v>105</v>
      </c>
      <c r="AC47">
        <v>103</v>
      </c>
      <c r="AD47">
        <v>104</v>
      </c>
      <c r="AE47">
        <v>102</v>
      </c>
      <c r="AF47" s="20">
        <f t="shared" si="4"/>
        <v>103.5</v>
      </c>
      <c r="AG47" s="20"/>
      <c r="AH47" s="20"/>
      <c r="AI47" s="20"/>
      <c r="AJ47" s="20"/>
      <c r="AK47" s="20" t="e">
        <f t="shared" si="5"/>
        <v>#DIV/0!</v>
      </c>
      <c r="AL47" s="20"/>
      <c r="AM47" s="20"/>
      <c r="AN47" s="20"/>
      <c r="AO47" s="20"/>
      <c r="AP47" s="20" t="e">
        <f t="shared" si="6"/>
        <v>#DIV/0!</v>
      </c>
      <c r="AQ47" s="147">
        <v>45482</v>
      </c>
      <c r="AR47">
        <v>105</v>
      </c>
      <c r="AS47">
        <v>102</v>
      </c>
      <c r="AT47">
        <v>99</v>
      </c>
      <c r="AU47">
        <v>100</v>
      </c>
      <c r="AV47" s="20">
        <f t="shared" si="7"/>
        <v>101.5</v>
      </c>
      <c r="AW47">
        <v>60</v>
      </c>
      <c r="AX47">
        <v>0</v>
      </c>
      <c r="AY47">
        <v>0</v>
      </c>
      <c r="AZ47" s="20">
        <f t="shared" si="8"/>
        <v>40</v>
      </c>
      <c r="BA47">
        <v>50</v>
      </c>
      <c r="BB47">
        <v>0</v>
      </c>
      <c r="BC47">
        <v>0</v>
      </c>
      <c r="BD47" s="20">
        <f t="shared" si="9"/>
        <v>33.333333333333336</v>
      </c>
      <c r="BE47">
        <v>0</v>
      </c>
      <c r="BF47">
        <v>0</v>
      </c>
      <c r="BG47">
        <v>0</v>
      </c>
      <c r="BH47" s="20">
        <f t="shared" si="10"/>
        <v>0</v>
      </c>
      <c r="BI47">
        <v>28.8</v>
      </c>
      <c r="BJ47">
        <v>15.4</v>
      </c>
      <c r="BK47" s="17">
        <f t="shared" si="11"/>
        <v>46.527777777777779</v>
      </c>
      <c r="BL47" s="17">
        <f t="shared" si="12"/>
        <v>4.6111111111111116</v>
      </c>
      <c r="BM47" s="18">
        <f t="shared" si="13"/>
        <v>45510.611111111109</v>
      </c>
      <c r="BN47" s="175">
        <f t="shared" si="14"/>
        <v>92.611111111109494</v>
      </c>
      <c r="BO47">
        <v>6</v>
      </c>
      <c r="BP47" s="22">
        <f t="shared" si="15"/>
        <v>8.6867999999999999</v>
      </c>
      <c r="BQ47">
        <v>8520</v>
      </c>
      <c r="BR47" s="20">
        <v>14.9</v>
      </c>
      <c r="BS47" s="20">
        <f t="shared" si="20"/>
        <v>9649.2425821277975</v>
      </c>
      <c r="BT47" s="20">
        <f t="shared" si="16"/>
        <v>179.37694543699109</v>
      </c>
      <c r="BU47">
        <v>69.3</v>
      </c>
      <c r="BV47" s="22">
        <v>4.78</v>
      </c>
      <c r="BW47" s="22">
        <v>4.99</v>
      </c>
      <c r="BX47" s="159">
        <f t="shared" si="17"/>
        <v>48.0593641618497</v>
      </c>
      <c r="BZ47" s="23" t="s">
        <v>41</v>
      </c>
      <c r="CA47">
        <v>83.8125</v>
      </c>
      <c r="CB47">
        <v>198.39347516560778</v>
      </c>
    </row>
    <row r="48" spans="2:80" x14ac:dyDescent="0.3">
      <c r="B48" s="63">
        <v>2024</v>
      </c>
      <c r="C48" t="s">
        <v>105</v>
      </c>
      <c r="D48">
        <v>217</v>
      </c>
      <c r="E48">
        <v>2</v>
      </c>
      <c r="F48">
        <v>3</v>
      </c>
      <c r="G48" t="s">
        <v>42</v>
      </c>
      <c r="H48">
        <v>3</v>
      </c>
      <c r="I48" s="23" t="s">
        <v>39</v>
      </c>
      <c r="J48">
        <v>42</v>
      </c>
      <c r="K48">
        <v>40</v>
      </c>
      <c r="L48" s="21">
        <f t="shared" si="19"/>
        <v>169.91297140489019</v>
      </c>
      <c r="M48">
        <v>62</v>
      </c>
      <c r="N48">
        <v>54</v>
      </c>
      <c r="O48">
        <v>58</v>
      </c>
      <c r="P48">
        <v>61</v>
      </c>
      <c r="Q48" s="20">
        <f t="shared" si="1"/>
        <v>58.75</v>
      </c>
      <c r="R48">
        <v>91</v>
      </c>
      <c r="S48">
        <v>91</v>
      </c>
      <c r="T48">
        <v>80</v>
      </c>
      <c r="U48">
        <v>73</v>
      </c>
      <c r="V48" s="20">
        <f t="shared" si="2"/>
        <v>83.75</v>
      </c>
      <c r="W48">
        <v>99</v>
      </c>
      <c r="X48">
        <v>97</v>
      </c>
      <c r="Y48">
        <v>94</v>
      </c>
      <c r="Z48">
        <v>98</v>
      </c>
      <c r="AA48" s="20">
        <f t="shared" si="3"/>
        <v>97</v>
      </c>
      <c r="AB48">
        <v>103</v>
      </c>
      <c r="AC48">
        <v>106</v>
      </c>
      <c r="AD48">
        <v>105</v>
      </c>
      <c r="AE48">
        <v>109</v>
      </c>
      <c r="AF48" s="20">
        <f t="shared" si="4"/>
        <v>105.75</v>
      </c>
      <c r="AG48" s="20"/>
      <c r="AH48" s="20"/>
      <c r="AI48" s="20"/>
      <c r="AJ48" s="20"/>
      <c r="AK48" s="20" t="e">
        <f t="shared" si="5"/>
        <v>#DIV/0!</v>
      </c>
      <c r="AL48" s="20"/>
      <c r="AM48" s="20"/>
      <c r="AN48" s="20"/>
      <c r="AO48" s="20"/>
      <c r="AP48" s="20" t="e">
        <f t="shared" si="6"/>
        <v>#DIV/0!</v>
      </c>
      <c r="AQ48" s="147">
        <v>45482</v>
      </c>
      <c r="AR48">
        <v>104</v>
      </c>
      <c r="AS48">
        <v>102</v>
      </c>
      <c r="AT48">
        <v>101</v>
      </c>
      <c r="AU48">
        <v>103</v>
      </c>
      <c r="AV48" s="20">
        <f t="shared" si="7"/>
        <v>102.5</v>
      </c>
      <c r="AW48">
        <v>40</v>
      </c>
      <c r="AX48">
        <v>0</v>
      </c>
      <c r="AY48">
        <v>0</v>
      </c>
      <c r="AZ48" s="20">
        <f t="shared" si="8"/>
        <v>26.666666666666668</v>
      </c>
      <c r="BA48">
        <v>60</v>
      </c>
      <c r="BB48">
        <v>0</v>
      </c>
      <c r="BC48">
        <v>0</v>
      </c>
      <c r="BD48" s="20">
        <f t="shared" si="9"/>
        <v>40</v>
      </c>
      <c r="BE48">
        <v>0</v>
      </c>
      <c r="BF48">
        <v>0</v>
      </c>
      <c r="BG48">
        <v>0</v>
      </c>
      <c r="BH48" s="20">
        <f t="shared" si="10"/>
        <v>0</v>
      </c>
      <c r="BI48">
        <v>32.200000000000003</v>
      </c>
      <c r="BJ48">
        <v>17.3</v>
      </c>
      <c r="BK48" s="17">
        <f t="shared" si="11"/>
        <v>46.273291925465841</v>
      </c>
      <c r="BL48" s="17">
        <f t="shared" si="12"/>
        <v>4.5093167701863361</v>
      </c>
      <c r="BM48" s="18">
        <f t="shared" si="13"/>
        <v>45510.509316770185</v>
      </c>
      <c r="BN48" s="175">
        <f t="shared" si="14"/>
        <v>92.509316770185251</v>
      </c>
      <c r="BO48">
        <v>6</v>
      </c>
      <c r="BP48" s="22">
        <f t="shared" si="15"/>
        <v>8.6867999999999999</v>
      </c>
      <c r="BQ48">
        <v>8710</v>
      </c>
      <c r="BR48" s="20">
        <v>7.6</v>
      </c>
      <c r="BS48" s="20">
        <f t="shared" si="20"/>
        <v>10710.609759116283</v>
      </c>
      <c r="BT48" s="20">
        <f t="shared" si="16"/>
        <v>199.10748911177708</v>
      </c>
      <c r="BU48">
        <v>36.200000000000003</v>
      </c>
      <c r="BV48" s="22">
        <v>5.01</v>
      </c>
      <c r="BW48" s="22">
        <v>5.09</v>
      </c>
      <c r="BX48" s="159">
        <f t="shared" si="17"/>
        <v>53.944508670520236</v>
      </c>
      <c r="BZ48" s="161" t="s">
        <v>31</v>
      </c>
      <c r="CA48" s="21">
        <v>84.125</v>
      </c>
      <c r="CB48" s="21">
        <v>199.69685474109366</v>
      </c>
    </row>
    <row r="49" spans="2:80" x14ac:dyDescent="0.3">
      <c r="B49" s="63">
        <v>2024</v>
      </c>
      <c r="C49" t="s">
        <v>105</v>
      </c>
      <c r="D49">
        <v>218</v>
      </c>
      <c r="E49">
        <v>2</v>
      </c>
      <c r="F49">
        <v>7</v>
      </c>
      <c r="G49" t="s">
        <v>42</v>
      </c>
      <c r="H49">
        <v>7</v>
      </c>
      <c r="I49" s="23" t="s">
        <v>34</v>
      </c>
      <c r="J49">
        <v>43</v>
      </c>
      <c r="K49">
        <v>39</v>
      </c>
      <c r="L49" s="21">
        <f t="shared" si="19"/>
        <v>151.2639867384998</v>
      </c>
      <c r="M49">
        <v>62</v>
      </c>
      <c r="N49">
        <v>65</v>
      </c>
      <c r="O49">
        <v>66</v>
      </c>
      <c r="P49">
        <v>60</v>
      </c>
      <c r="Q49" s="20">
        <f t="shared" si="1"/>
        <v>63.25</v>
      </c>
      <c r="R49">
        <v>71</v>
      </c>
      <c r="S49">
        <v>70</v>
      </c>
      <c r="T49">
        <v>80</v>
      </c>
      <c r="U49">
        <v>85</v>
      </c>
      <c r="V49" s="20">
        <f t="shared" si="2"/>
        <v>76.5</v>
      </c>
      <c r="W49">
        <v>88</v>
      </c>
      <c r="X49">
        <v>87</v>
      </c>
      <c r="Y49">
        <v>86</v>
      </c>
      <c r="Z49">
        <v>91</v>
      </c>
      <c r="AA49" s="20">
        <f t="shared" si="3"/>
        <v>88</v>
      </c>
      <c r="AB49">
        <v>85</v>
      </c>
      <c r="AC49">
        <v>93</v>
      </c>
      <c r="AD49">
        <v>97</v>
      </c>
      <c r="AE49">
        <v>100</v>
      </c>
      <c r="AF49" s="20">
        <f t="shared" si="4"/>
        <v>93.75</v>
      </c>
      <c r="AG49" s="20"/>
      <c r="AH49" s="20"/>
      <c r="AI49" s="20"/>
      <c r="AJ49" s="20"/>
      <c r="AK49" s="20" t="e">
        <f t="shared" si="5"/>
        <v>#DIV/0!</v>
      </c>
      <c r="AL49" s="20"/>
      <c r="AM49" s="20"/>
      <c r="AN49" s="20"/>
      <c r="AO49" s="20"/>
      <c r="AP49" s="20" t="e">
        <f t="shared" si="6"/>
        <v>#DIV/0!</v>
      </c>
      <c r="AQ49" s="147">
        <v>45482</v>
      </c>
      <c r="AR49">
        <v>87</v>
      </c>
      <c r="AS49">
        <v>94</v>
      </c>
      <c r="AT49">
        <v>93</v>
      </c>
      <c r="AU49">
        <v>96</v>
      </c>
      <c r="AV49" s="20">
        <f t="shared" si="7"/>
        <v>92.5</v>
      </c>
      <c r="AW49">
        <v>10</v>
      </c>
      <c r="AX49">
        <v>0</v>
      </c>
      <c r="AY49">
        <v>0</v>
      </c>
      <c r="AZ49" s="20">
        <f t="shared" si="8"/>
        <v>6.666666666666667</v>
      </c>
      <c r="BA49">
        <v>40</v>
      </c>
      <c r="BB49">
        <v>0</v>
      </c>
      <c r="BC49">
        <v>0</v>
      </c>
      <c r="BD49" s="20">
        <f t="shared" si="9"/>
        <v>26.666666666666668</v>
      </c>
      <c r="BE49">
        <v>0</v>
      </c>
      <c r="BF49">
        <v>0</v>
      </c>
      <c r="BG49">
        <v>0</v>
      </c>
      <c r="BH49" s="20">
        <f t="shared" si="10"/>
        <v>0</v>
      </c>
      <c r="BI49">
        <v>29.4</v>
      </c>
      <c r="BJ49">
        <v>16.100000000000001</v>
      </c>
      <c r="BK49" s="17">
        <f t="shared" si="11"/>
        <v>45.238095238095234</v>
      </c>
      <c r="BL49" s="17">
        <f t="shared" si="12"/>
        <v>4.0952380952380931</v>
      </c>
      <c r="BM49" s="18">
        <f t="shared" si="13"/>
        <v>45510.095238095237</v>
      </c>
      <c r="BN49" s="175">
        <f t="shared" si="14"/>
        <v>92.095238095236709</v>
      </c>
      <c r="BO49">
        <v>6</v>
      </c>
      <c r="BP49" s="22">
        <f t="shared" si="15"/>
        <v>8.6867999999999999</v>
      </c>
      <c r="BQ49">
        <v>8640</v>
      </c>
      <c r="BR49" s="20">
        <v>7.5</v>
      </c>
      <c r="BS49" s="20">
        <f t="shared" si="20"/>
        <v>10636.029790465422</v>
      </c>
      <c r="BT49" s="20">
        <f t="shared" si="16"/>
        <v>197.72106661762643</v>
      </c>
      <c r="BU49">
        <v>35</v>
      </c>
      <c r="BV49" s="22">
        <v>4.8899999999999997</v>
      </c>
      <c r="BW49" s="22">
        <v>5.14</v>
      </c>
      <c r="BX49" s="159">
        <f t="shared" si="17"/>
        <v>53.628612716763001</v>
      </c>
      <c r="BZ49" s="161" t="s">
        <v>35</v>
      </c>
      <c r="CA49" s="162">
        <v>79.5</v>
      </c>
      <c r="CB49" s="21">
        <v>187.96372247707023</v>
      </c>
    </row>
    <row r="50" spans="2:80" x14ac:dyDescent="0.3">
      <c r="B50" s="63">
        <v>2024</v>
      </c>
      <c r="C50" t="s">
        <v>105</v>
      </c>
      <c r="D50">
        <v>219</v>
      </c>
      <c r="E50">
        <v>2</v>
      </c>
      <c r="F50">
        <v>12</v>
      </c>
      <c r="G50" t="s">
        <v>106</v>
      </c>
      <c r="H50">
        <v>3</v>
      </c>
      <c r="I50" s="23" t="s">
        <v>39</v>
      </c>
      <c r="J50">
        <v>23</v>
      </c>
      <c r="K50">
        <v>50</v>
      </c>
      <c r="L50" s="21">
        <f t="shared" si="19"/>
        <v>140.90343970161626</v>
      </c>
      <c r="M50">
        <v>67</v>
      </c>
      <c r="N50">
        <v>71</v>
      </c>
      <c r="O50">
        <v>73</v>
      </c>
      <c r="P50">
        <v>71</v>
      </c>
      <c r="Q50" s="20">
        <f t="shared" si="1"/>
        <v>70.5</v>
      </c>
      <c r="R50">
        <v>105</v>
      </c>
      <c r="S50">
        <v>93</v>
      </c>
      <c r="T50">
        <v>100</v>
      </c>
      <c r="U50">
        <v>84</v>
      </c>
      <c r="V50" s="20">
        <f t="shared" si="2"/>
        <v>95.5</v>
      </c>
      <c r="W50">
        <v>97</v>
      </c>
      <c r="X50">
        <v>106</v>
      </c>
      <c r="Y50">
        <v>98</v>
      </c>
      <c r="Z50">
        <v>94</v>
      </c>
      <c r="AA50" s="20">
        <f t="shared" si="3"/>
        <v>98.75</v>
      </c>
      <c r="AB50">
        <v>109</v>
      </c>
      <c r="AC50">
        <v>110</v>
      </c>
      <c r="AD50">
        <v>112</v>
      </c>
      <c r="AE50">
        <v>111</v>
      </c>
      <c r="AF50" s="20">
        <f t="shared" si="4"/>
        <v>110.5</v>
      </c>
      <c r="AG50" s="20"/>
      <c r="AH50" s="20"/>
      <c r="AI50" s="20"/>
      <c r="AJ50" s="20"/>
      <c r="AK50" s="20" t="e">
        <f t="shared" si="5"/>
        <v>#DIV/0!</v>
      </c>
      <c r="AL50" s="20"/>
      <c r="AM50" s="20"/>
      <c r="AN50" s="20"/>
      <c r="AO50" s="20"/>
      <c r="AP50" s="20" t="e">
        <f t="shared" si="6"/>
        <v>#DIV/0!</v>
      </c>
      <c r="AQ50" s="147">
        <v>45481</v>
      </c>
      <c r="AR50">
        <v>100</v>
      </c>
      <c r="AS50">
        <v>106</v>
      </c>
      <c r="AT50">
        <v>110</v>
      </c>
      <c r="AU50">
        <v>116</v>
      </c>
      <c r="AV50" s="20">
        <f t="shared" si="7"/>
        <v>108</v>
      </c>
      <c r="AW50">
        <v>40</v>
      </c>
      <c r="AX50">
        <v>0</v>
      </c>
      <c r="AY50">
        <v>0</v>
      </c>
      <c r="AZ50" s="20">
        <f t="shared" si="8"/>
        <v>26.666666666666668</v>
      </c>
      <c r="BA50">
        <v>0</v>
      </c>
      <c r="BB50">
        <v>0</v>
      </c>
      <c r="BC50">
        <v>0</v>
      </c>
      <c r="BD50" s="20">
        <f t="shared" si="9"/>
        <v>0</v>
      </c>
      <c r="BE50">
        <v>0</v>
      </c>
      <c r="BF50">
        <v>0</v>
      </c>
      <c r="BG50">
        <v>0</v>
      </c>
      <c r="BH50" s="20">
        <f t="shared" si="10"/>
        <v>0</v>
      </c>
      <c r="BI50">
        <v>25.1</v>
      </c>
      <c r="BJ50">
        <v>14.7</v>
      </c>
      <c r="BK50" s="17">
        <f t="shared" si="11"/>
        <v>41.434262948207177</v>
      </c>
      <c r="BL50" s="17">
        <f t="shared" si="12"/>
        <v>2.5737051792828707</v>
      </c>
      <c r="BM50" s="18">
        <f t="shared" si="13"/>
        <v>45508.573705179282</v>
      </c>
      <c r="BN50" s="175">
        <f t="shared" si="14"/>
        <v>90.573705179282115</v>
      </c>
      <c r="BO50">
        <v>6</v>
      </c>
      <c r="BP50" s="22">
        <f t="shared" si="15"/>
        <v>8.6867999999999999</v>
      </c>
      <c r="BQ50">
        <v>8460</v>
      </c>
      <c r="BR50" s="20">
        <v>14.3</v>
      </c>
      <c r="BS50" s="20">
        <f t="shared" si="20"/>
        <v>9648.8433317602867</v>
      </c>
      <c r="BT50" s="20">
        <f t="shared" si="16"/>
        <v>179.36952347503097</v>
      </c>
      <c r="BU50">
        <v>66.7</v>
      </c>
      <c r="BV50" s="22">
        <v>4.8</v>
      </c>
      <c r="BW50" s="22">
        <v>4.4400000000000004</v>
      </c>
      <c r="BX50" s="159">
        <f t="shared" si="17"/>
        <v>45.772716763005782</v>
      </c>
      <c r="BZ50" s="161" t="s">
        <v>32</v>
      </c>
      <c r="CA50" s="21">
        <v>85.875</v>
      </c>
      <c r="CB50" s="21">
        <v>203.31537044506769</v>
      </c>
    </row>
    <row r="51" spans="2:80" x14ac:dyDescent="0.3">
      <c r="B51" s="63">
        <v>2024</v>
      </c>
      <c r="C51" t="s">
        <v>105</v>
      </c>
      <c r="D51">
        <v>220</v>
      </c>
      <c r="E51">
        <v>2</v>
      </c>
      <c r="F51">
        <v>11</v>
      </c>
      <c r="G51" t="s">
        <v>106</v>
      </c>
      <c r="H51">
        <v>2</v>
      </c>
      <c r="I51" s="23" t="s">
        <v>32</v>
      </c>
      <c r="J51">
        <v>36</v>
      </c>
      <c r="K51">
        <v>32</v>
      </c>
      <c r="L51" s="21">
        <f t="shared" si="19"/>
        <v>182.34562784915045</v>
      </c>
      <c r="M51">
        <v>74</v>
      </c>
      <c r="N51">
        <v>69</v>
      </c>
      <c r="O51">
        <v>71</v>
      </c>
      <c r="P51">
        <v>76</v>
      </c>
      <c r="Q51" s="20">
        <f t="shared" si="1"/>
        <v>72.5</v>
      </c>
      <c r="R51">
        <v>82</v>
      </c>
      <c r="S51">
        <v>92</v>
      </c>
      <c r="T51">
        <v>101</v>
      </c>
      <c r="U51">
        <v>95</v>
      </c>
      <c r="V51" s="20">
        <f t="shared" si="2"/>
        <v>92.5</v>
      </c>
      <c r="W51">
        <v>86</v>
      </c>
      <c r="X51">
        <v>95</v>
      </c>
      <c r="Y51">
        <v>103</v>
      </c>
      <c r="Z51">
        <v>105</v>
      </c>
      <c r="AA51" s="20">
        <f t="shared" si="3"/>
        <v>97.25</v>
      </c>
      <c r="AB51">
        <v>100</v>
      </c>
      <c r="AC51">
        <v>106</v>
      </c>
      <c r="AD51">
        <v>107</v>
      </c>
      <c r="AE51">
        <v>111</v>
      </c>
      <c r="AF51" s="20">
        <f t="shared" si="4"/>
        <v>106</v>
      </c>
      <c r="AG51" s="20"/>
      <c r="AH51" s="20"/>
      <c r="AI51" s="20"/>
      <c r="AJ51" s="20"/>
      <c r="AK51" s="20" t="e">
        <f t="shared" si="5"/>
        <v>#DIV/0!</v>
      </c>
      <c r="AL51" s="20"/>
      <c r="AM51" s="20"/>
      <c r="AN51" s="20"/>
      <c r="AO51" s="20"/>
      <c r="AP51" s="20" t="e">
        <f t="shared" si="6"/>
        <v>#DIV/0!</v>
      </c>
      <c r="AQ51" s="147">
        <v>45480</v>
      </c>
      <c r="AR51">
        <v>106</v>
      </c>
      <c r="AS51">
        <v>106</v>
      </c>
      <c r="AT51">
        <v>100</v>
      </c>
      <c r="AU51">
        <v>100</v>
      </c>
      <c r="AV51" s="20">
        <f t="shared" si="7"/>
        <v>103</v>
      </c>
      <c r="AW51">
        <v>95</v>
      </c>
      <c r="AX51">
        <v>0</v>
      </c>
      <c r="AY51">
        <v>0</v>
      </c>
      <c r="AZ51" s="20">
        <f t="shared" si="8"/>
        <v>63.333333333333336</v>
      </c>
      <c r="BA51">
        <v>0</v>
      </c>
      <c r="BB51">
        <v>0</v>
      </c>
      <c r="BC51">
        <v>0</v>
      </c>
      <c r="BD51" s="20">
        <f t="shared" si="9"/>
        <v>0</v>
      </c>
      <c r="BE51">
        <v>0</v>
      </c>
      <c r="BF51">
        <v>0</v>
      </c>
      <c r="BG51">
        <v>0</v>
      </c>
      <c r="BH51" s="20">
        <f t="shared" si="10"/>
        <v>0</v>
      </c>
      <c r="BI51">
        <v>26.1</v>
      </c>
      <c r="BJ51">
        <v>15.4</v>
      </c>
      <c r="BK51" s="17">
        <f t="shared" si="11"/>
        <v>40.996168582375482</v>
      </c>
      <c r="BL51" s="17">
        <f t="shared" si="12"/>
        <v>2.3984674329501927</v>
      </c>
      <c r="BM51" s="18">
        <f t="shared" si="13"/>
        <v>45508.398467432948</v>
      </c>
      <c r="BN51" s="175">
        <f t="shared" si="14"/>
        <v>90.398467432947655</v>
      </c>
      <c r="BO51">
        <v>6</v>
      </c>
      <c r="BP51" s="22">
        <f t="shared" si="15"/>
        <v>8.6867999999999999</v>
      </c>
      <c r="BQ51">
        <v>8570</v>
      </c>
      <c r="BR51" s="20">
        <v>14.3</v>
      </c>
      <c r="BS51" s="20">
        <f t="shared" si="20"/>
        <v>9774.3011055775005</v>
      </c>
      <c r="BT51" s="20">
        <f t="shared" si="16"/>
        <v>181.70175132163303</v>
      </c>
      <c r="BU51">
        <v>67.599999999999994</v>
      </c>
      <c r="BV51" s="22">
        <v>4.75</v>
      </c>
      <c r="BW51" s="22">
        <v>4.5599999999999996</v>
      </c>
      <c r="BX51" s="159">
        <f t="shared" si="17"/>
        <v>46.119479768786121</v>
      </c>
      <c r="BZ51" s="161" t="s">
        <v>38</v>
      </c>
      <c r="CA51" s="21">
        <v>85.125</v>
      </c>
      <c r="CB51" s="21">
        <v>200.83996058231835</v>
      </c>
    </row>
    <row r="52" spans="2:80" x14ac:dyDescent="0.3">
      <c r="B52" s="63">
        <v>2024</v>
      </c>
      <c r="C52" t="s">
        <v>105</v>
      </c>
      <c r="D52">
        <v>221</v>
      </c>
      <c r="E52">
        <v>2</v>
      </c>
      <c r="F52">
        <v>18</v>
      </c>
      <c r="G52" t="s">
        <v>106</v>
      </c>
      <c r="H52">
        <v>9</v>
      </c>
      <c r="I52" s="23" t="s">
        <v>33</v>
      </c>
      <c r="J52">
        <v>41</v>
      </c>
      <c r="K52">
        <v>47</v>
      </c>
      <c r="L52" s="21">
        <f t="shared" si="19"/>
        <v>180.27351844177375</v>
      </c>
      <c r="M52">
        <v>72</v>
      </c>
      <c r="N52">
        <v>74</v>
      </c>
      <c r="O52">
        <v>74</v>
      </c>
      <c r="P52">
        <v>74</v>
      </c>
      <c r="Q52" s="20">
        <f t="shared" si="1"/>
        <v>73.5</v>
      </c>
      <c r="R52">
        <v>94</v>
      </c>
      <c r="S52">
        <v>95</v>
      </c>
      <c r="T52">
        <v>102</v>
      </c>
      <c r="U52">
        <v>87</v>
      </c>
      <c r="V52" s="20">
        <f t="shared" si="2"/>
        <v>94.5</v>
      </c>
      <c r="W52">
        <v>99</v>
      </c>
      <c r="X52">
        <v>105</v>
      </c>
      <c r="Y52">
        <v>102</v>
      </c>
      <c r="Z52">
        <v>101</v>
      </c>
      <c r="AA52" s="20">
        <f t="shared" si="3"/>
        <v>101.75</v>
      </c>
      <c r="AB52">
        <v>101</v>
      </c>
      <c r="AC52">
        <v>109</v>
      </c>
      <c r="AD52">
        <v>100</v>
      </c>
      <c r="AE52">
        <v>107</v>
      </c>
      <c r="AF52" s="20">
        <f t="shared" si="4"/>
        <v>104.25</v>
      </c>
      <c r="AG52" s="20"/>
      <c r="AH52" s="20"/>
      <c r="AI52" s="20"/>
      <c r="AJ52" s="20"/>
      <c r="AK52" s="20" t="e">
        <f t="shared" si="5"/>
        <v>#DIV/0!</v>
      </c>
      <c r="AL52" s="20"/>
      <c r="AM52" s="20"/>
      <c r="AN52" s="20"/>
      <c r="AO52" s="20"/>
      <c r="AP52" s="20" t="e">
        <f t="shared" si="6"/>
        <v>#DIV/0!</v>
      </c>
      <c r="AQ52" s="147">
        <v>45480</v>
      </c>
      <c r="AR52">
        <v>107</v>
      </c>
      <c r="AS52">
        <v>107</v>
      </c>
      <c r="AT52">
        <v>106</v>
      </c>
      <c r="AU52">
        <v>103</v>
      </c>
      <c r="AV52" s="20">
        <f t="shared" si="7"/>
        <v>105.75</v>
      </c>
      <c r="AW52">
        <v>70</v>
      </c>
      <c r="AX52">
        <v>0</v>
      </c>
      <c r="AY52">
        <v>0</v>
      </c>
      <c r="AZ52" s="20">
        <f t="shared" si="8"/>
        <v>46.666666666666664</v>
      </c>
      <c r="BA52">
        <v>0</v>
      </c>
      <c r="BB52">
        <v>0</v>
      </c>
      <c r="BC52">
        <v>0</v>
      </c>
      <c r="BD52" s="20">
        <f t="shared" si="9"/>
        <v>0</v>
      </c>
      <c r="BE52">
        <v>0</v>
      </c>
      <c r="BF52">
        <v>0</v>
      </c>
      <c r="BG52">
        <v>0</v>
      </c>
      <c r="BH52" s="20">
        <f t="shared" si="10"/>
        <v>0</v>
      </c>
      <c r="BI52">
        <v>38.299999999999997</v>
      </c>
      <c r="BJ52">
        <v>14.4</v>
      </c>
      <c r="BK52" s="17">
        <f t="shared" si="11"/>
        <v>62.402088772845957</v>
      </c>
      <c r="BL52" s="17">
        <f t="shared" si="12"/>
        <v>10.960835509138382</v>
      </c>
      <c r="BM52" s="18">
        <f t="shared" si="13"/>
        <v>45516.96083550914</v>
      </c>
      <c r="BN52" s="175">
        <f t="shared" si="14"/>
        <v>98.960835509140452</v>
      </c>
      <c r="BO52">
        <v>6</v>
      </c>
      <c r="BP52" s="22">
        <f t="shared" si="15"/>
        <v>8.6867999999999999</v>
      </c>
      <c r="BQ52">
        <v>8480</v>
      </c>
      <c r="BR52" s="20">
        <v>15.9</v>
      </c>
      <c r="BS52" s="20">
        <f t="shared" si="20"/>
        <v>9491.0862032115183</v>
      </c>
      <c r="BT52" s="20">
        <f t="shared" si="16"/>
        <v>176.43685890585513</v>
      </c>
      <c r="BU52">
        <v>66.7</v>
      </c>
      <c r="BV52" s="22">
        <v>4.67</v>
      </c>
      <c r="BW52" s="22">
        <v>4.42</v>
      </c>
      <c r="BX52" s="159">
        <f t="shared" si="17"/>
        <v>44.188959537572252</v>
      </c>
      <c r="BZ52" s="161" t="s">
        <v>34</v>
      </c>
      <c r="CA52" s="162">
        <v>81.5</v>
      </c>
      <c r="CB52" s="162">
        <v>208.83091900948773</v>
      </c>
    </row>
    <row r="53" spans="2:80" x14ac:dyDescent="0.3">
      <c r="B53" s="63">
        <v>2024</v>
      </c>
      <c r="C53" t="s">
        <v>105</v>
      </c>
      <c r="D53">
        <v>222</v>
      </c>
      <c r="E53">
        <v>2</v>
      </c>
      <c r="F53">
        <v>13</v>
      </c>
      <c r="G53" t="s">
        <v>106</v>
      </c>
      <c r="H53">
        <v>4</v>
      </c>
      <c r="I53" s="23" t="s">
        <v>36</v>
      </c>
      <c r="J53">
        <v>44</v>
      </c>
      <c r="K53">
        <v>43</v>
      </c>
      <c r="L53" s="21">
        <f t="shared" si="19"/>
        <v>194.77828429341071</v>
      </c>
      <c r="M53">
        <v>79</v>
      </c>
      <c r="N53">
        <v>80</v>
      </c>
      <c r="O53">
        <v>74</v>
      </c>
      <c r="P53">
        <v>76</v>
      </c>
      <c r="Q53" s="20">
        <f t="shared" si="1"/>
        <v>77.25</v>
      </c>
      <c r="R53">
        <v>96</v>
      </c>
      <c r="S53">
        <v>95</v>
      </c>
      <c r="T53">
        <v>92</v>
      </c>
      <c r="U53">
        <v>100</v>
      </c>
      <c r="V53" s="20">
        <f t="shared" si="2"/>
        <v>95.75</v>
      </c>
      <c r="W53">
        <v>95</v>
      </c>
      <c r="X53">
        <v>103</v>
      </c>
      <c r="Y53">
        <v>102</v>
      </c>
      <c r="Z53">
        <v>101</v>
      </c>
      <c r="AA53" s="20">
        <f t="shared" si="3"/>
        <v>100.25</v>
      </c>
      <c r="AB53">
        <v>100</v>
      </c>
      <c r="AC53">
        <v>102</v>
      </c>
      <c r="AD53">
        <v>106</v>
      </c>
      <c r="AE53">
        <v>107</v>
      </c>
      <c r="AF53" s="20">
        <f t="shared" si="4"/>
        <v>103.75</v>
      </c>
      <c r="AG53" s="20"/>
      <c r="AH53" s="20"/>
      <c r="AI53" s="20"/>
      <c r="AJ53" s="20"/>
      <c r="AK53" s="20" t="e">
        <f t="shared" si="5"/>
        <v>#DIV/0!</v>
      </c>
      <c r="AL53" s="20"/>
      <c r="AM53" s="20"/>
      <c r="AN53" s="20"/>
      <c r="AO53" s="20"/>
      <c r="AP53" s="20" t="e">
        <f t="shared" si="6"/>
        <v>#DIV/0!</v>
      </c>
      <c r="AQ53" s="147">
        <v>45481</v>
      </c>
      <c r="AR53">
        <v>103</v>
      </c>
      <c r="AS53">
        <v>101</v>
      </c>
      <c r="AT53">
        <v>99</v>
      </c>
      <c r="AU53">
        <v>103</v>
      </c>
      <c r="AV53" s="20">
        <f t="shared" si="7"/>
        <v>101.5</v>
      </c>
      <c r="AW53">
        <v>50</v>
      </c>
      <c r="AX53">
        <v>0</v>
      </c>
      <c r="AY53">
        <v>0</v>
      </c>
      <c r="AZ53" s="20">
        <f t="shared" si="8"/>
        <v>33.333333333333336</v>
      </c>
      <c r="BA53">
        <v>0</v>
      </c>
      <c r="BB53">
        <v>0</v>
      </c>
      <c r="BC53">
        <v>0</v>
      </c>
      <c r="BD53" s="20">
        <f t="shared" si="9"/>
        <v>0</v>
      </c>
      <c r="BE53">
        <v>0</v>
      </c>
      <c r="BF53">
        <v>0</v>
      </c>
      <c r="BG53">
        <v>0</v>
      </c>
      <c r="BH53" s="20">
        <f t="shared" si="10"/>
        <v>0</v>
      </c>
      <c r="BI53">
        <v>26.7</v>
      </c>
      <c r="BJ53">
        <v>14.7</v>
      </c>
      <c r="BK53" s="17">
        <f t="shared" si="11"/>
        <v>44.943820224719097</v>
      </c>
      <c r="BL53" s="17">
        <f t="shared" si="12"/>
        <v>3.9775280898876391</v>
      </c>
      <c r="BM53" s="18">
        <f t="shared" si="13"/>
        <v>45509.97752808989</v>
      </c>
      <c r="BN53" s="175">
        <f t="shared" si="14"/>
        <v>91.977528089890257</v>
      </c>
      <c r="BO53">
        <v>6</v>
      </c>
      <c r="BP53" s="22">
        <f t="shared" si="15"/>
        <v>8.6867999999999999</v>
      </c>
      <c r="BQ53">
        <v>8930</v>
      </c>
      <c r="BR53" s="20">
        <v>7.3</v>
      </c>
      <c r="BS53" s="20">
        <f t="shared" si="20"/>
        <v>11016.794865959675</v>
      </c>
      <c r="BT53" s="20">
        <f t="shared" si="16"/>
        <v>204.79939173899396</v>
      </c>
      <c r="BU53">
        <v>40.1</v>
      </c>
      <c r="BV53" s="22">
        <v>4.53</v>
      </c>
      <c r="BW53" s="22">
        <v>4.58</v>
      </c>
      <c r="BX53" s="159">
        <f t="shared" si="17"/>
        <v>48.814855491329482</v>
      </c>
      <c r="BZ53" s="161" t="s">
        <v>39</v>
      </c>
      <c r="CA53" s="21">
        <v>84.625</v>
      </c>
      <c r="CB53" s="21">
        <v>190.04465506163916</v>
      </c>
    </row>
    <row r="54" spans="2:80" x14ac:dyDescent="0.3">
      <c r="B54" s="63">
        <v>2024</v>
      </c>
      <c r="C54" t="s">
        <v>105</v>
      </c>
      <c r="D54">
        <v>223</v>
      </c>
      <c r="E54">
        <v>2</v>
      </c>
      <c r="F54">
        <v>14</v>
      </c>
      <c r="G54" t="s">
        <v>106</v>
      </c>
      <c r="H54">
        <v>5</v>
      </c>
      <c r="I54" s="23" t="s">
        <v>31</v>
      </c>
      <c r="J54">
        <v>42</v>
      </c>
      <c r="K54">
        <v>52</v>
      </c>
      <c r="L54" s="21">
        <f t="shared" si="19"/>
        <v>223.78781599668463</v>
      </c>
      <c r="M54">
        <v>76</v>
      </c>
      <c r="N54">
        <v>69</v>
      </c>
      <c r="O54">
        <v>70</v>
      </c>
      <c r="P54">
        <v>67</v>
      </c>
      <c r="Q54" s="20">
        <f t="shared" si="1"/>
        <v>70.5</v>
      </c>
      <c r="R54">
        <v>97</v>
      </c>
      <c r="S54">
        <v>95</v>
      </c>
      <c r="T54">
        <v>92</v>
      </c>
      <c r="U54">
        <v>89</v>
      </c>
      <c r="V54" s="20">
        <f t="shared" si="2"/>
        <v>93.25</v>
      </c>
      <c r="W54">
        <v>96</v>
      </c>
      <c r="X54">
        <v>101</v>
      </c>
      <c r="Y54">
        <v>102</v>
      </c>
      <c r="Z54">
        <v>101</v>
      </c>
      <c r="AA54" s="20">
        <f t="shared" si="3"/>
        <v>100</v>
      </c>
      <c r="AB54">
        <v>103</v>
      </c>
      <c r="AC54">
        <v>110</v>
      </c>
      <c r="AD54">
        <v>108</v>
      </c>
      <c r="AE54">
        <v>110</v>
      </c>
      <c r="AF54" s="20">
        <f t="shared" si="4"/>
        <v>107.75</v>
      </c>
      <c r="AG54" s="20"/>
      <c r="AH54" s="20"/>
      <c r="AI54" s="20"/>
      <c r="AJ54" s="20"/>
      <c r="AK54" s="20" t="e">
        <f t="shared" si="5"/>
        <v>#DIV/0!</v>
      </c>
      <c r="AL54" s="20"/>
      <c r="AM54" s="20"/>
      <c r="AN54" s="20"/>
      <c r="AO54" s="20"/>
      <c r="AP54" s="20" t="e">
        <f t="shared" si="6"/>
        <v>#DIV/0!</v>
      </c>
      <c r="AQ54" s="147">
        <v>45481</v>
      </c>
      <c r="AR54">
        <v>99</v>
      </c>
      <c r="AS54">
        <v>108</v>
      </c>
      <c r="AT54">
        <v>108</v>
      </c>
      <c r="AU54">
        <v>101</v>
      </c>
      <c r="AV54" s="20">
        <f t="shared" si="7"/>
        <v>104</v>
      </c>
      <c r="AW54">
        <v>85</v>
      </c>
      <c r="AX54">
        <v>0</v>
      </c>
      <c r="AY54">
        <v>0</v>
      </c>
      <c r="AZ54" s="20">
        <f t="shared" si="8"/>
        <v>56.666666666666664</v>
      </c>
      <c r="BA54">
        <v>0</v>
      </c>
      <c r="BB54">
        <v>0</v>
      </c>
      <c r="BC54">
        <v>0</v>
      </c>
      <c r="BD54" s="20">
        <f t="shared" si="9"/>
        <v>0</v>
      </c>
      <c r="BE54">
        <v>0</v>
      </c>
      <c r="BF54">
        <v>0</v>
      </c>
      <c r="BG54">
        <v>0</v>
      </c>
      <c r="BH54" s="20">
        <f t="shared" si="10"/>
        <v>0</v>
      </c>
      <c r="BI54" s="40">
        <v>28.6</v>
      </c>
      <c r="BJ54">
        <v>11.8</v>
      </c>
      <c r="BK54" s="17">
        <f t="shared" si="11"/>
        <v>58.74125874125874</v>
      </c>
      <c r="BL54" s="17">
        <f t="shared" si="12"/>
        <v>9.4965034965034967</v>
      </c>
      <c r="BM54" s="18">
        <f t="shared" si="13"/>
        <v>45515.496503496506</v>
      </c>
      <c r="BN54" s="175">
        <f t="shared" si="14"/>
        <v>97.496503496506193</v>
      </c>
      <c r="BO54">
        <v>6</v>
      </c>
      <c r="BP54" s="22">
        <f t="shared" si="15"/>
        <v>8.6867999999999999</v>
      </c>
      <c r="BQ54">
        <v>9410</v>
      </c>
      <c r="BR54" s="20">
        <v>13.7</v>
      </c>
      <c r="BS54" s="20">
        <f t="shared" si="20"/>
        <v>10807.481206619785</v>
      </c>
      <c r="BT54" s="20">
        <f t="shared" si="16"/>
        <v>200.90830448203445</v>
      </c>
      <c r="BU54">
        <v>50.8</v>
      </c>
      <c r="BV54" s="22">
        <v>4.28</v>
      </c>
      <c r="BW54" s="22">
        <v>4.34</v>
      </c>
      <c r="BX54" s="159">
        <f t="shared" si="17"/>
        <v>43.000346820809256</v>
      </c>
      <c r="BZ54" s="161" t="s">
        <v>33</v>
      </c>
      <c r="CA54" s="21">
        <v>84.0625</v>
      </c>
      <c r="CB54" s="21">
        <v>199.02498163465373</v>
      </c>
    </row>
    <row r="55" spans="2:80" x14ac:dyDescent="0.3">
      <c r="B55" s="63">
        <v>2024</v>
      </c>
      <c r="C55" t="s">
        <v>105</v>
      </c>
      <c r="D55">
        <v>224</v>
      </c>
      <c r="E55">
        <v>2</v>
      </c>
      <c r="F55">
        <v>16</v>
      </c>
      <c r="G55" t="s">
        <v>106</v>
      </c>
      <c r="H55">
        <v>7</v>
      </c>
      <c r="I55" s="23" t="s">
        <v>34</v>
      </c>
      <c r="J55">
        <v>57</v>
      </c>
      <c r="K55">
        <v>51</v>
      </c>
      <c r="L55" s="21">
        <f t="shared" si="19"/>
        <v>192.70617488603401</v>
      </c>
      <c r="M55">
        <v>75</v>
      </c>
      <c r="N55">
        <v>71</v>
      </c>
      <c r="O55">
        <v>76</v>
      </c>
      <c r="P55">
        <v>75</v>
      </c>
      <c r="Q55" s="20">
        <f t="shared" si="1"/>
        <v>74.25</v>
      </c>
      <c r="R55">
        <v>94</v>
      </c>
      <c r="S55">
        <v>92</v>
      </c>
      <c r="T55">
        <v>95</v>
      </c>
      <c r="U55">
        <v>101</v>
      </c>
      <c r="V55" s="20">
        <f t="shared" si="2"/>
        <v>95.5</v>
      </c>
      <c r="W55">
        <v>102</v>
      </c>
      <c r="X55">
        <v>102</v>
      </c>
      <c r="Y55">
        <v>101</v>
      </c>
      <c r="Z55">
        <v>101</v>
      </c>
      <c r="AA55" s="20">
        <f t="shared" si="3"/>
        <v>101.5</v>
      </c>
      <c r="AB55">
        <v>95</v>
      </c>
      <c r="AC55">
        <v>103</v>
      </c>
      <c r="AD55">
        <v>104</v>
      </c>
      <c r="AE55">
        <v>101</v>
      </c>
      <c r="AF55" s="20">
        <f t="shared" si="4"/>
        <v>100.75</v>
      </c>
      <c r="AG55" s="20"/>
      <c r="AH55" s="20"/>
      <c r="AI55" s="20"/>
      <c r="AJ55" s="20"/>
      <c r="AK55" s="20" t="e">
        <f t="shared" si="5"/>
        <v>#DIV/0!</v>
      </c>
      <c r="AL55" s="20"/>
      <c r="AM55" s="20"/>
      <c r="AN55" s="20"/>
      <c r="AO55" s="20"/>
      <c r="AP55" s="20" t="e">
        <f t="shared" si="6"/>
        <v>#DIV/0!</v>
      </c>
      <c r="AQ55" s="147">
        <v>45481</v>
      </c>
      <c r="AR55">
        <v>100</v>
      </c>
      <c r="AS55">
        <v>102</v>
      </c>
      <c r="AT55">
        <v>102</v>
      </c>
      <c r="AU55">
        <v>100</v>
      </c>
      <c r="AV55" s="20">
        <f t="shared" si="7"/>
        <v>101</v>
      </c>
      <c r="AW55">
        <v>40</v>
      </c>
      <c r="AX55">
        <v>0</v>
      </c>
      <c r="AY55">
        <v>0</v>
      </c>
      <c r="AZ55" s="20">
        <f t="shared" si="8"/>
        <v>26.666666666666668</v>
      </c>
      <c r="BA55">
        <v>5</v>
      </c>
      <c r="BB55">
        <v>0</v>
      </c>
      <c r="BC55">
        <v>0</v>
      </c>
      <c r="BD55" s="20">
        <f t="shared" si="9"/>
        <v>3.3333333333333335</v>
      </c>
      <c r="BE55">
        <v>0</v>
      </c>
      <c r="BF55">
        <v>0</v>
      </c>
      <c r="BG55">
        <v>0</v>
      </c>
      <c r="BH55" s="20">
        <f t="shared" si="10"/>
        <v>0</v>
      </c>
      <c r="BI55">
        <v>24.5</v>
      </c>
      <c r="BJ55">
        <v>13.3</v>
      </c>
      <c r="BK55" s="17">
        <f t="shared" si="11"/>
        <v>45.714285714285715</v>
      </c>
      <c r="BL55" s="17">
        <f t="shared" si="12"/>
        <v>4.2857142857142865</v>
      </c>
      <c r="BM55" s="18">
        <f t="shared" si="13"/>
        <v>45510.285714285717</v>
      </c>
      <c r="BN55" s="175">
        <f t="shared" si="14"/>
        <v>92.285714285717404</v>
      </c>
      <c r="BO55">
        <v>6</v>
      </c>
      <c r="BP55" s="22">
        <f t="shared" si="15"/>
        <v>8.6867999999999999</v>
      </c>
      <c r="BQ55">
        <v>8940</v>
      </c>
      <c r="BR55" s="20">
        <v>7.6</v>
      </c>
      <c r="BS55" s="20">
        <f t="shared" si="20"/>
        <v>10993.438719460342</v>
      </c>
      <c r="BT55" s="20">
        <f t="shared" si="16"/>
        <v>204.36520696432689</v>
      </c>
      <c r="BU55">
        <v>40.9</v>
      </c>
      <c r="BV55" s="22">
        <v>4.66</v>
      </c>
      <c r="BW55" s="22">
        <v>4.6500000000000004</v>
      </c>
      <c r="BX55" s="159">
        <f t="shared" si="17"/>
        <v>49.725086705202322</v>
      </c>
      <c r="BZ55" s="161" t="s">
        <v>36</v>
      </c>
      <c r="CA55" s="21">
        <v>84.625</v>
      </c>
      <c r="CB55" s="21">
        <v>193.15309642990391</v>
      </c>
    </row>
    <row r="56" spans="2:80" x14ac:dyDescent="0.3">
      <c r="B56" s="63">
        <v>2024</v>
      </c>
      <c r="C56" t="s">
        <v>105</v>
      </c>
      <c r="D56">
        <v>225</v>
      </c>
      <c r="E56">
        <v>2</v>
      </c>
      <c r="F56">
        <v>15</v>
      </c>
      <c r="G56" t="s">
        <v>106</v>
      </c>
      <c r="H56">
        <v>6</v>
      </c>
      <c r="I56" s="23" t="s">
        <v>35</v>
      </c>
      <c r="J56">
        <v>43</v>
      </c>
      <c r="K56">
        <v>50</v>
      </c>
      <c r="L56" s="21">
        <f t="shared" si="19"/>
        <v>213.4272689598011</v>
      </c>
      <c r="M56">
        <v>89</v>
      </c>
      <c r="N56">
        <v>78</v>
      </c>
      <c r="O56">
        <v>77</v>
      </c>
      <c r="P56">
        <v>63</v>
      </c>
      <c r="Q56" s="20">
        <f t="shared" si="1"/>
        <v>76.75</v>
      </c>
      <c r="R56">
        <v>102</v>
      </c>
      <c r="S56">
        <v>102</v>
      </c>
      <c r="T56">
        <v>97</v>
      </c>
      <c r="U56">
        <v>89</v>
      </c>
      <c r="V56" s="20">
        <f t="shared" si="2"/>
        <v>97.5</v>
      </c>
      <c r="W56">
        <v>74</v>
      </c>
      <c r="X56">
        <v>76</v>
      </c>
      <c r="Y56">
        <v>77</v>
      </c>
      <c r="Z56">
        <v>86</v>
      </c>
      <c r="AA56" s="20">
        <f t="shared" si="3"/>
        <v>78.25</v>
      </c>
      <c r="AB56">
        <v>102</v>
      </c>
      <c r="AC56">
        <v>100</v>
      </c>
      <c r="AD56">
        <v>95</v>
      </c>
      <c r="AE56">
        <v>93</v>
      </c>
      <c r="AF56" s="20">
        <f t="shared" si="4"/>
        <v>97.5</v>
      </c>
      <c r="AG56" s="20"/>
      <c r="AH56" s="20"/>
      <c r="AI56" s="20"/>
      <c r="AJ56" s="20"/>
      <c r="AK56" s="20" t="e">
        <f t="shared" si="5"/>
        <v>#DIV/0!</v>
      </c>
      <c r="AL56" s="20"/>
      <c r="AM56" s="20"/>
      <c r="AN56" s="20"/>
      <c r="AO56" s="20"/>
      <c r="AP56" s="20" t="e">
        <f t="shared" si="6"/>
        <v>#DIV/0!</v>
      </c>
      <c r="AQ56" s="147">
        <v>45481</v>
      </c>
      <c r="AR56">
        <v>98</v>
      </c>
      <c r="AS56">
        <v>99</v>
      </c>
      <c r="AT56">
        <v>91</v>
      </c>
      <c r="AU56">
        <v>90</v>
      </c>
      <c r="AV56" s="20">
        <f t="shared" si="7"/>
        <v>94.5</v>
      </c>
      <c r="AW56">
        <v>0</v>
      </c>
      <c r="AX56">
        <v>0</v>
      </c>
      <c r="AY56">
        <v>0</v>
      </c>
      <c r="AZ56" s="20">
        <f t="shared" si="8"/>
        <v>0</v>
      </c>
      <c r="BA56">
        <v>5</v>
      </c>
      <c r="BB56">
        <v>0</v>
      </c>
      <c r="BC56">
        <v>0</v>
      </c>
      <c r="BD56" s="20">
        <f t="shared" si="9"/>
        <v>3.3333333333333335</v>
      </c>
      <c r="BE56">
        <v>0</v>
      </c>
      <c r="BF56">
        <v>0</v>
      </c>
      <c r="BG56">
        <v>0</v>
      </c>
      <c r="BH56" s="20">
        <f t="shared" si="10"/>
        <v>0</v>
      </c>
      <c r="BI56">
        <v>24.2</v>
      </c>
      <c r="BJ56">
        <v>13.9</v>
      </c>
      <c r="BK56" s="17">
        <f t="shared" si="11"/>
        <v>42.561983471074377</v>
      </c>
      <c r="BL56" s="17">
        <f t="shared" si="12"/>
        <v>3.0247933884297509</v>
      </c>
      <c r="BM56" s="18">
        <f t="shared" si="13"/>
        <v>45509.024793388431</v>
      </c>
      <c r="BN56" s="175">
        <f t="shared" si="14"/>
        <v>91.024793388431135</v>
      </c>
      <c r="BO56">
        <v>6</v>
      </c>
      <c r="BP56" s="22">
        <f t="shared" si="15"/>
        <v>8.6867999999999999</v>
      </c>
      <c r="BQ56">
        <v>9010</v>
      </c>
      <c r="BR56" s="20">
        <v>8</v>
      </c>
      <c r="BS56" s="20">
        <f t="shared" si="20"/>
        <v>11031.553821211959</v>
      </c>
      <c r="BT56" s="20">
        <f t="shared" si="16"/>
        <v>205.07375693278641</v>
      </c>
      <c r="BU56">
        <v>41.7</v>
      </c>
      <c r="BV56" s="22">
        <v>4.42</v>
      </c>
      <c r="BW56" s="22">
        <v>4.41</v>
      </c>
      <c r="BX56" s="159">
        <f t="shared" si="17"/>
        <v>46.957225433526006</v>
      </c>
      <c r="BZ56" s="161" t="s">
        <v>37</v>
      </c>
      <c r="CA56" s="21">
        <v>84.875</v>
      </c>
      <c r="CB56" s="162">
        <v>205.28107707020581</v>
      </c>
    </row>
    <row r="57" spans="2:80" x14ac:dyDescent="0.3">
      <c r="B57" s="63">
        <v>2024</v>
      </c>
      <c r="C57" t="s">
        <v>105</v>
      </c>
      <c r="D57">
        <v>226</v>
      </c>
      <c r="E57">
        <v>2</v>
      </c>
      <c r="F57">
        <v>10</v>
      </c>
      <c r="G57" t="s">
        <v>106</v>
      </c>
      <c r="H57">
        <v>1</v>
      </c>
      <c r="I57" s="23" t="s">
        <v>37</v>
      </c>
      <c r="J57">
        <v>55</v>
      </c>
      <c r="K57">
        <v>48</v>
      </c>
      <c r="L57" s="21">
        <f t="shared" si="19"/>
        <v>167.84086199751349</v>
      </c>
      <c r="M57">
        <v>82</v>
      </c>
      <c r="N57">
        <v>84</v>
      </c>
      <c r="O57">
        <v>86</v>
      </c>
      <c r="P57">
        <v>79</v>
      </c>
      <c r="Q57" s="20">
        <f t="shared" si="1"/>
        <v>82.75</v>
      </c>
      <c r="R57">
        <v>103</v>
      </c>
      <c r="S57">
        <v>105</v>
      </c>
      <c r="T57">
        <v>110</v>
      </c>
      <c r="U57">
        <v>98</v>
      </c>
      <c r="V57" s="20">
        <f t="shared" si="2"/>
        <v>104</v>
      </c>
      <c r="W57">
        <v>102</v>
      </c>
      <c r="X57">
        <v>104</v>
      </c>
      <c r="Y57">
        <v>106</v>
      </c>
      <c r="Z57">
        <v>105</v>
      </c>
      <c r="AA57" s="20">
        <f t="shared" si="3"/>
        <v>104.25</v>
      </c>
      <c r="AB57">
        <v>111</v>
      </c>
      <c r="AC57">
        <v>112</v>
      </c>
      <c r="AD57">
        <v>110</v>
      </c>
      <c r="AE57">
        <v>115</v>
      </c>
      <c r="AF57" s="20">
        <f t="shared" si="4"/>
        <v>112</v>
      </c>
      <c r="AG57" s="20"/>
      <c r="AH57" s="20"/>
      <c r="AI57" s="20"/>
      <c r="AJ57" s="20"/>
      <c r="AK57" s="20" t="e">
        <f t="shared" si="5"/>
        <v>#DIV/0!</v>
      </c>
      <c r="AL57" s="20"/>
      <c r="AM57" s="20"/>
      <c r="AN57" s="20"/>
      <c r="AO57" s="20"/>
      <c r="AP57" s="20" t="e">
        <f t="shared" si="6"/>
        <v>#DIV/0!</v>
      </c>
      <c r="AQ57" s="147">
        <v>45480</v>
      </c>
      <c r="AR57">
        <v>113</v>
      </c>
      <c r="AS57">
        <v>106</v>
      </c>
      <c r="AT57">
        <v>111</v>
      </c>
      <c r="AU57">
        <v>108</v>
      </c>
      <c r="AV57" s="20">
        <f t="shared" si="7"/>
        <v>109.5</v>
      </c>
      <c r="AW57" s="40">
        <v>80</v>
      </c>
      <c r="AX57">
        <v>10</v>
      </c>
      <c r="AY57">
        <v>5</v>
      </c>
      <c r="AZ57" s="20">
        <f t="shared" si="8"/>
        <v>61.666666666666671</v>
      </c>
      <c r="BA57" s="40">
        <v>4</v>
      </c>
      <c r="BB57">
        <v>0</v>
      </c>
      <c r="BC57">
        <v>0</v>
      </c>
      <c r="BD57" s="20">
        <f t="shared" si="9"/>
        <v>2.6666666666666665</v>
      </c>
      <c r="BE57">
        <v>0</v>
      </c>
      <c r="BF57">
        <v>0</v>
      </c>
      <c r="BG57">
        <v>0</v>
      </c>
      <c r="BH57" s="20">
        <f t="shared" si="10"/>
        <v>0</v>
      </c>
      <c r="BI57">
        <v>26.3</v>
      </c>
      <c r="BJ57">
        <v>14.7</v>
      </c>
      <c r="BK57" s="17">
        <f t="shared" si="11"/>
        <v>44.106463878326998</v>
      </c>
      <c r="BL57" s="17">
        <f t="shared" si="12"/>
        <v>3.6425855513307992</v>
      </c>
      <c r="BM57" s="18">
        <f t="shared" si="13"/>
        <v>45509.64258555133</v>
      </c>
      <c r="BN57" s="175">
        <f t="shared" si="14"/>
        <v>91.64258555132983</v>
      </c>
      <c r="BO57">
        <v>6</v>
      </c>
      <c r="BP57" s="22">
        <f t="shared" si="15"/>
        <v>8.6867999999999999</v>
      </c>
      <c r="BQ57">
        <v>9230</v>
      </c>
      <c r="BR57" s="20">
        <v>10.4</v>
      </c>
      <c r="BS57" s="20">
        <f t="shared" si="20"/>
        <v>11006.10826445599</v>
      </c>
      <c r="BT57" s="20">
        <f t="shared" si="16"/>
        <v>204.60073055719468</v>
      </c>
      <c r="BU57">
        <v>47.6</v>
      </c>
      <c r="BV57" s="22">
        <v>4.79</v>
      </c>
      <c r="BW57" s="22">
        <v>4.87</v>
      </c>
      <c r="BX57" s="159">
        <f t="shared" si="17"/>
        <v>50.03098265895953</v>
      </c>
      <c r="BZ57" s="23" t="s">
        <v>272</v>
      </c>
      <c r="CA57">
        <v>95.041666666666671</v>
      </c>
      <c r="CB57">
        <v>194.49233111685029</v>
      </c>
    </row>
    <row r="58" spans="2:80" x14ac:dyDescent="0.3">
      <c r="B58" s="63">
        <v>2024</v>
      </c>
      <c r="C58" t="s">
        <v>105</v>
      </c>
      <c r="D58">
        <v>227</v>
      </c>
      <c r="E58">
        <v>2</v>
      </c>
      <c r="F58">
        <v>17</v>
      </c>
      <c r="G58" t="s">
        <v>106</v>
      </c>
      <c r="H58">
        <v>8</v>
      </c>
      <c r="I58" s="23" t="s">
        <v>38</v>
      </c>
      <c r="J58">
        <v>36</v>
      </c>
      <c r="K58">
        <v>45</v>
      </c>
      <c r="L58" s="21" t="e">
        <f>(AVERAGE(#REF!))/L$2</f>
        <v>#REF!</v>
      </c>
      <c r="M58">
        <v>72</v>
      </c>
      <c r="N58">
        <v>77</v>
      </c>
      <c r="O58">
        <v>75</v>
      </c>
      <c r="P58">
        <v>78</v>
      </c>
      <c r="Q58" s="20">
        <f t="shared" si="1"/>
        <v>75.5</v>
      </c>
      <c r="R58">
        <v>97</v>
      </c>
      <c r="S58">
        <v>97</v>
      </c>
      <c r="T58">
        <v>107</v>
      </c>
      <c r="U58">
        <v>95</v>
      </c>
      <c r="V58" s="20">
        <f t="shared" si="2"/>
        <v>99</v>
      </c>
      <c r="W58">
        <v>102</v>
      </c>
      <c r="X58">
        <v>102</v>
      </c>
      <c r="Y58">
        <v>101</v>
      </c>
      <c r="Z58">
        <v>101</v>
      </c>
      <c r="AA58" s="20">
        <f t="shared" si="3"/>
        <v>101.5</v>
      </c>
      <c r="AB58">
        <v>110</v>
      </c>
      <c r="AC58">
        <v>114</v>
      </c>
      <c r="AD58">
        <v>115</v>
      </c>
      <c r="AE58">
        <v>116</v>
      </c>
      <c r="AF58" s="20">
        <f t="shared" si="4"/>
        <v>113.75</v>
      </c>
      <c r="AG58" s="20"/>
      <c r="AH58" s="20"/>
      <c r="AI58" s="20"/>
      <c r="AJ58" s="20"/>
      <c r="AK58" s="20" t="e">
        <f t="shared" si="5"/>
        <v>#DIV/0!</v>
      </c>
      <c r="AL58" s="20"/>
      <c r="AM58" s="20"/>
      <c r="AN58" s="20"/>
      <c r="AO58" s="20"/>
      <c r="AP58" s="20" t="e">
        <f t="shared" si="6"/>
        <v>#DIV/0!</v>
      </c>
      <c r="AQ58" s="147">
        <v>45480</v>
      </c>
      <c r="AR58">
        <v>106</v>
      </c>
      <c r="AS58">
        <v>110</v>
      </c>
      <c r="AT58">
        <v>113</v>
      </c>
      <c r="AU58">
        <v>110</v>
      </c>
      <c r="AV58" s="20">
        <f t="shared" si="7"/>
        <v>109.75</v>
      </c>
      <c r="AW58">
        <v>0</v>
      </c>
      <c r="AX58">
        <v>5</v>
      </c>
      <c r="AY58">
        <v>20</v>
      </c>
      <c r="AZ58" s="20">
        <f t="shared" si="8"/>
        <v>21.666666666666668</v>
      </c>
      <c r="BA58">
        <v>0</v>
      </c>
      <c r="BB58">
        <v>0</v>
      </c>
      <c r="BC58">
        <v>0</v>
      </c>
      <c r="BD58" s="20">
        <f t="shared" si="9"/>
        <v>0</v>
      </c>
      <c r="BE58">
        <v>0</v>
      </c>
      <c r="BF58">
        <v>0</v>
      </c>
      <c r="BG58">
        <v>0</v>
      </c>
      <c r="BH58" s="20">
        <f t="shared" si="10"/>
        <v>0</v>
      </c>
      <c r="BI58" s="40">
        <v>25.5</v>
      </c>
      <c r="BJ58">
        <v>12.8</v>
      </c>
      <c r="BK58" s="17">
        <f t="shared" si="11"/>
        <v>49.803921568627445</v>
      </c>
      <c r="BL58" s="17">
        <f t="shared" si="12"/>
        <v>5.921568627450978</v>
      </c>
      <c r="BM58" s="18">
        <f t="shared" si="13"/>
        <v>45511.921568627447</v>
      </c>
      <c r="BN58" s="175">
        <f t="shared" si="14"/>
        <v>93.921568627447414</v>
      </c>
      <c r="BO58">
        <v>6</v>
      </c>
      <c r="BP58" s="22">
        <f t="shared" si="15"/>
        <v>8.6867999999999999</v>
      </c>
      <c r="BQ58">
        <v>9440</v>
      </c>
      <c r="BR58" s="20">
        <v>9.9</v>
      </c>
      <c r="BS58" s="20">
        <f t="shared" si="20"/>
        <v>11319.333486113139</v>
      </c>
      <c r="BT58" s="20">
        <f t="shared" si="16"/>
        <v>210.4235071136417</v>
      </c>
      <c r="BU58">
        <v>48.2</v>
      </c>
      <c r="BV58" s="22">
        <v>4.41</v>
      </c>
      <c r="BW58" s="22">
        <v>4.51</v>
      </c>
      <c r="BX58" s="159">
        <f t="shared" si="17"/>
        <v>46.456184971098267</v>
      </c>
    </row>
    <row r="59" spans="2:80" x14ac:dyDescent="0.3">
      <c r="B59" s="63">
        <v>2024</v>
      </c>
      <c r="C59" t="s">
        <v>105</v>
      </c>
      <c r="D59">
        <v>301</v>
      </c>
      <c r="E59">
        <v>3</v>
      </c>
      <c r="F59">
        <v>11</v>
      </c>
      <c r="G59" t="s">
        <v>106</v>
      </c>
      <c r="H59">
        <v>2</v>
      </c>
      <c r="I59" s="23" t="s">
        <v>32</v>
      </c>
      <c r="J59">
        <v>59</v>
      </c>
      <c r="K59">
        <v>55</v>
      </c>
      <c r="L59" s="21">
        <f t="shared" ref="L59:L67" si="21">(AVERAGE(J59:K59))/L$2</f>
        <v>236.22047244094489</v>
      </c>
      <c r="M59">
        <v>76</v>
      </c>
      <c r="N59">
        <v>75</v>
      </c>
      <c r="O59">
        <v>77</v>
      </c>
      <c r="P59">
        <v>73</v>
      </c>
      <c r="Q59" s="20">
        <f t="shared" si="1"/>
        <v>75.25</v>
      </c>
      <c r="R59">
        <v>100</v>
      </c>
      <c r="S59">
        <v>93</v>
      </c>
      <c r="T59">
        <v>99</v>
      </c>
      <c r="U59">
        <v>98</v>
      </c>
      <c r="V59" s="20">
        <f t="shared" si="2"/>
        <v>97.5</v>
      </c>
      <c r="W59">
        <v>101</v>
      </c>
      <c r="X59">
        <v>101</v>
      </c>
      <c r="Y59">
        <v>101</v>
      </c>
      <c r="Z59">
        <v>102</v>
      </c>
      <c r="AA59" s="20">
        <f t="shared" si="3"/>
        <v>101.25</v>
      </c>
      <c r="AB59">
        <v>110</v>
      </c>
      <c r="AC59">
        <v>105</v>
      </c>
      <c r="AD59">
        <v>110</v>
      </c>
      <c r="AE59">
        <v>104</v>
      </c>
      <c r="AF59" s="20">
        <f t="shared" si="4"/>
        <v>107.25</v>
      </c>
      <c r="AG59" s="20"/>
      <c r="AH59" s="20"/>
      <c r="AI59" s="20"/>
      <c r="AJ59" s="20"/>
      <c r="AK59" s="20" t="e">
        <f t="shared" si="5"/>
        <v>#DIV/0!</v>
      </c>
      <c r="AL59" s="20"/>
      <c r="AM59" s="20"/>
      <c r="AN59" s="20"/>
      <c r="AO59" s="20"/>
      <c r="AP59" s="20" t="e">
        <f t="shared" si="6"/>
        <v>#DIV/0!</v>
      </c>
      <c r="AQ59" s="147">
        <v>45480</v>
      </c>
      <c r="AR59">
        <v>106</v>
      </c>
      <c r="AS59">
        <v>103</v>
      </c>
      <c r="AT59">
        <v>107</v>
      </c>
      <c r="AU59">
        <v>108</v>
      </c>
      <c r="AV59" s="20">
        <f t="shared" si="7"/>
        <v>106</v>
      </c>
      <c r="AW59">
        <v>20</v>
      </c>
      <c r="AX59">
        <v>10</v>
      </c>
      <c r="AY59">
        <v>10</v>
      </c>
      <c r="AZ59" s="20">
        <f t="shared" si="8"/>
        <v>26.666666666666668</v>
      </c>
      <c r="BA59">
        <v>5</v>
      </c>
      <c r="BB59">
        <v>0</v>
      </c>
      <c r="BC59">
        <v>0</v>
      </c>
      <c r="BD59" s="20">
        <f t="shared" si="9"/>
        <v>3.3333333333333335</v>
      </c>
      <c r="BE59">
        <v>0</v>
      </c>
      <c r="BF59">
        <v>0</v>
      </c>
      <c r="BG59">
        <v>0</v>
      </c>
      <c r="BH59" s="20">
        <f t="shared" si="10"/>
        <v>0</v>
      </c>
      <c r="BI59">
        <v>29.8</v>
      </c>
      <c r="BJ59">
        <v>17.71</v>
      </c>
      <c r="BK59" s="17">
        <f t="shared" si="11"/>
        <v>40.570469798657719</v>
      </c>
      <c r="BL59" s="17">
        <f t="shared" si="12"/>
        <v>2.2281879194630876</v>
      </c>
      <c r="BM59" s="18">
        <f t="shared" si="13"/>
        <v>45508.228187919463</v>
      </c>
      <c r="BN59" s="175">
        <f t="shared" si="14"/>
        <v>90.22818791946338</v>
      </c>
      <c r="BO59">
        <v>6</v>
      </c>
      <c r="BP59" s="22">
        <f t="shared" si="15"/>
        <v>8.6867999999999999</v>
      </c>
      <c r="BQ59">
        <v>8650</v>
      </c>
      <c r="BR59" s="20">
        <v>10.1</v>
      </c>
      <c r="BS59" s="20">
        <f t="shared" si="20"/>
        <v>10349.035317953676</v>
      </c>
      <c r="BT59" s="20">
        <f t="shared" si="16"/>
        <v>192.38591296195938</v>
      </c>
      <c r="BU59">
        <v>65.099999999999994</v>
      </c>
      <c r="BV59" s="163"/>
      <c r="BW59" s="163"/>
      <c r="BX59" s="159"/>
    </row>
    <row r="60" spans="2:80" x14ac:dyDescent="0.3">
      <c r="B60" s="63">
        <v>2024</v>
      </c>
      <c r="C60" t="s">
        <v>105</v>
      </c>
      <c r="D60">
        <v>302</v>
      </c>
      <c r="E60">
        <v>3</v>
      </c>
      <c r="F60">
        <v>15</v>
      </c>
      <c r="G60" t="s">
        <v>106</v>
      </c>
      <c r="H60">
        <v>6</v>
      </c>
      <c r="I60" s="23" t="s">
        <v>35</v>
      </c>
      <c r="J60">
        <v>48</v>
      </c>
      <c r="K60">
        <v>38</v>
      </c>
      <c r="L60" s="21">
        <f t="shared" si="21"/>
        <v>178.20140903439702</v>
      </c>
      <c r="M60">
        <v>80</v>
      </c>
      <c r="N60">
        <v>71</v>
      </c>
      <c r="O60">
        <v>81</v>
      </c>
      <c r="P60">
        <v>80</v>
      </c>
      <c r="Q60" s="20">
        <f t="shared" si="1"/>
        <v>78</v>
      </c>
      <c r="R60">
        <v>93</v>
      </c>
      <c r="S60">
        <v>97</v>
      </c>
      <c r="T60">
        <v>92</v>
      </c>
      <c r="U60">
        <v>91</v>
      </c>
      <c r="V60" s="20">
        <f t="shared" si="2"/>
        <v>93.25</v>
      </c>
      <c r="W60">
        <v>96</v>
      </c>
      <c r="X60">
        <v>100</v>
      </c>
      <c r="Y60">
        <v>100</v>
      </c>
      <c r="Z60">
        <v>95</v>
      </c>
      <c r="AA60" s="20">
        <f t="shared" si="3"/>
        <v>97.75</v>
      </c>
      <c r="AB60">
        <v>95</v>
      </c>
      <c r="AC60">
        <v>90</v>
      </c>
      <c r="AD60">
        <v>100</v>
      </c>
      <c r="AE60">
        <v>100</v>
      </c>
      <c r="AF60" s="20">
        <f t="shared" si="4"/>
        <v>96.25</v>
      </c>
      <c r="AG60" s="20"/>
      <c r="AH60" s="20"/>
      <c r="AI60" s="20"/>
      <c r="AJ60" s="20"/>
      <c r="AK60" s="20" t="e">
        <f t="shared" si="5"/>
        <v>#DIV/0!</v>
      </c>
      <c r="AL60" s="20"/>
      <c r="AM60" s="20"/>
      <c r="AN60" s="20"/>
      <c r="AO60" s="20"/>
      <c r="AP60" s="20" t="e">
        <f t="shared" si="6"/>
        <v>#DIV/0!</v>
      </c>
      <c r="AQ60" s="147">
        <v>45481</v>
      </c>
      <c r="AR60">
        <v>94</v>
      </c>
      <c r="AS60">
        <v>93</v>
      </c>
      <c r="AT60">
        <v>92</v>
      </c>
      <c r="AU60">
        <v>95</v>
      </c>
      <c r="AV60" s="20">
        <f t="shared" si="7"/>
        <v>93.5</v>
      </c>
      <c r="AW60">
        <v>0</v>
      </c>
      <c r="AX60">
        <v>0</v>
      </c>
      <c r="AY60">
        <v>0</v>
      </c>
      <c r="AZ60" s="20">
        <f t="shared" si="8"/>
        <v>0</v>
      </c>
      <c r="BA60">
        <v>0</v>
      </c>
      <c r="BB60">
        <v>0</v>
      </c>
      <c r="BC60">
        <v>0</v>
      </c>
      <c r="BD60" s="20">
        <f t="shared" si="9"/>
        <v>0</v>
      </c>
      <c r="BE60">
        <v>0</v>
      </c>
      <c r="BF60">
        <v>0</v>
      </c>
      <c r="BG60">
        <v>0</v>
      </c>
      <c r="BH60" s="20">
        <f t="shared" si="10"/>
        <v>0</v>
      </c>
      <c r="BI60">
        <v>23.2</v>
      </c>
      <c r="BJ60">
        <v>14.4</v>
      </c>
      <c r="BK60" s="17">
        <f t="shared" si="11"/>
        <v>37.931034482758619</v>
      </c>
      <c r="BL60" s="17">
        <f t="shared" si="12"/>
        <v>1.1724137931034477</v>
      </c>
      <c r="BM60" s="18">
        <f t="shared" si="13"/>
        <v>45507.172413793101</v>
      </c>
      <c r="BN60" s="175">
        <f t="shared" si="14"/>
        <v>89.172413793101441</v>
      </c>
      <c r="BO60">
        <v>6</v>
      </c>
      <c r="BP60" s="22">
        <f t="shared" si="15"/>
        <v>8.6867999999999999</v>
      </c>
      <c r="BQ60">
        <v>8400</v>
      </c>
      <c r="BR60" s="20">
        <v>12.9</v>
      </c>
      <c r="BS60" s="20">
        <f t="shared" si="20"/>
        <v>9736.9179628329857</v>
      </c>
      <c r="BT60" s="20">
        <f t="shared" si="16"/>
        <v>181.00680828343371</v>
      </c>
      <c r="BU60">
        <v>65.599999999999994</v>
      </c>
      <c r="BV60" s="22">
        <v>4.7</v>
      </c>
      <c r="BW60" s="22">
        <v>4.7300000000000004</v>
      </c>
      <c r="BX60" s="159">
        <f t="shared" si="17"/>
        <v>47.477052023121381</v>
      </c>
      <c r="BZ60" s="160" t="s">
        <v>269</v>
      </c>
      <c r="CA60" t="s">
        <v>270</v>
      </c>
      <c r="CB60" t="s">
        <v>271</v>
      </c>
    </row>
    <row r="61" spans="2:80" x14ac:dyDescent="0.3">
      <c r="B61" s="63">
        <v>2024</v>
      </c>
      <c r="C61" t="s">
        <v>105</v>
      </c>
      <c r="D61">
        <v>303</v>
      </c>
      <c r="E61">
        <v>3</v>
      </c>
      <c r="F61">
        <v>18</v>
      </c>
      <c r="G61" t="s">
        <v>106</v>
      </c>
      <c r="H61">
        <v>9</v>
      </c>
      <c r="I61" s="23" t="s">
        <v>33</v>
      </c>
      <c r="J61">
        <v>50</v>
      </c>
      <c r="K61">
        <v>67</v>
      </c>
      <c r="L61" s="21">
        <f t="shared" si="21"/>
        <v>242.43680066307502</v>
      </c>
      <c r="M61">
        <v>71</v>
      </c>
      <c r="N61">
        <v>76</v>
      </c>
      <c r="O61">
        <v>75</v>
      </c>
      <c r="P61">
        <v>71</v>
      </c>
      <c r="Q61" s="20">
        <f t="shared" si="1"/>
        <v>73.25</v>
      </c>
      <c r="R61">
        <v>91</v>
      </c>
      <c r="S61">
        <v>98</v>
      </c>
      <c r="T61">
        <v>90</v>
      </c>
      <c r="U61">
        <v>100</v>
      </c>
      <c r="V61" s="20">
        <f t="shared" si="2"/>
        <v>94.75</v>
      </c>
      <c r="W61">
        <v>99</v>
      </c>
      <c r="X61">
        <v>101</v>
      </c>
      <c r="Y61">
        <v>101</v>
      </c>
      <c r="Z61">
        <v>105</v>
      </c>
      <c r="AA61" s="20">
        <f t="shared" si="3"/>
        <v>101.5</v>
      </c>
      <c r="AB61">
        <v>93</v>
      </c>
      <c r="AC61">
        <v>90</v>
      </c>
      <c r="AD61">
        <v>102</v>
      </c>
      <c r="AE61">
        <v>95</v>
      </c>
      <c r="AF61" s="20">
        <f t="shared" si="4"/>
        <v>95</v>
      </c>
      <c r="AG61" s="20"/>
      <c r="AH61" s="20"/>
      <c r="AI61" s="20"/>
      <c r="AJ61" s="20"/>
      <c r="AK61" s="20" t="e">
        <f t="shared" si="5"/>
        <v>#DIV/0!</v>
      </c>
      <c r="AL61" s="20"/>
      <c r="AM61" s="20"/>
      <c r="AN61" s="20"/>
      <c r="AO61" s="20"/>
      <c r="AP61" s="20" t="e">
        <f t="shared" si="6"/>
        <v>#DIV/0!</v>
      </c>
      <c r="AQ61" s="147">
        <v>45481</v>
      </c>
      <c r="AR61">
        <v>94</v>
      </c>
      <c r="AS61">
        <v>103</v>
      </c>
      <c r="AT61">
        <v>96</v>
      </c>
      <c r="AU61">
        <v>97</v>
      </c>
      <c r="AV61" s="20">
        <f t="shared" si="7"/>
        <v>97.5</v>
      </c>
      <c r="AW61">
        <v>0</v>
      </c>
      <c r="AX61">
        <v>0</v>
      </c>
      <c r="AY61">
        <v>0</v>
      </c>
      <c r="AZ61" s="20">
        <f t="shared" si="8"/>
        <v>0</v>
      </c>
      <c r="BA61">
        <v>0</v>
      </c>
      <c r="BB61">
        <v>0</v>
      </c>
      <c r="BC61">
        <v>0</v>
      </c>
      <c r="BD61" s="20">
        <f t="shared" si="9"/>
        <v>0</v>
      </c>
      <c r="BE61">
        <v>0</v>
      </c>
      <c r="BF61">
        <v>0</v>
      </c>
      <c r="BG61">
        <v>0</v>
      </c>
      <c r="BH61" s="20">
        <f t="shared" si="10"/>
        <v>0</v>
      </c>
      <c r="BI61">
        <v>23.58</v>
      </c>
      <c r="BJ61">
        <v>13.9</v>
      </c>
      <c r="BK61" s="17">
        <f t="shared" si="11"/>
        <v>41.051738761662421</v>
      </c>
      <c r="BL61" s="17">
        <f t="shared" si="12"/>
        <v>2.4206955046649683</v>
      </c>
      <c r="BM61" s="18">
        <f t="shared" si="13"/>
        <v>45508.420695504668</v>
      </c>
      <c r="BN61" s="175">
        <f t="shared" si="14"/>
        <v>90.420695504668402</v>
      </c>
      <c r="BO61">
        <v>6</v>
      </c>
      <c r="BP61" s="22">
        <f t="shared" si="15"/>
        <v>8.6867999999999999</v>
      </c>
      <c r="BQ61">
        <v>8550</v>
      </c>
      <c r="BR61" s="20">
        <v>9.9</v>
      </c>
      <c r="BS61" s="20">
        <f t="shared" si="20"/>
        <v>10252.150562104593</v>
      </c>
      <c r="BT61" s="20">
        <f t="shared" si="16"/>
        <v>190.58485019297001</v>
      </c>
      <c r="BU61">
        <v>65.8</v>
      </c>
      <c r="BV61" s="22">
        <v>4.58</v>
      </c>
      <c r="BW61" s="22">
        <v>4.05</v>
      </c>
      <c r="BX61" s="159">
        <f t="shared" si="17"/>
        <v>44.945838150289006</v>
      </c>
      <c r="BZ61" s="23" t="s">
        <v>31</v>
      </c>
      <c r="CA61" s="21">
        <v>195.50723968084932</v>
      </c>
      <c r="CB61" s="21">
        <v>12.210094799409758</v>
      </c>
    </row>
    <row r="62" spans="2:80" x14ac:dyDescent="0.3">
      <c r="B62" s="63">
        <v>2024</v>
      </c>
      <c r="C62" t="s">
        <v>105</v>
      </c>
      <c r="D62">
        <v>304</v>
      </c>
      <c r="E62">
        <v>3</v>
      </c>
      <c r="F62">
        <v>14</v>
      </c>
      <c r="G62" t="s">
        <v>106</v>
      </c>
      <c r="H62">
        <v>5</v>
      </c>
      <c r="I62" s="23" t="s">
        <v>31</v>
      </c>
      <c r="J62">
        <v>52</v>
      </c>
      <c r="K62">
        <v>40</v>
      </c>
      <c r="L62" s="21">
        <f t="shared" si="21"/>
        <v>190.63406547865728</v>
      </c>
      <c r="M62">
        <v>71</v>
      </c>
      <c r="N62">
        <v>69</v>
      </c>
      <c r="O62">
        <v>62</v>
      </c>
      <c r="P62">
        <v>69</v>
      </c>
      <c r="Q62" s="20">
        <f t="shared" si="1"/>
        <v>67.75</v>
      </c>
      <c r="R62">
        <v>87</v>
      </c>
      <c r="S62">
        <v>90</v>
      </c>
      <c r="T62">
        <v>85</v>
      </c>
      <c r="U62">
        <v>87</v>
      </c>
      <c r="V62" s="20">
        <f t="shared" si="2"/>
        <v>87.25</v>
      </c>
      <c r="W62">
        <v>99</v>
      </c>
      <c r="X62">
        <v>100</v>
      </c>
      <c r="Y62">
        <v>98</v>
      </c>
      <c r="Z62">
        <v>98</v>
      </c>
      <c r="AA62" s="20">
        <f t="shared" si="3"/>
        <v>98.75</v>
      </c>
      <c r="AB62">
        <v>103</v>
      </c>
      <c r="AC62">
        <v>100</v>
      </c>
      <c r="AD62">
        <v>103</v>
      </c>
      <c r="AE62">
        <v>105</v>
      </c>
      <c r="AF62" s="20">
        <f t="shared" si="4"/>
        <v>102.75</v>
      </c>
      <c r="AG62" s="20"/>
      <c r="AH62" s="20"/>
      <c r="AI62" s="20"/>
      <c r="AJ62" s="20"/>
      <c r="AK62" s="20" t="e">
        <f t="shared" si="5"/>
        <v>#DIV/0!</v>
      </c>
      <c r="AL62" s="20"/>
      <c r="AM62" s="20"/>
      <c r="AN62" s="20"/>
      <c r="AO62" s="20"/>
      <c r="AP62" s="20" t="e">
        <f t="shared" si="6"/>
        <v>#DIV/0!</v>
      </c>
      <c r="AQ62" s="147">
        <v>45481</v>
      </c>
      <c r="AR62">
        <v>100</v>
      </c>
      <c r="AS62">
        <v>100</v>
      </c>
      <c r="AT62">
        <v>102</v>
      </c>
      <c r="AU62">
        <v>101</v>
      </c>
      <c r="AV62" s="20">
        <f t="shared" si="7"/>
        <v>100.75</v>
      </c>
      <c r="AW62">
        <v>10</v>
      </c>
      <c r="AX62">
        <v>0</v>
      </c>
      <c r="AY62">
        <v>0</v>
      </c>
      <c r="AZ62" s="20">
        <f t="shared" si="8"/>
        <v>6.666666666666667</v>
      </c>
      <c r="BA62">
        <v>0</v>
      </c>
      <c r="BB62">
        <v>0</v>
      </c>
      <c r="BC62">
        <v>0</v>
      </c>
      <c r="BD62" s="20">
        <f t="shared" si="9"/>
        <v>0</v>
      </c>
      <c r="BE62">
        <v>0</v>
      </c>
      <c r="BF62">
        <v>0</v>
      </c>
      <c r="BG62">
        <v>0</v>
      </c>
      <c r="BH62" s="20">
        <f t="shared" si="10"/>
        <v>0</v>
      </c>
      <c r="BI62">
        <v>22.7</v>
      </c>
      <c r="BJ62">
        <v>12.1</v>
      </c>
      <c r="BK62" s="17">
        <f t="shared" si="11"/>
        <v>46.696035242290748</v>
      </c>
      <c r="BL62" s="17">
        <f t="shared" si="12"/>
        <v>4.6784140969162991</v>
      </c>
      <c r="BM62" s="18">
        <f t="shared" si="13"/>
        <v>45510.678414096918</v>
      </c>
      <c r="BN62" s="175">
        <f t="shared" si="14"/>
        <v>92.67841409691755</v>
      </c>
      <c r="BO62">
        <v>6</v>
      </c>
      <c r="BP62" s="22">
        <f t="shared" si="15"/>
        <v>8.6867999999999999</v>
      </c>
      <c r="BQ62">
        <v>8410</v>
      </c>
      <c r="BR62" s="20">
        <v>6.4</v>
      </c>
      <c r="BS62" s="20">
        <f t="shared" si="20"/>
        <v>10476.01024316743</v>
      </c>
      <c r="BT62" s="20">
        <f t="shared" si="16"/>
        <v>194.74634426400991</v>
      </c>
      <c r="BU62">
        <v>47.9</v>
      </c>
      <c r="BV62" s="22">
        <v>4.0999999999999996</v>
      </c>
      <c r="BW62" s="22">
        <v>4.9000000000000004</v>
      </c>
      <c r="BX62" s="159">
        <f t="shared" si="17"/>
        <v>48.693641618497104</v>
      </c>
      <c r="BZ62" s="23" t="s">
        <v>35</v>
      </c>
      <c r="CA62" s="162">
        <v>191.35043681455338</v>
      </c>
      <c r="CB62" s="21">
        <v>15.675527459168476</v>
      </c>
    </row>
    <row r="63" spans="2:80" x14ac:dyDescent="0.3">
      <c r="B63" s="63">
        <v>2024</v>
      </c>
      <c r="C63" t="s">
        <v>105</v>
      </c>
      <c r="D63">
        <v>305</v>
      </c>
      <c r="E63">
        <v>3</v>
      </c>
      <c r="F63">
        <v>10</v>
      </c>
      <c r="G63" t="s">
        <v>106</v>
      </c>
      <c r="H63">
        <v>1</v>
      </c>
      <c r="I63" s="23" t="s">
        <v>37</v>
      </c>
      <c r="J63">
        <v>24</v>
      </c>
      <c r="K63">
        <v>49</v>
      </c>
      <c r="L63" s="21">
        <f t="shared" si="21"/>
        <v>151.2639867384998</v>
      </c>
      <c r="M63">
        <v>75</v>
      </c>
      <c r="N63">
        <v>77</v>
      </c>
      <c r="O63">
        <v>76</v>
      </c>
      <c r="P63">
        <v>75</v>
      </c>
      <c r="Q63" s="20">
        <f t="shared" si="1"/>
        <v>75.75</v>
      </c>
      <c r="R63">
        <v>99</v>
      </c>
      <c r="S63">
        <v>105</v>
      </c>
      <c r="T63">
        <v>92</v>
      </c>
      <c r="U63">
        <v>99</v>
      </c>
      <c r="V63" s="20">
        <f t="shared" si="2"/>
        <v>98.75</v>
      </c>
      <c r="W63">
        <v>100</v>
      </c>
      <c r="X63">
        <v>101</v>
      </c>
      <c r="Y63">
        <v>102</v>
      </c>
      <c r="Z63">
        <v>101</v>
      </c>
      <c r="AA63" s="20">
        <f t="shared" si="3"/>
        <v>101</v>
      </c>
      <c r="AB63">
        <v>105</v>
      </c>
      <c r="AC63">
        <v>104</v>
      </c>
      <c r="AD63">
        <v>107</v>
      </c>
      <c r="AE63">
        <v>105</v>
      </c>
      <c r="AF63" s="20">
        <f t="shared" si="4"/>
        <v>105.25</v>
      </c>
      <c r="AG63" s="20"/>
      <c r="AH63" s="20"/>
      <c r="AI63" s="20"/>
      <c r="AJ63" s="20"/>
      <c r="AK63" s="20" t="e">
        <f t="shared" si="5"/>
        <v>#DIV/0!</v>
      </c>
      <c r="AL63" s="20"/>
      <c r="AM63" s="20"/>
      <c r="AN63" s="20"/>
      <c r="AO63" s="20"/>
      <c r="AP63" s="20" t="e">
        <f t="shared" si="6"/>
        <v>#DIV/0!</v>
      </c>
      <c r="AQ63" s="147">
        <v>45480</v>
      </c>
      <c r="AR63">
        <v>103</v>
      </c>
      <c r="AS63">
        <v>105</v>
      </c>
      <c r="AT63">
        <v>103</v>
      </c>
      <c r="AU63">
        <v>104</v>
      </c>
      <c r="AV63" s="20">
        <f t="shared" si="7"/>
        <v>103.75</v>
      </c>
      <c r="AW63">
        <v>5</v>
      </c>
      <c r="AX63">
        <v>0</v>
      </c>
      <c r="AY63">
        <v>0</v>
      </c>
      <c r="AZ63" s="20">
        <f t="shared" si="8"/>
        <v>3.3333333333333335</v>
      </c>
      <c r="BA63">
        <v>5</v>
      </c>
      <c r="BB63">
        <v>0</v>
      </c>
      <c r="BC63">
        <v>0</v>
      </c>
      <c r="BD63" s="20">
        <f t="shared" si="9"/>
        <v>3.3333333333333335</v>
      </c>
      <c r="BE63">
        <v>0</v>
      </c>
      <c r="BF63">
        <v>0</v>
      </c>
      <c r="BG63">
        <v>0</v>
      </c>
      <c r="BH63" s="20">
        <f t="shared" si="10"/>
        <v>0</v>
      </c>
      <c r="BI63">
        <v>31.55</v>
      </c>
      <c r="BJ63">
        <v>17.829999999999998</v>
      </c>
      <c r="BK63" s="17">
        <f t="shared" si="11"/>
        <v>43.486529318542004</v>
      </c>
      <c r="BL63" s="17">
        <f t="shared" si="12"/>
        <v>3.3946117274168017</v>
      </c>
      <c r="BM63" s="18">
        <f t="shared" si="13"/>
        <v>45509.394611727417</v>
      </c>
      <c r="BN63" s="175">
        <f t="shared" si="14"/>
        <v>91.394611727417214</v>
      </c>
      <c r="BO63">
        <v>6</v>
      </c>
      <c r="BP63" s="22">
        <f t="shared" si="15"/>
        <v>8.6867999999999999</v>
      </c>
      <c r="BQ63">
        <v>8400</v>
      </c>
      <c r="BR63" s="20">
        <v>6.2</v>
      </c>
      <c r="BS63" s="20">
        <f t="shared" si="20"/>
        <v>10485.911652281677</v>
      </c>
      <c r="BT63" s="20">
        <f t="shared" si="16"/>
        <v>194.93040892062092</v>
      </c>
      <c r="BU63">
        <v>47.1</v>
      </c>
      <c r="BV63" s="22">
        <v>4.53</v>
      </c>
      <c r="BW63" s="22">
        <v>4.34</v>
      </c>
      <c r="BX63" s="159">
        <f t="shared" si="17"/>
        <v>48.092832369942208</v>
      </c>
      <c r="BZ63" s="23" t="s">
        <v>32</v>
      </c>
      <c r="CA63" s="21">
        <v>193.9756147475733</v>
      </c>
      <c r="CB63" s="21">
        <v>13.439094943974291</v>
      </c>
    </row>
    <row r="64" spans="2:80" x14ac:dyDescent="0.3">
      <c r="B64" s="63">
        <v>2024</v>
      </c>
      <c r="C64" t="s">
        <v>105</v>
      </c>
      <c r="D64">
        <v>306</v>
      </c>
      <c r="E64">
        <v>3</v>
      </c>
      <c r="F64">
        <v>13</v>
      </c>
      <c r="G64" t="s">
        <v>106</v>
      </c>
      <c r="H64">
        <v>4</v>
      </c>
      <c r="I64" s="23" t="s">
        <v>36</v>
      </c>
      <c r="J64">
        <v>48</v>
      </c>
      <c r="K64">
        <v>41</v>
      </c>
      <c r="L64" s="21">
        <f t="shared" si="21"/>
        <v>184.41773725652715</v>
      </c>
      <c r="M64">
        <v>67</v>
      </c>
      <c r="N64">
        <v>73</v>
      </c>
      <c r="O64">
        <v>74</v>
      </c>
      <c r="P64">
        <v>75</v>
      </c>
      <c r="Q64" s="20">
        <f t="shared" si="1"/>
        <v>72.25</v>
      </c>
      <c r="R64">
        <v>84</v>
      </c>
      <c r="S64">
        <v>86</v>
      </c>
      <c r="T64">
        <v>98</v>
      </c>
      <c r="U64">
        <v>98</v>
      </c>
      <c r="V64" s="20">
        <f t="shared" si="2"/>
        <v>91.5</v>
      </c>
      <c r="W64">
        <v>101</v>
      </c>
      <c r="X64">
        <v>100</v>
      </c>
      <c r="Y64">
        <v>101</v>
      </c>
      <c r="Z64">
        <v>98</v>
      </c>
      <c r="AA64" s="20">
        <f t="shared" si="3"/>
        <v>100</v>
      </c>
      <c r="AB64">
        <v>95</v>
      </c>
      <c r="AC64">
        <v>102</v>
      </c>
      <c r="AD64">
        <v>100</v>
      </c>
      <c r="AE64">
        <v>95</v>
      </c>
      <c r="AF64" s="20">
        <f t="shared" si="4"/>
        <v>98</v>
      </c>
      <c r="AG64" s="20"/>
      <c r="AH64" s="20"/>
      <c r="AI64" s="20"/>
      <c r="AJ64" s="20"/>
      <c r="AK64" s="20" t="e">
        <f t="shared" si="5"/>
        <v>#DIV/0!</v>
      </c>
      <c r="AL64" s="20"/>
      <c r="AM64" s="20"/>
      <c r="AN64" s="20"/>
      <c r="AO64" s="20"/>
      <c r="AP64" s="20" t="e">
        <f t="shared" si="6"/>
        <v>#DIV/0!</v>
      </c>
      <c r="AQ64" s="147">
        <v>45480</v>
      </c>
      <c r="AR64">
        <v>100</v>
      </c>
      <c r="AS64">
        <v>98</v>
      </c>
      <c r="AT64">
        <v>99</v>
      </c>
      <c r="AU64">
        <v>98</v>
      </c>
      <c r="AV64" s="20">
        <f t="shared" si="7"/>
        <v>98.75</v>
      </c>
      <c r="AW64">
        <v>0</v>
      </c>
      <c r="AX64">
        <v>0</v>
      </c>
      <c r="AY64">
        <v>0</v>
      </c>
      <c r="AZ64" s="20">
        <f t="shared" si="8"/>
        <v>0</v>
      </c>
      <c r="BA64">
        <v>4</v>
      </c>
      <c r="BB64">
        <v>0</v>
      </c>
      <c r="BC64">
        <v>0</v>
      </c>
      <c r="BD64" s="20">
        <f t="shared" si="9"/>
        <v>2.6666666666666665</v>
      </c>
      <c r="BE64">
        <v>0</v>
      </c>
      <c r="BF64">
        <v>0</v>
      </c>
      <c r="BG64">
        <v>0</v>
      </c>
      <c r="BH64" s="20">
        <f t="shared" si="10"/>
        <v>0</v>
      </c>
      <c r="BI64">
        <v>29.15</v>
      </c>
      <c r="BJ64">
        <v>13.46</v>
      </c>
      <c r="BK64" s="17">
        <f t="shared" si="11"/>
        <v>53.825042881646645</v>
      </c>
      <c r="BL64" s="17">
        <f t="shared" si="12"/>
        <v>7.5300171526586581</v>
      </c>
      <c r="BM64" s="18">
        <f t="shared" si="13"/>
        <v>45513.530017152661</v>
      </c>
      <c r="BN64" s="175">
        <f t="shared" si="14"/>
        <v>95.530017152661458</v>
      </c>
      <c r="BO64">
        <v>6</v>
      </c>
      <c r="BP64" s="22">
        <f t="shared" si="15"/>
        <v>8.6867999999999999</v>
      </c>
      <c r="BQ64">
        <v>8270</v>
      </c>
      <c r="BR64" s="20">
        <v>10.3</v>
      </c>
      <c r="BS64" s="20">
        <f t="shared" si="20"/>
        <v>9872.3836125291164</v>
      </c>
      <c r="BT64" s="20">
        <f t="shared" si="16"/>
        <v>183.52507997650281</v>
      </c>
      <c r="BU64">
        <v>66.400000000000006</v>
      </c>
      <c r="BV64" s="22">
        <v>4.43</v>
      </c>
      <c r="BW64" s="22">
        <v>4.34</v>
      </c>
      <c r="BX64" s="159">
        <f t="shared" si="17"/>
        <v>45.472196531791901</v>
      </c>
      <c r="BZ64" s="23" t="s">
        <v>38</v>
      </c>
      <c r="CA64" s="21">
        <v>195.32824669824439</v>
      </c>
      <c r="CB64" s="21">
        <v>15.875322749127186</v>
      </c>
    </row>
    <row r="65" spans="2:80" x14ac:dyDescent="0.3">
      <c r="B65" s="63">
        <v>2024</v>
      </c>
      <c r="C65" t="s">
        <v>105</v>
      </c>
      <c r="D65">
        <v>307</v>
      </c>
      <c r="E65">
        <v>3</v>
      </c>
      <c r="F65">
        <v>16</v>
      </c>
      <c r="G65" t="s">
        <v>106</v>
      </c>
      <c r="H65">
        <v>7</v>
      </c>
      <c r="I65" s="23" t="s">
        <v>34</v>
      </c>
      <c r="J65">
        <v>38</v>
      </c>
      <c r="K65">
        <v>54</v>
      </c>
      <c r="L65" s="21">
        <f t="shared" si="21"/>
        <v>190.63406547865728</v>
      </c>
      <c r="M65">
        <v>74</v>
      </c>
      <c r="N65">
        <v>70</v>
      </c>
      <c r="O65">
        <v>77</v>
      </c>
      <c r="P65">
        <v>74</v>
      </c>
      <c r="Q65" s="20">
        <f t="shared" si="1"/>
        <v>73.75</v>
      </c>
      <c r="R65">
        <v>85</v>
      </c>
      <c r="S65">
        <v>88</v>
      </c>
      <c r="T65">
        <v>87</v>
      </c>
      <c r="U65">
        <v>91</v>
      </c>
      <c r="V65" s="20">
        <f t="shared" si="2"/>
        <v>87.75</v>
      </c>
      <c r="W65">
        <v>90</v>
      </c>
      <c r="X65">
        <v>94</v>
      </c>
      <c r="Y65">
        <v>95</v>
      </c>
      <c r="Z65">
        <v>96</v>
      </c>
      <c r="AA65" s="20">
        <f t="shared" si="3"/>
        <v>93.75</v>
      </c>
      <c r="AB65">
        <v>100</v>
      </c>
      <c r="AC65">
        <v>102</v>
      </c>
      <c r="AD65">
        <v>100</v>
      </c>
      <c r="AE65">
        <v>98</v>
      </c>
      <c r="AF65" s="20">
        <f t="shared" si="4"/>
        <v>100</v>
      </c>
      <c r="AG65" s="20"/>
      <c r="AH65" s="20"/>
      <c r="AI65" s="20"/>
      <c r="AJ65" s="20"/>
      <c r="AK65" s="20" t="e">
        <f t="shared" si="5"/>
        <v>#DIV/0!</v>
      </c>
      <c r="AL65" s="20"/>
      <c r="AM65" s="20"/>
      <c r="AN65" s="20"/>
      <c r="AO65" s="20"/>
      <c r="AP65" s="20" t="e">
        <f t="shared" si="6"/>
        <v>#DIV/0!</v>
      </c>
      <c r="AQ65" s="147">
        <v>45481</v>
      </c>
      <c r="AR65">
        <v>96</v>
      </c>
      <c r="AS65">
        <v>96</v>
      </c>
      <c r="AT65">
        <v>99</v>
      </c>
      <c r="AU65">
        <v>100</v>
      </c>
      <c r="AV65" s="20">
        <f t="shared" si="7"/>
        <v>97.75</v>
      </c>
      <c r="AW65">
        <v>5</v>
      </c>
      <c r="AX65">
        <v>0</v>
      </c>
      <c r="AY65">
        <v>0</v>
      </c>
      <c r="AZ65" s="20">
        <f t="shared" si="8"/>
        <v>3.3333333333333335</v>
      </c>
      <c r="BA65">
        <v>0</v>
      </c>
      <c r="BB65">
        <v>0</v>
      </c>
      <c r="BC65">
        <v>0</v>
      </c>
      <c r="BD65" s="20">
        <f t="shared" si="9"/>
        <v>0</v>
      </c>
      <c r="BE65">
        <v>0</v>
      </c>
      <c r="BF65">
        <v>0</v>
      </c>
      <c r="BG65">
        <v>0</v>
      </c>
      <c r="BH65" s="20">
        <f t="shared" si="10"/>
        <v>0</v>
      </c>
      <c r="BI65">
        <v>28.7</v>
      </c>
      <c r="BJ65">
        <v>15.05</v>
      </c>
      <c r="BK65" s="17">
        <f t="shared" si="11"/>
        <v>47.560975609756099</v>
      </c>
      <c r="BL65" s="17">
        <f t="shared" si="12"/>
        <v>5.0243902439024399</v>
      </c>
      <c r="BM65" s="18">
        <f t="shared" si="13"/>
        <v>45511.024390243903</v>
      </c>
      <c r="BN65" s="175">
        <f t="shared" si="14"/>
        <v>93.024390243903326</v>
      </c>
      <c r="BO65">
        <v>6</v>
      </c>
      <c r="BP65" s="22">
        <f t="shared" si="15"/>
        <v>8.6867999999999999</v>
      </c>
      <c r="BQ65">
        <v>8540</v>
      </c>
      <c r="BR65" s="20">
        <v>10.8</v>
      </c>
      <c r="BS65" s="20">
        <f t="shared" si="20"/>
        <v>10137.871798577657</v>
      </c>
      <c r="BT65" s="20">
        <f t="shared" si="16"/>
        <v>188.46043728125133</v>
      </c>
      <c r="BU65">
        <v>66</v>
      </c>
      <c r="BV65" s="22">
        <v>4.32</v>
      </c>
      <c r="BW65" s="22">
        <v>4.24</v>
      </c>
      <c r="BX65" s="159">
        <f t="shared" si="17"/>
        <v>44.135953757225437</v>
      </c>
      <c r="BZ65" s="23" t="s">
        <v>34</v>
      </c>
      <c r="CA65" s="21">
        <v>199.32603215531191</v>
      </c>
      <c r="CB65" s="21">
        <v>9.6312157582923046</v>
      </c>
    </row>
    <row r="66" spans="2:80" x14ac:dyDescent="0.3">
      <c r="B66" s="63">
        <v>2024</v>
      </c>
      <c r="C66" t="s">
        <v>105</v>
      </c>
      <c r="D66">
        <v>308</v>
      </c>
      <c r="E66">
        <v>3</v>
      </c>
      <c r="F66">
        <v>17</v>
      </c>
      <c r="G66" t="s">
        <v>106</v>
      </c>
      <c r="H66">
        <v>8</v>
      </c>
      <c r="I66" s="23" t="s">
        <v>38</v>
      </c>
      <c r="J66">
        <v>40</v>
      </c>
      <c r="K66">
        <v>41</v>
      </c>
      <c r="L66" s="21">
        <f t="shared" si="21"/>
        <v>167.84086199751349</v>
      </c>
      <c r="M66">
        <v>79</v>
      </c>
      <c r="N66">
        <v>70</v>
      </c>
      <c r="O66">
        <v>76</v>
      </c>
      <c r="P66">
        <v>72</v>
      </c>
      <c r="Q66" s="20">
        <f t="shared" si="1"/>
        <v>74.25</v>
      </c>
      <c r="R66">
        <v>94</v>
      </c>
      <c r="S66">
        <v>86</v>
      </c>
      <c r="T66">
        <v>93</v>
      </c>
      <c r="U66">
        <v>100</v>
      </c>
      <c r="V66" s="20">
        <f t="shared" si="2"/>
        <v>93.25</v>
      </c>
      <c r="W66">
        <v>93</v>
      </c>
      <c r="X66">
        <v>101</v>
      </c>
      <c r="Y66">
        <v>100</v>
      </c>
      <c r="Z66">
        <v>96</v>
      </c>
      <c r="AA66" s="20">
        <f t="shared" si="3"/>
        <v>97.5</v>
      </c>
      <c r="AB66">
        <v>97</v>
      </c>
      <c r="AC66">
        <v>95</v>
      </c>
      <c r="AD66">
        <v>105</v>
      </c>
      <c r="AE66">
        <v>100</v>
      </c>
      <c r="AF66" s="20">
        <f t="shared" si="4"/>
        <v>99.25</v>
      </c>
      <c r="AG66" s="20"/>
      <c r="AH66" s="20"/>
      <c r="AI66" s="20"/>
      <c r="AJ66" s="20"/>
      <c r="AK66" s="20" t="e">
        <f t="shared" si="5"/>
        <v>#DIV/0!</v>
      </c>
      <c r="AL66" s="20"/>
      <c r="AM66" s="20"/>
      <c r="AN66" s="20"/>
      <c r="AO66" s="20"/>
      <c r="AP66" s="20" t="e">
        <f t="shared" si="6"/>
        <v>#DIV/0!</v>
      </c>
      <c r="AQ66" s="147">
        <v>45479</v>
      </c>
      <c r="AR66">
        <v>96</v>
      </c>
      <c r="AS66">
        <v>95</v>
      </c>
      <c r="AT66">
        <v>98</v>
      </c>
      <c r="AU66">
        <v>96</v>
      </c>
      <c r="AV66" s="20">
        <f t="shared" si="7"/>
        <v>96.25</v>
      </c>
      <c r="AW66">
        <v>0</v>
      </c>
      <c r="AX66">
        <v>0</v>
      </c>
      <c r="AY66">
        <v>0</v>
      </c>
      <c r="AZ66" s="20">
        <f t="shared" si="8"/>
        <v>0</v>
      </c>
      <c r="BA66">
        <v>0</v>
      </c>
      <c r="BB66">
        <v>0</v>
      </c>
      <c r="BC66">
        <v>0</v>
      </c>
      <c r="BD66" s="20">
        <f t="shared" si="9"/>
        <v>0</v>
      </c>
      <c r="BE66">
        <v>0</v>
      </c>
      <c r="BF66">
        <v>0</v>
      </c>
      <c r="BG66">
        <v>0</v>
      </c>
      <c r="BH66" s="20">
        <f t="shared" si="10"/>
        <v>0</v>
      </c>
      <c r="BI66">
        <v>30.4</v>
      </c>
      <c r="BJ66">
        <v>16.64</v>
      </c>
      <c r="BK66" s="17">
        <f t="shared" si="11"/>
        <v>45.263157894736835</v>
      </c>
      <c r="BL66" s="17">
        <f t="shared" si="12"/>
        <v>4.1052631578947345</v>
      </c>
      <c r="BM66" s="18">
        <f t="shared" si="13"/>
        <v>45510.105263157893</v>
      </c>
      <c r="BN66" s="175">
        <f t="shared" si="14"/>
        <v>92.105263157893205</v>
      </c>
      <c r="BO66">
        <v>6</v>
      </c>
      <c r="BP66" s="22">
        <f t="shared" si="15"/>
        <v>8.6867999999999999</v>
      </c>
      <c r="BQ66">
        <v>8490</v>
      </c>
      <c r="BR66" s="20">
        <v>10.7</v>
      </c>
      <c r="BS66" s="20">
        <f t="shared" si="20"/>
        <v>10089.815362675041</v>
      </c>
      <c r="BT66" s="20">
        <f t="shared" si="16"/>
        <v>187.56708045998474</v>
      </c>
      <c r="BU66">
        <v>65.900000000000006</v>
      </c>
      <c r="BV66" s="22">
        <v>5.23</v>
      </c>
      <c r="BW66" s="22">
        <v>4.4400000000000004</v>
      </c>
      <c r="BX66" s="159">
        <f t="shared" si="17"/>
        <v>49.91508670520232</v>
      </c>
      <c r="BZ66" s="23" t="s">
        <v>39</v>
      </c>
      <c r="CA66" s="21">
        <v>192.38877866393841</v>
      </c>
      <c r="CB66" s="21">
        <v>12.969074113729206</v>
      </c>
    </row>
    <row r="67" spans="2:80" x14ac:dyDescent="0.3">
      <c r="B67" s="63">
        <v>2024</v>
      </c>
      <c r="C67" t="s">
        <v>105</v>
      </c>
      <c r="D67">
        <v>309</v>
      </c>
      <c r="E67">
        <v>3</v>
      </c>
      <c r="F67">
        <v>12</v>
      </c>
      <c r="G67" t="s">
        <v>106</v>
      </c>
      <c r="H67">
        <v>3</v>
      </c>
      <c r="I67" s="23" t="s">
        <v>39</v>
      </c>
      <c r="J67">
        <v>41</v>
      </c>
      <c r="K67">
        <v>57</v>
      </c>
      <c r="L67" s="21">
        <f t="shared" si="21"/>
        <v>203.06672192291754</v>
      </c>
      <c r="M67">
        <v>79</v>
      </c>
      <c r="N67">
        <v>80</v>
      </c>
      <c r="O67">
        <v>69</v>
      </c>
      <c r="P67">
        <v>70</v>
      </c>
      <c r="Q67" s="20">
        <f t="shared" si="1"/>
        <v>74.5</v>
      </c>
      <c r="R67">
        <v>96</v>
      </c>
      <c r="S67">
        <v>98</v>
      </c>
      <c r="T67">
        <v>94</v>
      </c>
      <c r="U67">
        <v>99</v>
      </c>
      <c r="V67" s="20">
        <f t="shared" si="2"/>
        <v>96.75</v>
      </c>
      <c r="W67">
        <v>98</v>
      </c>
      <c r="X67">
        <v>100</v>
      </c>
      <c r="Y67">
        <v>97</v>
      </c>
      <c r="Z67">
        <v>101</v>
      </c>
      <c r="AA67" s="20">
        <f t="shared" si="3"/>
        <v>99</v>
      </c>
      <c r="AB67">
        <v>103</v>
      </c>
      <c r="AC67">
        <v>102</v>
      </c>
      <c r="AD67">
        <v>105</v>
      </c>
      <c r="AE67">
        <v>107</v>
      </c>
      <c r="AF67" s="20">
        <f t="shared" si="4"/>
        <v>104.25</v>
      </c>
      <c r="AG67" s="20"/>
      <c r="AH67" s="20"/>
      <c r="AI67" s="20"/>
      <c r="AJ67" s="20"/>
      <c r="AK67" s="20" t="e">
        <f t="shared" si="5"/>
        <v>#DIV/0!</v>
      </c>
      <c r="AL67" s="20"/>
      <c r="AM67" s="20"/>
      <c r="AN67" s="20"/>
      <c r="AO67" s="20"/>
      <c r="AP67" s="20" t="e">
        <f t="shared" si="6"/>
        <v>#DIV/0!</v>
      </c>
      <c r="AQ67" s="147">
        <v>45479</v>
      </c>
      <c r="AR67">
        <v>103</v>
      </c>
      <c r="AS67">
        <v>105</v>
      </c>
      <c r="AT67">
        <v>103</v>
      </c>
      <c r="AU67">
        <v>100</v>
      </c>
      <c r="AV67" s="20">
        <f t="shared" si="7"/>
        <v>102.75</v>
      </c>
      <c r="AW67">
        <v>10</v>
      </c>
      <c r="AX67">
        <v>5</v>
      </c>
      <c r="AY67">
        <v>0</v>
      </c>
      <c r="AZ67" s="20">
        <f t="shared" si="8"/>
        <v>8.3333333333333339</v>
      </c>
      <c r="BA67">
        <v>0</v>
      </c>
      <c r="BB67">
        <v>0</v>
      </c>
      <c r="BC67">
        <v>0</v>
      </c>
      <c r="BD67" s="20">
        <f t="shared" si="9"/>
        <v>0</v>
      </c>
      <c r="BE67">
        <v>0</v>
      </c>
      <c r="BF67">
        <v>0</v>
      </c>
      <c r="BG67">
        <v>0</v>
      </c>
      <c r="BH67" s="20">
        <f t="shared" si="10"/>
        <v>0</v>
      </c>
      <c r="BI67">
        <v>36.94</v>
      </c>
      <c r="BJ67">
        <v>22.96</v>
      </c>
      <c r="BK67" s="17">
        <f t="shared" si="11"/>
        <v>37.845154304277202</v>
      </c>
      <c r="BL67" s="17">
        <f t="shared" si="12"/>
        <v>1.1380617217108806</v>
      </c>
      <c r="BM67" s="18">
        <f t="shared" si="13"/>
        <v>45507.138061721707</v>
      </c>
      <c r="BN67" s="175">
        <f t="shared" si="14"/>
        <v>89.138061721707345</v>
      </c>
      <c r="BO67">
        <v>6</v>
      </c>
      <c r="BP67" s="22">
        <f t="shared" si="15"/>
        <v>8.6867999999999999</v>
      </c>
      <c r="BQ67">
        <v>8640</v>
      </c>
      <c r="BR67" s="20">
        <v>5.3</v>
      </c>
      <c r="BS67" s="20">
        <f t="shared" si="20"/>
        <v>10888.994823319736</v>
      </c>
      <c r="BT67" s="20">
        <f t="shared" si="16"/>
        <v>202.42362171555919</v>
      </c>
      <c r="BU67">
        <v>35.4</v>
      </c>
      <c r="BV67" s="22">
        <v>4.1399999999999997</v>
      </c>
      <c r="BW67" s="22">
        <v>4.1100000000000003</v>
      </c>
      <c r="BX67" s="159">
        <f t="shared" si="17"/>
        <v>45.160404624277461</v>
      </c>
      <c r="BZ67" s="23" t="s">
        <v>33</v>
      </c>
      <c r="CA67" s="21">
        <v>194.35588721522456</v>
      </c>
      <c r="CB67" s="21">
        <v>13.931336745833281</v>
      </c>
    </row>
    <row r="68" spans="2:80" x14ac:dyDescent="0.3">
      <c r="B68" s="63">
        <v>2024</v>
      </c>
      <c r="C68" t="s">
        <v>105</v>
      </c>
      <c r="D68">
        <v>310</v>
      </c>
      <c r="E68">
        <v>3</v>
      </c>
      <c r="F68">
        <v>26</v>
      </c>
      <c r="G68" t="s">
        <v>41</v>
      </c>
      <c r="H68">
        <v>8</v>
      </c>
      <c r="I68" s="23" t="s">
        <v>38</v>
      </c>
      <c r="J68">
        <v>46</v>
      </c>
      <c r="K68">
        <v>52</v>
      </c>
      <c r="L68" s="21">
        <f t="shared" si="0"/>
        <v>203.06672192291754</v>
      </c>
      <c r="M68">
        <v>69</v>
      </c>
      <c r="N68">
        <v>66</v>
      </c>
      <c r="O68">
        <v>69</v>
      </c>
      <c r="P68">
        <v>66</v>
      </c>
      <c r="Q68" s="20">
        <f t="shared" si="1"/>
        <v>67.5</v>
      </c>
      <c r="R68">
        <v>77</v>
      </c>
      <c r="S68">
        <v>80</v>
      </c>
      <c r="T68">
        <v>81</v>
      </c>
      <c r="U68">
        <v>82</v>
      </c>
      <c r="V68" s="20">
        <f t="shared" si="2"/>
        <v>80</v>
      </c>
      <c r="W68">
        <v>86</v>
      </c>
      <c r="X68">
        <v>85</v>
      </c>
      <c r="Y68">
        <v>85</v>
      </c>
      <c r="Z68">
        <v>84</v>
      </c>
      <c r="AA68" s="20">
        <f t="shared" si="3"/>
        <v>85</v>
      </c>
      <c r="AB68">
        <v>85</v>
      </c>
      <c r="AC68">
        <v>85</v>
      </c>
      <c r="AD68">
        <v>87</v>
      </c>
      <c r="AE68">
        <v>85</v>
      </c>
      <c r="AF68" s="20">
        <f t="shared" si="4"/>
        <v>85.5</v>
      </c>
      <c r="AG68" s="20"/>
      <c r="AH68" s="20"/>
      <c r="AI68" s="20"/>
      <c r="AJ68" s="20"/>
      <c r="AK68" s="20" t="e">
        <f t="shared" si="5"/>
        <v>#DIV/0!</v>
      </c>
      <c r="AL68" s="20"/>
      <c r="AM68" s="20"/>
      <c r="AN68" s="20"/>
      <c r="AO68" s="20"/>
      <c r="AP68" s="20" t="e">
        <f t="shared" si="6"/>
        <v>#DIV/0!</v>
      </c>
      <c r="AQ68" s="147">
        <v>45480</v>
      </c>
      <c r="AR68">
        <v>87</v>
      </c>
      <c r="AS68">
        <v>85</v>
      </c>
      <c r="AT68">
        <v>86</v>
      </c>
      <c r="AU68">
        <v>88</v>
      </c>
      <c r="AV68" s="20">
        <f t="shared" si="7"/>
        <v>86.5</v>
      </c>
      <c r="AW68">
        <v>0</v>
      </c>
      <c r="AX68">
        <v>0</v>
      </c>
      <c r="AY68">
        <v>0</v>
      </c>
      <c r="AZ68" s="20">
        <f t="shared" si="8"/>
        <v>0</v>
      </c>
      <c r="BA68">
        <v>0</v>
      </c>
      <c r="BB68">
        <v>0</v>
      </c>
      <c r="BC68">
        <v>0</v>
      </c>
      <c r="BD68" s="20">
        <f t="shared" si="9"/>
        <v>0</v>
      </c>
      <c r="BE68">
        <v>0</v>
      </c>
      <c r="BF68">
        <v>0</v>
      </c>
      <c r="BG68">
        <v>0</v>
      </c>
      <c r="BH68" s="20">
        <f t="shared" si="10"/>
        <v>0</v>
      </c>
      <c r="BI68">
        <v>27.7</v>
      </c>
      <c r="BJ68">
        <v>16.82</v>
      </c>
      <c r="BK68" s="17">
        <f t="shared" si="11"/>
        <v>39.277978339350177</v>
      </c>
      <c r="BL68" s="17">
        <f t="shared" si="12"/>
        <v>1.711191335740071</v>
      </c>
      <c r="BM68" s="18">
        <f t="shared" si="13"/>
        <v>45507.711191335737</v>
      </c>
      <c r="BN68" s="175">
        <f t="shared" si="14"/>
        <v>89.711191335736657</v>
      </c>
      <c r="BO68">
        <v>6</v>
      </c>
      <c r="BP68" s="22">
        <f t="shared" si="15"/>
        <v>8.6867999999999999</v>
      </c>
      <c r="BQ68">
        <v>8950</v>
      </c>
      <c r="BR68" s="20">
        <v>6.1</v>
      </c>
      <c r="BS68" s="20">
        <f t="shared" si="20"/>
        <v>11184.400170240355</v>
      </c>
      <c r="BT68" s="20">
        <f t="shared" si="16"/>
        <v>207.91513136985276</v>
      </c>
      <c r="BU68">
        <v>38.9</v>
      </c>
      <c r="BV68" s="22">
        <v>5.18</v>
      </c>
      <c r="BW68" s="22">
        <v>5.47</v>
      </c>
      <c r="BX68" s="159">
        <f t="shared" si="17"/>
        <v>57.805491329479764</v>
      </c>
      <c r="BZ68" s="23" t="s">
        <v>36</v>
      </c>
      <c r="CA68" s="162">
        <v>190.12019414114442</v>
      </c>
      <c r="CB68" s="21">
        <v>15.462451545275995</v>
      </c>
    </row>
    <row r="69" spans="2:80" x14ac:dyDescent="0.3">
      <c r="B69" s="63">
        <v>2024</v>
      </c>
      <c r="C69" t="s">
        <v>105</v>
      </c>
      <c r="D69">
        <v>311</v>
      </c>
      <c r="E69">
        <v>3</v>
      </c>
      <c r="F69">
        <v>19</v>
      </c>
      <c r="G69" t="s">
        <v>41</v>
      </c>
      <c r="H69">
        <v>1</v>
      </c>
      <c r="I69" s="23" t="s">
        <v>37</v>
      </c>
      <c r="J69">
        <v>41</v>
      </c>
      <c r="K69">
        <v>61</v>
      </c>
      <c r="L69" s="21">
        <f t="shared" si="0"/>
        <v>211.35515955242437</v>
      </c>
      <c r="M69">
        <v>70</v>
      </c>
      <c r="N69">
        <v>70</v>
      </c>
      <c r="O69">
        <v>68</v>
      </c>
      <c r="P69">
        <v>71</v>
      </c>
      <c r="Q69" s="20">
        <f t="shared" si="1"/>
        <v>69.75</v>
      </c>
      <c r="R69">
        <v>80</v>
      </c>
      <c r="S69">
        <v>81</v>
      </c>
      <c r="T69">
        <v>81</v>
      </c>
      <c r="U69">
        <v>80</v>
      </c>
      <c r="V69" s="20">
        <f t="shared" si="2"/>
        <v>80.5</v>
      </c>
      <c r="W69">
        <v>81</v>
      </c>
      <c r="X69">
        <v>88</v>
      </c>
      <c r="Y69">
        <v>83</v>
      </c>
      <c r="Z69">
        <v>87</v>
      </c>
      <c r="AA69" s="20">
        <f t="shared" si="3"/>
        <v>84.75</v>
      </c>
      <c r="AB69">
        <v>85</v>
      </c>
      <c r="AC69">
        <v>87</v>
      </c>
      <c r="AD69">
        <v>90</v>
      </c>
      <c r="AE69">
        <v>87</v>
      </c>
      <c r="AF69" s="20">
        <f t="shared" si="4"/>
        <v>87.25</v>
      </c>
      <c r="AK69" s="20" t="e">
        <f t="shared" si="5"/>
        <v>#DIV/0!</v>
      </c>
      <c r="AO69" s="20"/>
      <c r="AP69" s="20" t="e">
        <f t="shared" si="6"/>
        <v>#DIV/0!</v>
      </c>
      <c r="AQ69" s="147">
        <v>45480</v>
      </c>
      <c r="AR69">
        <v>85</v>
      </c>
      <c r="AS69">
        <v>87</v>
      </c>
      <c r="AT69">
        <v>85</v>
      </c>
      <c r="AU69">
        <v>85</v>
      </c>
      <c r="AV69" s="20">
        <f t="shared" si="7"/>
        <v>85.5</v>
      </c>
      <c r="AW69">
        <v>0</v>
      </c>
      <c r="AX69">
        <v>0</v>
      </c>
      <c r="AY69">
        <v>0</v>
      </c>
      <c r="AZ69" s="20">
        <f t="shared" si="8"/>
        <v>0</v>
      </c>
      <c r="BA69">
        <v>0</v>
      </c>
      <c r="BB69">
        <v>0</v>
      </c>
      <c r="BC69">
        <v>0</v>
      </c>
      <c r="BD69" s="20">
        <f t="shared" si="9"/>
        <v>0</v>
      </c>
      <c r="BE69">
        <v>0</v>
      </c>
      <c r="BF69">
        <v>0</v>
      </c>
      <c r="BG69">
        <v>0</v>
      </c>
      <c r="BH69" s="20">
        <f t="shared" si="10"/>
        <v>0</v>
      </c>
      <c r="BI69">
        <v>38.89</v>
      </c>
      <c r="BJ69">
        <v>24.01</v>
      </c>
      <c r="BK69" s="17">
        <f t="shared" si="11"/>
        <v>38.261763949601438</v>
      </c>
      <c r="BL69" s="17">
        <f t="shared" si="12"/>
        <v>1.3047055798405751</v>
      </c>
      <c r="BM69" s="18">
        <f t="shared" si="13"/>
        <v>45507.304705579838</v>
      </c>
      <c r="BN69" s="175">
        <f t="shared" si="14"/>
        <v>89.304705579837901</v>
      </c>
      <c r="BO69">
        <v>6</v>
      </c>
      <c r="BP69" s="22">
        <f t="shared" si="15"/>
        <v>8.6867999999999999</v>
      </c>
      <c r="BQ69">
        <v>9280</v>
      </c>
      <c r="BR69">
        <v>7.1</v>
      </c>
      <c r="BS69" s="20">
        <f t="shared" si="20"/>
        <v>11473.284427824983</v>
      </c>
      <c r="BT69" s="20">
        <f t="shared" si="16"/>
        <v>213.28541564546444</v>
      </c>
      <c r="BU69">
        <v>44.9</v>
      </c>
      <c r="BV69" s="22">
        <v>5.16</v>
      </c>
      <c r="BW69" s="22">
        <v>5.27</v>
      </c>
      <c r="BX69" s="159">
        <f t="shared" si="17"/>
        <v>56.008497109826585</v>
      </c>
      <c r="BZ69" s="23" t="s">
        <v>37</v>
      </c>
      <c r="CA69" s="21">
        <v>198.21953382949258</v>
      </c>
      <c r="CB69" s="21">
        <v>11.311116325516998</v>
      </c>
    </row>
    <row r="70" spans="2:80" x14ac:dyDescent="0.3">
      <c r="B70" s="63">
        <v>2024</v>
      </c>
      <c r="C70" t="s">
        <v>105</v>
      </c>
      <c r="D70">
        <v>312</v>
      </c>
      <c r="E70">
        <v>3</v>
      </c>
      <c r="F70">
        <v>25</v>
      </c>
      <c r="G70" t="s">
        <v>41</v>
      </c>
      <c r="H70">
        <v>7</v>
      </c>
      <c r="I70" s="23" t="s">
        <v>34</v>
      </c>
      <c r="J70">
        <v>40</v>
      </c>
      <c r="K70">
        <v>54</v>
      </c>
      <c r="L70" s="21">
        <f t="shared" ref="L70:L112" si="22">(AVERAGE(J70:K70))/L$2</f>
        <v>194.77828429341071</v>
      </c>
      <c r="M70">
        <v>68</v>
      </c>
      <c r="N70">
        <v>71</v>
      </c>
      <c r="O70">
        <v>68</v>
      </c>
      <c r="P70">
        <v>71</v>
      </c>
      <c r="Q70" s="20">
        <f t="shared" ref="Q70:Q112" si="23">AVERAGE(M70:P70)</f>
        <v>69.5</v>
      </c>
      <c r="R70">
        <v>81</v>
      </c>
      <c r="S70">
        <v>78</v>
      </c>
      <c r="T70">
        <v>78</v>
      </c>
      <c r="U70">
        <v>78</v>
      </c>
      <c r="V70" s="20">
        <f t="shared" ref="V70:V112" si="24">AVERAGE(R70:U70)</f>
        <v>78.75</v>
      </c>
      <c r="W70">
        <v>81</v>
      </c>
      <c r="X70">
        <v>82</v>
      </c>
      <c r="Y70">
        <v>88</v>
      </c>
      <c r="Z70">
        <v>84</v>
      </c>
      <c r="AA70" s="20">
        <f t="shared" ref="AA70:AA112" si="25">AVERAGE(W70:Z70)</f>
        <v>83.75</v>
      </c>
      <c r="AB70">
        <v>83</v>
      </c>
      <c r="AC70">
        <v>85</v>
      </c>
      <c r="AD70">
        <v>80</v>
      </c>
      <c r="AE70">
        <v>86</v>
      </c>
      <c r="AF70" s="20">
        <f t="shared" ref="AF70:AF112" si="26">AVERAGE(AB70:AE70)</f>
        <v>83.5</v>
      </c>
      <c r="AK70" s="20" t="e">
        <f t="shared" ref="AK70:AK112" si="27">AVERAGE(AG70:AJ70)</f>
        <v>#DIV/0!</v>
      </c>
      <c r="AO70" s="20"/>
      <c r="AP70" s="20" t="e">
        <f t="shared" ref="AP70:AP112" si="28">AVERAGE(AL70:AO70)</f>
        <v>#DIV/0!</v>
      </c>
      <c r="AQ70" s="147">
        <v>45481</v>
      </c>
      <c r="AR70">
        <v>84</v>
      </c>
      <c r="AS70">
        <v>84</v>
      </c>
      <c r="AT70">
        <v>85</v>
      </c>
      <c r="AU70">
        <v>83</v>
      </c>
      <c r="AV70" s="20">
        <f t="shared" ref="AV70:AV112" si="29">AVERAGE(AR70:AU70)</f>
        <v>84</v>
      </c>
      <c r="AW70">
        <v>0</v>
      </c>
      <c r="AX70">
        <v>0</v>
      </c>
      <c r="AY70">
        <v>0</v>
      </c>
      <c r="AZ70" s="20">
        <f t="shared" ref="AZ70:AZ112" si="30">((2*AW70)/3)+(AX70/3)+AY70</f>
        <v>0</v>
      </c>
      <c r="BA70">
        <v>0</v>
      </c>
      <c r="BB70">
        <v>0</v>
      </c>
      <c r="BC70">
        <v>0</v>
      </c>
      <c r="BD70" s="20">
        <f t="shared" ref="BD70:BD112" si="31">((2*BA70)/3)+(BB70/3)+BC70</f>
        <v>0</v>
      </c>
      <c r="BE70">
        <v>0</v>
      </c>
      <c r="BF70">
        <v>0</v>
      </c>
      <c r="BG70">
        <v>0</v>
      </c>
      <c r="BH70" s="20">
        <f t="shared" ref="BH70:BH112" si="32">((2*BE70)/3)+(BF70/3)+BG70</f>
        <v>0</v>
      </c>
      <c r="BI70">
        <v>26.71</v>
      </c>
      <c r="BJ70">
        <v>15.9</v>
      </c>
      <c r="BK70" s="17">
        <f t="shared" ref="BK70:BK112" si="33">(BI70-BJ70)/BI70*100</f>
        <v>40.471733433171096</v>
      </c>
      <c r="BL70" s="17">
        <f t="shared" ref="BL70:BL112" si="34">(BK70-35)/2.5</f>
        <v>2.1886933732684382</v>
      </c>
      <c r="BM70" s="18">
        <f t="shared" ref="BM70:BM112" si="35">BL$2+BL70</f>
        <v>45508.188693373268</v>
      </c>
      <c r="BN70" s="175">
        <f t="shared" ref="BN70:BN112" si="36">BM70-BL$1</f>
        <v>90.188693373267597</v>
      </c>
      <c r="BO70">
        <v>6</v>
      </c>
      <c r="BP70" s="22">
        <f t="shared" ref="BP70:BP112" si="37">BO70*BP$2</f>
        <v>8.6867999999999999</v>
      </c>
      <c r="BQ70">
        <v>9420</v>
      </c>
      <c r="BR70">
        <v>9.5</v>
      </c>
      <c r="BS70" s="20">
        <f t="shared" ref="BS70:BS101" si="38">(BQ70*(100-BR70)/(100-13.5))/BP70*10000/1000</f>
        <v>11345.497693530626</v>
      </c>
      <c r="BT70" s="20">
        <f t="shared" ref="BT70:BT112" si="39">BS70*(2.204/48)*(1/2.47)</f>
        <v>210.90989302076161</v>
      </c>
      <c r="BU70">
        <v>46.7</v>
      </c>
      <c r="BV70" s="22">
        <v>5.22</v>
      </c>
      <c r="BW70" s="22">
        <v>5.15</v>
      </c>
      <c r="BX70" s="159">
        <f t="shared" ref="BX70:BX112" si="40">(AVERAGE(BV70:BW70)*10)*((100-BR70)/(100-13.5))</f>
        <v>54.247687861271686</v>
      </c>
      <c r="BZ70" s="23" t="s">
        <v>272</v>
      </c>
      <c r="CA70" s="21">
        <v>194.49233111685024</v>
      </c>
      <c r="CB70" s="21">
        <v>13.325631930091365</v>
      </c>
    </row>
    <row r="71" spans="2:80" x14ac:dyDescent="0.3">
      <c r="B71" s="63">
        <v>2024</v>
      </c>
      <c r="C71" t="s">
        <v>105</v>
      </c>
      <c r="D71">
        <v>313</v>
      </c>
      <c r="E71">
        <v>3</v>
      </c>
      <c r="F71">
        <v>27</v>
      </c>
      <c r="G71" t="s">
        <v>41</v>
      </c>
      <c r="H71">
        <v>9</v>
      </c>
      <c r="I71" s="23" t="s">
        <v>33</v>
      </c>
      <c r="J71">
        <v>51</v>
      </c>
      <c r="K71">
        <v>59</v>
      </c>
      <c r="L71" s="21">
        <f t="shared" si="22"/>
        <v>227.93203481143806</v>
      </c>
      <c r="M71">
        <v>74</v>
      </c>
      <c r="N71">
        <v>75</v>
      </c>
      <c r="O71">
        <v>71</v>
      </c>
      <c r="P71">
        <v>73</v>
      </c>
      <c r="Q71" s="20">
        <f t="shared" si="23"/>
        <v>73.25</v>
      </c>
      <c r="R71">
        <v>86</v>
      </c>
      <c r="S71">
        <v>81</v>
      </c>
      <c r="T71">
        <v>79</v>
      </c>
      <c r="U71">
        <v>80</v>
      </c>
      <c r="V71" s="20">
        <f t="shared" si="24"/>
        <v>81.5</v>
      </c>
      <c r="W71">
        <v>82</v>
      </c>
      <c r="X71">
        <v>81</v>
      </c>
      <c r="Y71">
        <v>82</v>
      </c>
      <c r="Z71">
        <v>86</v>
      </c>
      <c r="AA71" s="20">
        <f t="shared" si="25"/>
        <v>82.75</v>
      </c>
      <c r="AB71">
        <v>84</v>
      </c>
      <c r="AC71">
        <v>87</v>
      </c>
      <c r="AD71">
        <v>81</v>
      </c>
      <c r="AE71">
        <v>83</v>
      </c>
      <c r="AF71" s="20">
        <f t="shared" si="26"/>
        <v>83.75</v>
      </c>
      <c r="AK71" s="20" t="e">
        <f t="shared" si="27"/>
        <v>#DIV/0!</v>
      </c>
      <c r="AO71" s="20"/>
      <c r="AP71" s="20" t="e">
        <f t="shared" si="28"/>
        <v>#DIV/0!</v>
      </c>
      <c r="AQ71" s="147">
        <v>45480</v>
      </c>
      <c r="AR71">
        <v>85</v>
      </c>
      <c r="AS71">
        <v>85</v>
      </c>
      <c r="AT71">
        <v>84</v>
      </c>
      <c r="AU71">
        <v>85</v>
      </c>
      <c r="AV71" s="20">
        <f t="shared" si="29"/>
        <v>84.75</v>
      </c>
      <c r="AW71">
        <v>0</v>
      </c>
      <c r="AX71">
        <v>0</v>
      </c>
      <c r="AY71">
        <v>0</v>
      </c>
      <c r="AZ71" s="20">
        <f t="shared" si="30"/>
        <v>0</v>
      </c>
      <c r="BA71">
        <v>0</v>
      </c>
      <c r="BB71">
        <v>0</v>
      </c>
      <c r="BC71">
        <v>0</v>
      </c>
      <c r="BD71" s="20">
        <f t="shared" si="31"/>
        <v>0</v>
      </c>
      <c r="BE71">
        <v>0</v>
      </c>
      <c r="BF71">
        <v>0</v>
      </c>
      <c r="BG71">
        <v>0</v>
      </c>
      <c r="BH71" s="20">
        <f t="shared" si="32"/>
        <v>0</v>
      </c>
      <c r="BI71">
        <v>26.8</v>
      </c>
      <c r="BJ71">
        <v>16.309999999999999</v>
      </c>
      <c r="BK71" s="17">
        <f t="shared" si="33"/>
        <v>39.141791044776127</v>
      </c>
      <c r="BL71" s="17">
        <f t="shared" si="34"/>
        <v>1.656716417910451</v>
      </c>
      <c r="BM71" s="18">
        <f t="shared" si="35"/>
        <v>45507.656716417907</v>
      </c>
      <c r="BN71" s="175">
        <f t="shared" si="36"/>
        <v>89.656716417906864</v>
      </c>
      <c r="BO71">
        <v>6</v>
      </c>
      <c r="BP71" s="22">
        <f t="shared" si="37"/>
        <v>8.6867999999999999</v>
      </c>
      <c r="BQ71">
        <v>9180</v>
      </c>
      <c r="BR71">
        <v>6.4</v>
      </c>
      <c r="BS71" s="20">
        <f t="shared" si="38"/>
        <v>11435.169326073366</v>
      </c>
      <c r="BT71" s="20">
        <f t="shared" si="39"/>
        <v>212.57686567700492</v>
      </c>
      <c r="BU71">
        <v>43</v>
      </c>
      <c r="BV71" s="22">
        <v>5.4</v>
      </c>
      <c r="BW71" s="22">
        <v>5.03</v>
      </c>
      <c r="BX71" s="159">
        <f t="shared" si="40"/>
        <v>56.430520231213869</v>
      </c>
    </row>
    <row r="72" spans="2:80" x14ac:dyDescent="0.3">
      <c r="B72" s="63">
        <v>2024</v>
      </c>
      <c r="C72" t="s">
        <v>105</v>
      </c>
      <c r="D72">
        <v>314</v>
      </c>
      <c r="E72">
        <v>3</v>
      </c>
      <c r="F72">
        <v>20</v>
      </c>
      <c r="G72" t="s">
        <v>41</v>
      </c>
      <c r="H72">
        <v>2</v>
      </c>
      <c r="I72" s="23" t="s">
        <v>32</v>
      </c>
      <c r="J72">
        <v>45</v>
      </c>
      <c r="K72">
        <v>52</v>
      </c>
      <c r="L72" s="21">
        <f t="shared" si="22"/>
        <v>200.99461251554084</v>
      </c>
      <c r="M72">
        <v>69</v>
      </c>
      <c r="N72">
        <v>68</v>
      </c>
      <c r="O72">
        <v>70</v>
      </c>
      <c r="P72">
        <v>66</v>
      </c>
      <c r="Q72" s="20">
        <f t="shared" si="23"/>
        <v>68.25</v>
      </c>
      <c r="R72">
        <v>79</v>
      </c>
      <c r="S72">
        <v>80</v>
      </c>
      <c r="T72">
        <v>81</v>
      </c>
      <c r="U72">
        <v>84</v>
      </c>
      <c r="V72" s="20">
        <f t="shared" si="24"/>
        <v>81</v>
      </c>
      <c r="W72">
        <v>82</v>
      </c>
      <c r="X72">
        <v>83</v>
      </c>
      <c r="Y72">
        <v>84</v>
      </c>
      <c r="Z72">
        <v>83</v>
      </c>
      <c r="AA72" s="20">
        <f t="shared" si="25"/>
        <v>83</v>
      </c>
      <c r="AB72">
        <v>83</v>
      </c>
      <c r="AC72">
        <v>88</v>
      </c>
      <c r="AD72">
        <v>87</v>
      </c>
      <c r="AE72">
        <v>91</v>
      </c>
      <c r="AF72" s="20">
        <f t="shared" si="26"/>
        <v>87.25</v>
      </c>
      <c r="AK72" s="20" t="e">
        <f t="shared" si="27"/>
        <v>#DIV/0!</v>
      </c>
      <c r="AO72" s="20"/>
      <c r="AP72" s="20" t="e">
        <f t="shared" si="28"/>
        <v>#DIV/0!</v>
      </c>
      <c r="AQ72" s="147">
        <v>45479</v>
      </c>
      <c r="AR72">
        <v>85</v>
      </c>
      <c r="AS72">
        <v>88</v>
      </c>
      <c r="AT72">
        <v>84</v>
      </c>
      <c r="AU72">
        <v>84</v>
      </c>
      <c r="AV72" s="20">
        <f t="shared" si="29"/>
        <v>85.25</v>
      </c>
      <c r="AW72">
        <v>0</v>
      </c>
      <c r="AX72">
        <v>0</v>
      </c>
      <c r="AY72">
        <v>0</v>
      </c>
      <c r="AZ72" s="20">
        <f t="shared" si="30"/>
        <v>0</v>
      </c>
      <c r="BA72">
        <v>0</v>
      </c>
      <c r="BB72">
        <v>0</v>
      </c>
      <c r="BC72">
        <v>0</v>
      </c>
      <c r="BD72" s="20">
        <f t="shared" si="31"/>
        <v>0</v>
      </c>
      <c r="BE72">
        <v>0</v>
      </c>
      <c r="BF72">
        <v>0</v>
      </c>
      <c r="BG72">
        <v>0</v>
      </c>
      <c r="BH72" s="20">
        <f t="shared" si="32"/>
        <v>0</v>
      </c>
      <c r="BI72">
        <v>28</v>
      </c>
      <c r="BJ72">
        <v>17.62</v>
      </c>
      <c r="BK72" s="17">
        <f t="shared" si="33"/>
        <v>37.071428571428569</v>
      </c>
      <c r="BL72" s="17">
        <f t="shared" si="34"/>
        <v>0.82857142857142774</v>
      </c>
      <c r="BM72" s="18">
        <f t="shared" si="35"/>
        <v>45506.828571428574</v>
      </c>
      <c r="BN72" s="175">
        <f t="shared" si="36"/>
        <v>88.828571428573923</v>
      </c>
      <c r="BO72">
        <v>6</v>
      </c>
      <c r="BP72" s="22">
        <f t="shared" si="37"/>
        <v>8.6867999999999999</v>
      </c>
      <c r="BQ72">
        <v>8880</v>
      </c>
      <c r="BR72">
        <v>2.2000000000000002</v>
      </c>
      <c r="BS72" s="20">
        <f t="shared" si="38"/>
        <v>11557.819038972424</v>
      </c>
      <c r="BT72" s="20">
        <f t="shared" si="39"/>
        <v>214.85689239115402</v>
      </c>
      <c r="BU72">
        <v>16.2</v>
      </c>
      <c r="BV72" s="22">
        <v>5.38</v>
      </c>
      <c r="BW72" s="22">
        <v>5.23</v>
      </c>
      <c r="BX72" s="159">
        <f t="shared" si="40"/>
        <v>59.980231213872827</v>
      </c>
    </row>
    <row r="73" spans="2:80" x14ac:dyDescent="0.3">
      <c r="B73" s="63">
        <v>2024</v>
      </c>
      <c r="C73" t="s">
        <v>105</v>
      </c>
      <c r="D73">
        <v>315</v>
      </c>
      <c r="E73">
        <v>3</v>
      </c>
      <c r="F73">
        <v>24</v>
      </c>
      <c r="G73" t="s">
        <v>41</v>
      </c>
      <c r="H73">
        <v>6</v>
      </c>
      <c r="I73" s="23" t="s">
        <v>35</v>
      </c>
      <c r="J73">
        <v>46</v>
      </c>
      <c r="K73">
        <v>63</v>
      </c>
      <c r="L73" s="21">
        <f t="shared" si="22"/>
        <v>225.85992540406136</v>
      </c>
      <c r="M73">
        <v>70</v>
      </c>
      <c r="N73">
        <v>70</v>
      </c>
      <c r="O73">
        <v>68</v>
      </c>
      <c r="P73">
        <v>69</v>
      </c>
      <c r="Q73" s="20">
        <f t="shared" si="23"/>
        <v>69.25</v>
      </c>
      <c r="R73">
        <v>74</v>
      </c>
      <c r="S73">
        <v>76</v>
      </c>
      <c r="T73">
        <v>75</v>
      </c>
      <c r="U73">
        <v>71</v>
      </c>
      <c r="V73" s="20">
        <f t="shared" si="24"/>
        <v>74</v>
      </c>
      <c r="W73">
        <v>77</v>
      </c>
      <c r="X73">
        <v>79</v>
      </c>
      <c r="Y73">
        <v>73</v>
      </c>
      <c r="Z73">
        <v>75</v>
      </c>
      <c r="AA73" s="20">
        <f t="shared" si="25"/>
        <v>76</v>
      </c>
      <c r="AB73">
        <v>80</v>
      </c>
      <c r="AC73">
        <v>77</v>
      </c>
      <c r="AD73">
        <v>79</v>
      </c>
      <c r="AE73">
        <v>81</v>
      </c>
      <c r="AF73" s="20">
        <f t="shared" si="26"/>
        <v>79.25</v>
      </c>
      <c r="AK73" s="20" t="e">
        <f t="shared" si="27"/>
        <v>#DIV/0!</v>
      </c>
      <c r="AO73" s="20"/>
      <c r="AP73" s="20" t="e">
        <f t="shared" si="28"/>
        <v>#DIV/0!</v>
      </c>
      <c r="AQ73" s="147">
        <v>45480</v>
      </c>
      <c r="AR73">
        <v>77</v>
      </c>
      <c r="AS73">
        <v>78</v>
      </c>
      <c r="AT73">
        <v>75</v>
      </c>
      <c r="AU73">
        <v>78</v>
      </c>
      <c r="AV73" s="20">
        <f t="shared" si="29"/>
        <v>77</v>
      </c>
      <c r="AW73">
        <v>0</v>
      </c>
      <c r="AX73">
        <v>0</v>
      </c>
      <c r="AY73">
        <v>0</v>
      </c>
      <c r="AZ73" s="20">
        <f t="shared" si="30"/>
        <v>0</v>
      </c>
      <c r="BA73">
        <v>0</v>
      </c>
      <c r="BB73">
        <v>0</v>
      </c>
      <c r="BC73">
        <v>0</v>
      </c>
      <c r="BD73" s="20">
        <f t="shared" si="31"/>
        <v>0</v>
      </c>
      <c r="BE73">
        <v>0</v>
      </c>
      <c r="BF73">
        <v>0</v>
      </c>
      <c r="BG73">
        <v>0</v>
      </c>
      <c r="BH73" s="20">
        <f t="shared" si="32"/>
        <v>0</v>
      </c>
      <c r="BI73">
        <v>27.4</v>
      </c>
      <c r="BJ73">
        <v>17.39</v>
      </c>
      <c r="BK73" s="17">
        <f t="shared" si="33"/>
        <v>36.532846715328461</v>
      </c>
      <c r="BL73" s="17">
        <f t="shared" si="34"/>
        <v>0.61313868613138423</v>
      </c>
      <c r="BM73" s="18">
        <f t="shared" si="35"/>
        <v>45506.613138686131</v>
      </c>
      <c r="BN73" s="175">
        <f t="shared" si="36"/>
        <v>88.613138686130696</v>
      </c>
      <c r="BO73">
        <v>6</v>
      </c>
      <c r="BP73" s="22">
        <f t="shared" si="37"/>
        <v>8.6867999999999999</v>
      </c>
      <c r="BQ73">
        <v>8600</v>
      </c>
      <c r="BR73">
        <v>12.5</v>
      </c>
      <c r="BS73" s="20">
        <f t="shared" si="38"/>
        <v>10014.530051708245</v>
      </c>
      <c r="BT73" s="20">
        <f t="shared" si="39"/>
        <v>186.16754583303791</v>
      </c>
      <c r="BU73">
        <v>64.3</v>
      </c>
      <c r="BV73" s="22">
        <v>4.92</v>
      </c>
      <c r="BW73" s="22">
        <v>5.43</v>
      </c>
      <c r="BX73" s="159">
        <f t="shared" si="40"/>
        <v>52.348265895953766</v>
      </c>
    </row>
    <row r="74" spans="2:80" x14ac:dyDescent="0.3">
      <c r="B74" s="63">
        <v>2024</v>
      </c>
      <c r="C74" t="s">
        <v>105</v>
      </c>
      <c r="D74">
        <v>316</v>
      </c>
      <c r="E74">
        <v>3</v>
      </c>
      <c r="F74">
        <v>21</v>
      </c>
      <c r="G74" t="s">
        <v>41</v>
      </c>
      <c r="H74">
        <v>3</v>
      </c>
      <c r="I74" s="23" t="s">
        <v>39</v>
      </c>
      <c r="J74">
        <v>54</v>
      </c>
      <c r="K74">
        <v>32</v>
      </c>
      <c r="L74" s="21">
        <f t="shared" si="22"/>
        <v>178.20140903439702</v>
      </c>
      <c r="M74">
        <v>68</v>
      </c>
      <c r="N74">
        <v>66</v>
      </c>
      <c r="O74">
        <v>67</v>
      </c>
      <c r="P74">
        <v>77</v>
      </c>
      <c r="Q74" s="20">
        <f t="shared" si="23"/>
        <v>69.5</v>
      </c>
      <c r="R74">
        <v>79</v>
      </c>
      <c r="S74">
        <v>80</v>
      </c>
      <c r="T74">
        <v>81</v>
      </c>
      <c r="U74">
        <v>81</v>
      </c>
      <c r="V74" s="20">
        <f t="shared" si="24"/>
        <v>80.25</v>
      </c>
      <c r="W74">
        <v>79</v>
      </c>
      <c r="X74">
        <v>76</v>
      </c>
      <c r="Y74">
        <v>82</v>
      </c>
      <c r="Z74">
        <v>83</v>
      </c>
      <c r="AA74" s="20">
        <f t="shared" si="25"/>
        <v>80</v>
      </c>
      <c r="AB74">
        <v>86</v>
      </c>
      <c r="AC74">
        <v>83</v>
      </c>
      <c r="AD74">
        <v>90</v>
      </c>
      <c r="AE74">
        <v>88</v>
      </c>
      <c r="AF74" s="20">
        <f t="shared" si="26"/>
        <v>86.75</v>
      </c>
      <c r="AK74" s="20" t="e">
        <f t="shared" si="27"/>
        <v>#DIV/0!</v>
      </c>
      <c r="AO74" s="20"/>
      <c r="AP74" s="20" t="e">
        <f t="shared" si="28"/>
        <v>#DIV/0!</v>
      </c>
      <c r="AQ74" s="147">
        <v>45479</v>
      </c>
      <c r="AR74">
        <v>85</v>
      </c>
      <c r="AS74">
        <v>88</v>
      </c>
      <c r="AT74">
        <v>83</v>
      </c>
      <c r="AU74">
        <v>85</v>
      </c>
      <c r="AV74" s="20">
        <f t="shared" si="29"/>
        <v>85.25</v>
      </c>
      <c r="AW74">
        <v>0</v>
      </c>
      <c r="AX74">
        <v>0</v>
      </c>
      <c r="AY74">
        <v>0</v>
      </c>
      <c r="AZ74" s="20">
        <f t="shared" si="30"/>
        <v>0</v>
      </c>
      <c r="BA74">
        <v>0</v>
      </c>
      <c r="BB74">
        <v>0</v>
      </c>
      <c r="BC74">
        <v>0</v>
      </c>
      <c r="BD74" s="20">
        <f t="shared" si="31"/>
        <v>0</v>
      </c>
      <c r="BE74">
        <v>0</v>
      </c>
      <c r="BF74">
        <v>0</v>
      </c>
      <c r="BG74">
        <v>0</v>
      </c>
      <c r="BH74" s="20">
        <f t="shared" si="32"/>
        <v>0</v>
      </c>
      <c r="BI74">
        <v>22.5</v>
      </c>
      <c r="BJ74">
        <v>13.9</v>
      </c>
      <c r="BK74" s="17">
        <f t="shared" si="33"/>
        <v>38.222222222222221</v>
      </c>
      <c r="BL74" s="17">
        <f t="shared" si="34"/>
        <v>1.2888888888888885</v>
      </c>
      <c r="BM74" s="18">
        <f t="shared" si="35"/>
        <v>45507.288888888892</v>
      </c>
      <c r="BN74" s="175">
        <f t="shared" si="36"/>
        <v>89.288888888891961</v>
      </c>
      <c r="BO74">
        <v>6</v>
      </c>
      <c r="BP74" s="22">
        <f t="shared" si="37"/>
        <v>8.6867999999999999</v>
      </c>
      <c r="BQ74">
        <v>8980</v>
      </c>
      <c r="BR74">
        <v>14.1</v>
      </c>
      <c r="BS74" s="20">
        <f t="shared" si="38"/>
        <v>10265.818233019017</v>
      </c>
      <c r="BT74" s="20">
        <f t="shared" si="39"/>
        <v>190.83892869073816</v>
      </c>
      <c r="BU74">
        <v>64.400000000000006</v>
      </c>
      <c r="BV74" s="22">
        <v>4.74</v>
      </c>
      <c r="BW74" s="22">
        <v>5.31</v>
      </c>
      <c r="BX74" s="159">
        <f t="shared" si="40"/>
        <v>49.901445086705209</v>
      </c>
    </row>
    <row r="75" spans="2:80" x14ac:dyDescent="0.3">
      <c r="B75" s="63">
        <v>2024</v>
      </c>
      <c r="C75" t="s">
        <v>105</v>
      </c>
      <c r="D75">
        <v>317</v>
      </c>
      <c r="E75">
        <v>3</v>
      </c>
      <c r="F75">
        <v>22</v>
      </c>
      <c r="G75" t="s">
        <v>41</v>
      </c>
      <c r="H75">
        <v>4</v>
      </c>
      <c r="I75" s="23" t="s">
        <v>36</v>
      </c>
      <c r="J75">
        <v>36</v>
      </c>
      <c r="K75">
        <v>31</v>
      </c>
      <c r="L75" s="21">
        <f t="shared" si="22"/>
        <v>138.83133029423954</v>
      </c>
      <c r="M75">
        <v>66</v>
      </c>
      <c r="N75">
        <v>64</v>
      </c>
      <c r="O75">
        <v>64</v>
      </c>
      <c r="P75">
        <v>65</v>
      </c>
      <c r="Q75" s="20">
        <f t="shared" si="23"/>
        <v>64.75</v>
      </c>
      <c r="R75">
        <v>80</v>
      </c>
      <c r="S75">
        <v>81</v>
      </c>
      <c r="T75">
        <v>84</v>
      </c>
      <c r="U75">
        <v>71</v>
      </c>
      <c r="V75" s="20">
        <f t="shared" si="24"/>
        <v>79</v>
      </c>
      <c r="W75">
        <v>85</v>
      </c>
      <c r="X75">
        <v>76</v>
      </c>
      <c r="Y75">
        <v>75</v>
      </c>
      <c r="Z75">
        <v>78</v>
      </c>
      <c r="AA75" s="20">
        <f t="shared" si="25"/>
        <v>78.5</v>
      </c>
      <c r="AB75">
        <v>87</v>
      </c>
      <c r="AC75">
        <v>86</v>
      </c>
      <c r="AD75">
        <v>83</v>
      </c>
      <c r="AE75">
        <v>83</v>
      </c>
      <c r="AF75" s="20">
        <f t="shared" si="26"/>
        <v>84.75</v>
      </c>
      <c r="AK75" s="20" t="e">
        <f t="shared" si="27"/>
        <v>#DIV/0!</v>
      </c>
      <c r="AO75" s="20"/>
      <c r="AP75" s="20" t="e">
        <f t="shared" si="28"/>
        <v>#DIV/0!</v>
      </c>
      <c r="AQ75" s="147">
        <v>45480</v>
      </c>
      <c r="AR75">
        <v>88</v>
      </c>
      <c r="AS75">
        <v>82</v>
      </c>
      <c r="AT75">
        <v>84</v>
      </c>
      <c r="AU75">
        <v>79</v>
      </c>
      <c r="AV75" s="20">
        <f t="shared" si="29"/>
        <v>83.25</v>
      </c>
      <c r="AW75">
        <v>5</v>
      </c>
      <c r="AX75">
        <v>0</v>
      </c>
      <c r="AY75">
        <v>0</v>
      </c>
      <c r="AZ75" s="20">
        <f t="shared" si="30"/>
        <v>3.3333333333333335</v>
      </c>
      <c r="BA75">
        <v>0</v>
      </c>
      <c r="BB75">
        <v>0</v>
      </c>
      <c r="BC75">
        <v>0</v>
      </c>
      <c r="BD75" s="20">
        <f t="shared" si="31"/>
        <v>0</v>
      </c>
      <c r="BE75">
        <v>0</v>
      </c>
      <c r="BF75">
        <v>0</v>
      </c>
      <c r="BG75">
        <v>0</v>
      </c>
      <c r="BH75" s="20">
        <f t="shared" si="32"/>
        <v>0</v>
      </c>
      <c r="BI75">
        <v>22.5</v>
      </c>
      <c r="BJ75">
        <v>14.67</v>
      </c>
      <c r="BK75" s="17">
        <f t="shared" si="33"/>
        <v>34.799999999999997</v>
      </c>
      <c r="BL75" s="17">
        <f t="shared" si="34"/>
        <v>-8.000000000000114E-2</v>
      </c>
      <c r="BM75" s="18">
        <f t="shared" si="35"/>
        <v>45505.919999999998</v>
      </c>
      <c r="BN75" s="175">
        <f t="shared" si="36"/>
        <v>87.919999999998254</v>
      </c>
      <c r="BO75">
        <v>6</v>
      </c>
      <c r="BP75" s="22">
        <f t="shared" si="37"/>
        <v>8.6867999999999999</v>
      </c>
      <c r="BQ75">
        <v>9040</v>
      </c>
      <c r="BR75">
        <v>6.9</v>
      </c>
      <c r="BS75" s="20">
        <f t="shared" si="38"/>
        <v>11200.623043506846</v>
      </c>
      <c r="BT75" s="20">
        <f t="shared" si="39"/>
        <v>208.21671042416574</v>
      </c>
      <c r="BU75">
        <v>41.7</v>
      </c>
      <c r="BV75" s="22">
        <v>5.29</v>
      </c>
      <c r="BW75" s="22">
        <v>5.84</v>
      </c>
      <c r="BX75" s="159">
        <f t="shared" si="40"/>
        <v>59.896127167630041</v>
      </c>
    </row>
    <row r="76" spans="2:80" x14ac:dyDescent="0.3">
      <c r="B76" s="63">
        <v>2024</v>
      </c>
      <c r="C76" t="s">
        <v>105</v>
      </c>
      <c r="D76">
        <v>318</v>
      </c>
      <c r="E76">
        <v>3</v>
      </c>
      <c r="F76">
        <v>23</v>
      </c>
      <c r="G76" t="s">
        <v>41</v>
      </c>
      <c r="H76">
        <v>5</v>
      </c>
      <c r="I76" s="23" t="s">
        <v>31</v>
      </c>
      <c r="J76">
        <v>53</v>
      </c>
      <c r="K76">
        <v>60</v>
      </c>
      <c r="L76" s="21">
        <f t="shared" si="22"/>
        <v>234.14836303356819</v>
      </c>
      <c r="M76">
        <v>63</v>
      </c>
      <c r="N76">
        <v>58</v>
      </c>
      <c r="O76">
        <v>67</v>
      </c>
      <c r="P76">
        <v>68</v>
      </c>
      <c r="Q76" s="20">
        <f t="shared" si="23"/>
        <v>64</v>
      </c>
      <c r="R76">
        <v>74</v>
      </c>
      <c r="S76">
        <v>87</v>
      </c>
      <c r="T76">
        <v>77</v>
      </c>
      <c r="U76">
        <v>90</v>
      </c>
      <c r="V76" s="20">
        <f t="shared" si="24"/>
        <v>82</v>
      </c>
      <c r="Y76">
        <v>84</v>
      </c>
      <c r="Z76">
        <v>86</v>
      </c>
      <c r="AA76" s="20">
        <f t="shared" si="25"/>
        <v>85</v>
      </c>
      <c r="AB76">
        <v>82</v>
      </c>
      <c r="AC76">
        <v>87</v>
      </c>
      <c r="AD76">
        <v>85</v>
      </c>
      <c r="AE76">
        <v>87</v>
      </c>
      <c r="AF76" s="20">
        <f t="shared" si="26"/>
        <v>85.25</v>
      </c>
      <c r="AK76" s="20" t="e">
        <f t="shared" si="27"/>
        <v>#DIV/0!</v>
      </c>
      <c r="AO76" s="20"/>
      <c r="AP76" s="20" t="e">
        <f t="shared" si="28"/>
        <v>#DIV/0!</v>
      </c>
      <c r="AQ76" s="147">
        <v>45479</v>
      </c>
      <c r="AR76">
        <v>85</v>
      </c>
      <c r="AS76">
        <v>85</v>
      </c>
      <c r="AT76">
        <v>85</v>
      </c>
      <c r="AU76">
        <v>85</v>
      </c>
      <c r="AV76" s="20">
        <f t="shared" si="29"/>
        <v>85</v>
      </c>
      <c r="AW76">
        <v>0</v>
      </c>
      <c r="AX76">
        <v>0</v>
      </c>
      <c r="AY76">
        <v>0</v>
      </c>
      <c r="AZ76" s="20">
        <f t="shared" si="30"/>
        <v>0</v>
      </c>
      <c r="BA76">
        <v>0</v>
      </c>
      <c r="BB76">
        <v>0</v>
      </c>
      <c r="BC76">
        <v>0</v>
      </c>
      <c r="BD76" s="20">
        <f t="shared" si="31"/>
        <v>0</v>
      </c>
      <c r="BE76">
        <v>0</v>
      </c>
      <c r="BF76">
        <v>0</v>
      </c>
      <c r="BG76">
        <v>0</v>
      </c>
      <c r="BH76" s="20">
        <f t="shared" si="32"/>
        <v>0</v>
      </c>
      <c r="BI76">
        <v>21.1</v>
      </c>
      <c r="BJ76">
        <v>13.2</v>
      </c>
      <c r="BK76" s="17">
        <f t="shared" si="33"/>
        <v>37.440758293838869</v>
      </c>
      <c r="BL76" s="17">
        <f t="shared" si="34"/>
        <v>0.97630331753554744</v>
      </c>
      <c r="BM76" s="18">
        <f t="shared" si="35"/>
        <v>45506.976303317533</v>
      </c>
      <c r="BN76" s="175">
        <f t="shared" si="36"/>
        <v>88.976303317533166</v>
      </c>
      <c r="BO76">
        <v>6</v>
      </c>
      <c r="BP76" s="22">
        <f t="shared" si="37"/>
        <v>8.6867999999999999</v>
      </c>
      <c r="BQ76">
        <v>9450</v>
      </c>
      <c r="BR76">
        <v>11.5</v>
      </c>
      <c r="BS76" s="20">
        <f t="shared" si="38"/>
        <v>11130.102120259</v>
      </c>
      <c r="BT76" s="20">
        <f t="shared" si="39"/>
        <v>206.90574454327628</v>
      </c>
      <c r="BU76">
        <v>49.4</v>
      </c>
      <c r="BV76" s="22">
        <v>5.44</v>
      </c>
      <c r="BW76" s="22">
        <v>4.6399999999999997</v>
      </c>
      <c r="BX76" s="159">
        <f t="shared" si="40"/>
        <v>51.565317919075142</v>
      </c>
    </row>
    <row r="77" spans="2:80" x14ac:dyDescent="0.3">
      <c r="B77" s="63">
        <v>2024</v>
      </c>
      <c r="C77" t="s">
        <v>105</v>
      </c>
      <c r="D77">
        <v>319</v>
      </c>
      <c r="E77">
        <v>3</v>
      </c>
      <c r="F77">
        <v>6</v>
      </c>
      <c r="G77" t="s">
        <v>42</v>
      </c>
      <c r="H77">
        <v>6</v>
      </c>
      <c r="I77" s="23" t="s">
        <v>35</v>
      </c>
      <c r="J77">
        <v>38</v>
      </c>
      <c r="K77">
        <v>50</v>
      </c>
      <c r="L77" s="21">
        <f t="shared" si="22"/>
        <v>182.34562784915045</v>
      </c>
      <c r="M77">
        <v>71</v>
      </c>
      <c r="N77">
        <v>65</v>
      </c>
      <c r="O77">
        <v>66</v>
      </c>
      <c r="P77">
        <v>69</v>
      </c>
      <c r="Q77" s="20">
        <f t="shared" si="23"/>
        <v>67.75</v>
      </c>
      <c r="R77">
        <v>84</v>
      </c>
      <c r="S77">
        <v>89</v>
      </c>
      <c r="T77">
        <v>76</v>
      </c>
      <c r="U77">
        <v>78</v>
      </c>
      <c r="V77" s="20">
        <f t="shared" si="24"/>
        <v>81.75</v>
      </c>
      <c r="W77">
        <v>96</v>
      </c>
      <c r="X77">
        <v>82</v>
      </c>
      <c r="Y77">
        <v>81</v>
      </c>
      <c r="Z77">
        <v>76</v>
      </c>
      <c r="AA77" s="20">
        <f t="shared" si="25"/>
        <v>83.75</v>
      </c>
      <c r="AB77">
        <v>91</v>
      </c>
      <c r="AC77">
        <v>88</v>
      </c>
      <c r="AD77">
        <v>88</v>
      </c>
      <c r="AE77">
        <v>85</v>
      </c>
      <c r="AF77" s="20">
        <f t="shared" si="26"/>
        <v>88</v>
      </c>
      <c r="AK77" s="20" t="e">
        <f t="shared" si="27"/>
        <v>#DIV/0!</v>
      </c>
      <c r="AO77" s="20"/>
      <c r="AP77" s="20" t="e">
        <f t="shared" si="28"/>
        <v>#DIV/0!</v>
      </c>
      <c r="AQ77" s="147">
        <v>45483</v>
      </c>
      <c r="AR77">
        <v>87</v>
      </c>
      <c r="AS77">
        <v>79</v>
      </c>
      <c r="AT77">
        <v>86</v>
      </c>
      <c r="AU77">
        <v>92</v>
      </c>
      <c r="AV77" s="20">
        <f t="shared" si="29"/>
        <v>86</v>
      </c>
      <c r="AW77">
        <v>0</v>
      </c>
      <c r="AX77">
        <v>0</v>
      </c>
      <c r="AY77">
        <v>0</v>
      </c>
      <c r="AZ77" s="20">
        <f t="shared" si="30"/>
        <v>0</v>
      </c>
      <c r="BA77">
        <v>0</v>
      </c>
      <c r="BB77">
        <v>0</v>
      </c>
      <c r="BC77">
        <v>0</v>
      </c>
      <c r="BD77" s="20">
        <f t="shared" si="31"/>
        <v>0</v>
      </c>
      <c r="BE77">
        <v>0</v>
      </c>
      <c r="BF77">
        <v>0</v>
      </c>
      <c r="BG77">
        <v>0</v>
      </c>
      <c r="BH77" s="20">
        <f t="shared" si="32"/>
        <v>0</v>
      </c>
      <c r="BI77">
        <v>28.2</v>
      </c>
      <c r="BJ77">
        <v>15.51</v>
      </c>
      <c r="BK77" s="17">
        <f t="shared" si="33"/>
        <v>45</v>
      </c>
      <c r="BL77" s="17">
        <f t="shared" si="34"/>
        <v>4</v>
      </c>
      <c r="BM77" s="18">
        <f t="shared" si="35"/>
        <v>45510</v>
      </c>
      <c r="BN77" s="175">
        <f t="shared" si="36"/>
        <v>92</v>
      </c>
      <c r="BO77">
        <v>6</v>
      </c>
      <c r="BP77" s="22">
        <f t="shared" si="37"/>
        <v>8.6867999999999999</v>
      </c>
      <c r="BQ77">
        <v>8650</v>
      </c>
      <c r="BR77">
        <v>7.4</v>
      </c>
      <c r="BS77" s="20">
        <f t="shared" si="38"/>
        <v>10659.851729060183</v>
      </c>
      <c r="BT77" s="20">
        <f t="shared" si="39"/>
        <v>198.16391034791366</v>
      </c>
      <c r="BU77">
        <v>36.299999999999997</v>
      </c>
      <c r="BV77" s="22">
        <v>5.0199999999999996</v>
      </c>
      <c r="BW77" s="22">
        <v>4.6399999999999997</v>
      </c>
      <c r="BX77" s="159">
        <f t="shared" si="40"/>
        <v>51.706127167630058</v>
      </c>
    </row>
    <row r="78" spans="2:80" x14ac:dyDescent="0.3">
      <c r="B78" s="63">
        <v>2024</v>
      </c>
      <c r="C78" t="s">
        <v>105</v>
      </c>
      <c r="D78">
        <v>320</v>
      </c>
      <c r="E78">
        <v>3</v>
      </c>
      <c r="F78">
        <v>4</v>
      </c>
      <c r="G78" t="s">
        <v>42</v>
      </c>
      <c r="H78">
        <v>4</v>
      </c>
      <c r="I78" s="23" t="s">
        <v>36</v>
      </c>
      <c r="J78">
        <v>63</v>
      </c>
      <c r="K78">
        <v>55</v>
      </c>
      <c r="L78" s="21">
        <f t="shared" si="22"/>
        <v>244.50891007045172</v>
      </c>
      <c r="M78">
        <v>65</v>
      </c>
      <c r="N78">
        <v>72</v>
      </c>
      <c r="O78">
        <v>75</v>
      </c>
      <c r="P78">
        <v>72</v>
      </c>
      <c r="Q78" s="20">
        <f t="shared" si="23"/>
        <v>71</v>
      </c>
      <c r="R78">
        <v>73</v>
      </c>
      <c r="S78">
        <v>86</v>
      </c>
      <c r="T78">
        <v>83</v>
      </c>
      <c r="U78">
        <v>91</v>
      </c>
      <c r="V78" s="20">
        <f t="shared" si="24"/>
        <v>83.25</v>
      </c>
      <c r="W78">
        <v>98</v>
      </c>
      <c r="X78">
        <v>92</v>
      </c>
      <c r="Y78">
        <v>93</v>
      </c>
      <c r="Z78">
        <v>92</v>
      </c>
      <c r="AA78" s="20">
        <f t="shared" si="25"/>
        <v>93.75</v>
      </c>
      <c r="AB78">
        <v>90</v>
      </c>
      <c r="AC78">
        <v>94</v>
      </c>
      <c r="AD78">
        <v>101</v>
      </c>
      <c r="AE78">
        <v>100</v>
      </c>
      <c r="AF78" s="20">
        <f t="shared" si="26"/>
        <v>96.25</v>
      </c>
      <c r="AK78" s="20" t="e">
        <f t="shared" si="27"/>
        <v>#DIV/0!</v>
      </c>
      <c r="AO78" s="20"/>
      <c r="AP78" s="20" t="e">
        <f t="shared" si="28"/>
        <v>#DIV/0!</v>
      </c>
      <c r="AQ78" s="147">
        <v>45483</v>
      </c>
      <c r="AR78">
        <v>99</v>
      </c>
      <c r="AS78">
        <v>97</v>
      </c>
      <c r="AT78">
        <v>97</v>
      </c>
      <c r="AU78">
        <v>97</v>
      </c>
      <c r="AV78" s="20">
        <f t="shared" si="29"/>
        <v>97.5</v>
      </c>
      <c r="AW78">
        <v>10</v>
      </c>
      <c r="AX78">
        <v>0</v>
      </c>
      <c r="AY78">
        <v>0</v>
      </c>
      <c r="AZ78" s="20">
        <f t="shared" si="30"/>
        <v>6.666666666666667</v>
      </c>
      <c r="BA78">
        <v>50</v>
      </c>
      <c r="BB78">
        <v>0</v>
      </c>
      <c r="BC78">
        <v>0</v>
      </c>
      <c r="BD78" s="20">
        <f t="shared" si="31"/>
        <v>33.333333333333336</v>
      </c>
      <c r="BE78">
        <v>0</v>
      </c>
      <c r="BF78">
        <v>0</v>
      </c>
      <c r="BG78">
        <v>0</v>
      </c>
      <c r="BH78" s="20">
        <f t="shared" si="32"/>
        <v>0</v>
      </c>
      <c r="BI78">
        <v>26</v>
      </c>
      <c r="BJ78">
        <v>15</v>
      </c>
      <c r="BK78" s="17">
        <f t="shared" si="33"/>
        <v>42.307692307692307</v>
      </c>
      <c r="BL78" s="17">
        <f t="shared" si="34"/>
        <v>2.9230769230769225</v>
      </c>
      <c r="BM78" s="18">
        <f t="shared" si="35"/>
        <v>45508.923076923078</v>
      </c>
      <c r="BN78" s="175">
        <f t="shared" si="36"/>
        <v>90.923076923078042</v>
      </c>
      <c r="BO78">
        <v>6</v>
      </c>
      <c r="BP78" s="22">
        <f t="shared" si="37"/>
        <v>8.6867999999999999</v>
      </c>
      <c r="BQ78">
        <v>8710</v>
      </c>
      <c r="BR78">
        <v>6.2</v>
      </c>
      <c r="BS78" s="20">
        <f t="shared" si="38"/>
        <v>10872.891725163499</v>
      </c>
      <c r="BT78" s="20">
        <f t="shared" si="39"/>
        <v>202.1242692498343</v>
      </c>
      <c r="BU78">
        <v>35.1</v>
      </c>
      <c r="BV78" s="22">
        <v>4.76</v>
      </c>
      <c r="BW78" s="22">
        <v>4.82</v>
      </c>
      <c r="BX78" s="159">
        <f t="shared" si="40"/>
        <v>51.942427745664737</v>
      </c>
    </row>
    <row r="79" spans="2:80" x14ac:dyDescent="0.3">
      <c r="B79" s="63">
        <v>2024</v>
      </c>
      <c r="C79" t="s">
        <v>105</v>
      </c>
      <c r="D79">
        <v>321</v>
      </c>
      <c r="E79">
        <v>3</v>
      </c>
      <c r="F79">
        <v>9</v>
      </c>
      <c r="G79" t="s">
        <v>42</v>
      </c>
      <c r="H79">
        <v>9</v>
      </c>
      <c r="I79" s="23" t="s">
        <v>33</v>
      </c>
      <c r="J79">
        <v>41</v>
      </c>
      <c r="K79">
        <v>54</v>
      </c>
      <c r="L79" s="21">
        <f t="shared" si="22"/>
        <v>196.85039370078741</v>
      </c>
      <c r="M79">
        <v>60</v>
      </c>
      <c r="N79">
        <v>65</v>
      </c>
      <c r="O79">
        <v>73</v>
      </c>
      <c r="P79">
        <v>64</v>
      </c>
      <c r="Q79" s="20">
        <f t="shared" si="23"/>
        <v>65.5</v>
      </c>
      <c r="R79">
        <v>78</v>
      </c>
      <c r="S79">
        <v>85</v>
      </c>
      <c r="T79">
        <v>85</v>
      </c>
      <c r="U79">
        <v>85</v>
      </c>
      <c r="V79" s="20">
        <f t="shared" si="24"/>
        <v>83.25</v>
      </c>
      <c r="W79">
        <v>90</v>
      </c>
      <c r="X79">
        <v>87</v>
      </c>
      <c r="Y79">
        <v>92</v>
      </c>
      <c r="Z79">
        <v>88</v>
      </c>
      <c r="AA79" s="20">
        <f t="shared" si="25"/>
        <v>89.25</v>
      </c>
      <c r="AB79">
        <v>92</v>
      </c>
      <c r="AC79">
        <v>97</v>
      </c>
      <c r="AD79">
        <v>90</v>
      </c>
      <c r="AE79">
        <v>93</v>
      </c>
      <c r="AF79" s="20">
        <f t="shared" si="26"/>
        <v>93</v>
      </c>
      <c r="AK79" s="20" t="e">
        <f t="shared" si="27"/>
        <v>#DIV/0!</v>
      </c>
      <c r="AO79" s="20"/>
      <c r="AP79" s="20" t="e">
        <f t="shared" si="28"/>
        <v>#DIV/0!</v>
      </c>
      <c r="AQ79" s="147">
        <v>45484</v>
      </c>
      <c r="AR79">
        <v>94</v>
      </c>
      <c r="AS79">
        <v>92</v>
      </c>
      <c r="AT79">
        <v>89</v>
      </c>
      <c r="AU79">
        <v>91</v>
      </c>
      <c r="AV79" s="20">
        <f t="shared" si="29"/>
        <v>91.5</v>
      </c>
      <c r="AW79">
        <v>5</v>
      </c>
      <c r="AX79">
        <v>0</v>
      </c>
      <c r="AY79">
        <v>0</v>
      </c>
      <c r="AZ79" s="20">
        <f t="shared" si="30"/>
        <v>3.3333333333333335</v>
      </c>
      <c r="BA79">
        <v>50</v>
      </c>
      <c r="BB79">
        <v>0</v>
      </c>
      <c r="BC79">
        <v>0</v>
      </c>
      <c r="BD79" s="20">
        <f t="shared" si="31"/>
        <v>33.333333333333336</v>
      </c>
      <c r="BE79">
        <v>0</v>
      </c>
      <c r="BF79">
        <v>0</v>
      </c>
      <c r="BG79">
        <v>0</v>
      </c>
      <c r="BH79" s="20">
        <f t="shared" si="32"/>
        <v>0</v>
      </c>
      <c r="BI79">
        <v>30.6</v>
      </c>
      <c r="BJ79">
        <v>16.940000000000001</v>
      </c>
      <c r="BK79" s="17">
        <f t="shared" si="33"/>
        <v>44.640522875816991</v>
      </c>
      <c r="BL79" s="17">
        <f t="shared" si="34"/>
        <v>3.8562091503267966</v>
      </c>
      <c r="BM79" s="18">
        <f t="shared" si="35"/>
        <v>45509.856209150326</v>
      </c>
      <c r="BN79" s="175">
        <f t="shared" si="36"/>
        <v>91.856209150326322</v>
      </c>
      <c r="BO79">
        <v>6</v>
      </c>
      <c r="BP79" s="22">
        <f t="shared" si="37"/>
        <v>8.6867999999999999</v>
      </c>
      <c r="BQ79">
        <v>9220</v>
      </c>
      <c r="BR79">
        <v>5.9</v>
      </c>
      <c r="BS79" s="20">
        <f t="shared" si="38"/>
        <v>11546.347245079305</v>
      </c>
      <c r="BT79" s="20">
        <f t="shared" si="39"/>
        <v>214.64363468416659</v>
      </c>
      <c r="BU79">
        <v>45.5</v>
      </c>
      <c r="BV79" s="22">
        <v>4.8899999999999997</v>
      </c>
      <c r="BW79" s="22">
        <v>4.83</v>
      </c>
      <c r="BX79" s="159">
        <f t="shared" si="40"/>
        <v>52.8700578034682</v>
      </c>
    </row>
    <row r="80" spans="2:80" x14ac:dyDescent="0.3">
      <c r="B80" s="63">
        <v>2024</v>
      </c>
      <c r="C80" t="s">
        <v>105</v>
      </c>
      <c r="D80">
        <v>322</v>
      </c>
      <c r="E80">
        <v>3</v>
      </c>
      <c r="F80">
        <v>3</v>
      </c>
      <c r="G80" t="s">
        <v>42</v>
      </c>
      <c r="H80">
        <v>3</v>
      </c>
      <c r="I80" s="23" t="s">
        <v>39</v>
      </c>
      <c r="J80">
        <v>48</v>
      </c>
      <c r="K80">
        <v>48</v>
      </c>
      <c r="L80" s="21">
        <f t="shared" si="22"/>
        <v>198.92250310816414</v>
      </c>
      <c r="M80">
        <v>62</v>
      </c>
      <c r="N80">
        <v>70</v>
      </c>
      <c r="O80">
        <v>67</v>
      </c>
      <c r="P80">
        <v>65</v>
      </c>
      <c r="Q80" s="20">
        <f t="shared" si="23"/>
        <v>66</v>
      </c>
      <c r="R80">
        <v>91</v>
      </c>
      <c r="S80">
        <v>91</v>
      </c>
      <c r="T80">
        <v>94</v>
      </c>
      <c r="U80">
        <v>90</v>
      </c>
      <c r="V80" s="20">
        <f t="shared" si="24"/>
        <v>91.5</v>
      </c>
      <c r="W80">
        <v>96</v>
      </c>
      <c r="X80">
        <v>98</v>
      </c>
      <c r="Y80">
        <v>99</v>
      </c>
      <c r="Z80">
        <v>96</v>
      </c>
      <c r="AA80" s="20">
        <f t="shared" si="25"/>
        <v>97.25</v>
      </c>
      <c r="AB80">
        <v>105</v>
      </c>
      <c r="AC80">
        <v>112</v>
      </c>
      <c r="AD80">
        <v>110</v>
      </c>
      <c r="AE80">
        <v>108</v>
      </c>
      <c r="AF80" s="20">
        <f t="shared" si="26"/>
        <v>108.75</v>
      </c>
      <c r="AK80" s="20" t="e">
        <f t="shared" si="27"/>
        <v>#DIV/0!</v>
      </c>
      <c r="AO80" s="20"/>
      <c r="AP80" s="20" t="e">
        <f t="shared" si="28"/>
        <v>#DIV/0!</v>
      </c>
      <c r="AQ80" s="147">
        <v>45483</v>
      </c>
      <c r="AR80">
        <v>106</v>
      </c>
      <c r="AS80">
        <v>103</v>
      </c>
      <c r="AT80">
        <v>104</v>
      </c>
      <c r="AU80">
        <v>109</v>
      </c>
      <c r="AV80" s="20">
        <f t="shared" si="29"/>
        <v>105.5</v>
      </c>
      <c r="AW80">
        <v>20</v>
      </c>
      <c r="AX80">
        <v>0</v>
      </c>
      <c r="AY80">
        <v>0</v>
      </c>
      <c r="AZ80" s="20">
        <f t="shared" si="30"/>
        <v>13.333333333333334</v>
      </c>
      <c r="BA80">
        <v>50</v>
      </c>
      <c r="BB80">
        <v>0</v>
      </c>
      <c r="BC80">
        <v>0</v>
      </c>
      <c r="BD80" s="20">
        <f t="shared" si="31"/>
        <v>33.333333333333336</v>
      </c>
      <c r="BE80">
        <v>0</v>
      </c>
      <c r="BF80">
        <v>0</v>
      </c>
      <c r="BG80">
        <v>0</v>
      </c>
      <c r="BH80" s="20">
        <f t="shared" si="32"/>
        <v>0</v>
      </c>
      <c r="BI80">
        <v>28</v>
      </c>
      <c r="BJ80">
        <v>16.190000000000001</v>
      </c>
      <c r="BK80" s="17">
        <f t="shared" si="33"/>
        <v>42.178571428571423</v>
      </c>
      <c r="BL80" s="17">
        <f t="shared" si="34"/>
        <v>2.8714285714285692</v>
      </c>
      <c r="BM80" s="18">
        <f t="shared" si="35"/>
        <v>45508.87142857143</v>
      </c>
      <c r="BN80" s="175">
        <f t="shared" si="36"/>
        <v>90.871428571430442</v>
      </c>
      <c r="BO80">
        <v>6</v>
      </c>
      <c r="BP80" s="22">
        <f t="shared" si="37"/>
        <v>8.6867999999999999</v>
      </c>
      <c r="BQ80">
        <v>8900</v>
      </c>
      <c r="BR80">
        <v>5.9</v>
      </c>
      <c r="BS80" s="20">
        <f t="shared" si="38"/>
        <v>11145.606342863974</v>
      </c>
      <c r="BT80" s="20">
        <f t="shared" si="39"/>
        <v>207.19396406606106</v>
      </c>
      <c r="BU80">
        <v>40.4</v>
      </c>
      <c r="BV80" s="22">
        <v>4.93</v>
      </c>
      <c r="BW80" s="22">
        <v>4.7699999999999996</v>
      </c>
      <c r="BX80" s="159">
        <f t="shared" si="40"/>
        <v>52.761271676300574</v>
      </c>
    </row>
    <row r="81" spans="2:76" x14ac:dyDescent="0.3">
      <c r="B81" s="63">
        <v>2024</v>
      </c>
      <c r="C81" t="s">
        <v>105</v>
      </c>
      <c r="D81">
        <v>323</v>
      </c>
      <c r="E81">
        <v>3</v>
      </c>
      <c r="F81">
        <v>5</v>
      </c>
      <c r="G81" t="s">
        <v>42</v>
      </c>
      <c r="H81">
        <v>5</v>
      </c>
      <c r="I81" s="23" t="s">
        <v>31</v>
      </c>
      <c r="J81">
        <v>42</v>
      </c>
      <c r="K81">
        <v>46</v>
      </c>
      <c r="L81" s="21">
        <f t="shared" si="22"/>
        <v>182.34562784915045</v>
      </c>
      <c r="M81">
        <v>65</v>
      </c>
      <c r="N81">
        <v>66</v>
      </c>
      <c r="O81">
        <v>64</v>
      </c>
      <c r="P81">
        <v>60</v>
      </c>
      <c r="Q81" s="20">
        <f t="shared" si="23"/>
        <v>63.75</v>
      </c>
      <c r="R81">
        <v>91</v>
      </c>
      <c r="S81">
        <v>80</v>
      </c>
      <c r="T81">
        <v>85</v>
      </c>
      <c r="U81">
        <v>76</v>
      </c>
      <c r="V81" s="20">
        <f t="shared" si="24"/>
        <v>83</v>
      </c>
      <c r="W81">
        <v>92</v>
      </c>
      <c r="X81">
        <v>96</v>
      </c>
      <c r="Y81">
        <v>102</v>
      </c>
      <c r="Z81">
        <v>102</v>
      </c>
      <c r="AA81" s="20">
        <f t="shared" si="25"/>
        <v>98</v>
      </c>
      <c r="AB81">
        <v>106</v>
      </c>
      <c r="AC81">
        <v>107</v>
      </c>
      <c r="AD81">
        <v>105</v>
      </c>
      <c r="AE81">
        <v>100</v>
      </c>
      <c r="AF81" s="20">
        <f t="shared" si="26"/>
        <v>104.5</v>
      </c>
      <c r="AK81" s="20" t="e">
        <f t="shared" si="27"/>
        <v>#DIV/0!</v>
      </c>
      <c r="AO81" s="20"/>
      <c r="AP81" s="20" t="e">
        <f t="shared" si="28"/>
        <v>#DIV/0!</v>
      </c>
      <c r="AQ81" s="147">
        <v>45484</v>
      </c>
      <c r="AR81">
        <v>99</v>
      </c>
      <c r="AS81">
        <v>104</v>
      </c>
      <c r="AT81">
        <v>104</v>
      </c>
      <c r="AU81">
        <v>104</v>
      </c>
      <c r="AV81" s="20">
        <f t="shared" si="29"/>
        <v>102.75</v>
      </c>
      <c r="AW81">
        <v>20</v>
      </c>
      <c r="AX81">
        <v>20</v>
      </c>
      <c r="AY81">
        <v>0</v>
      </c>
      <c r="AZ81" s="20">
        <f t="shared" si="30"/>
        <v>20</v>
      </c>
      <c r="BA81">
        <v>40</v>
      </c>
      <c r="BB81">
        <v>0</v>
      </c>
      <c r="BC81">
        <v>0</v>
      </c>
      <c r="BD81" s="20">
        <f t="shared" si="31"/>
        <v>26.666666666666668</v>
      </c>
      <c r="BE81">
        <v>0</v>
      </c>
      <c r="BF81">
        <v>0</v>
      </c>
      <c r="BG81">
        <v>0</v>
      </c>
      <c r="BH81" s="20">
        <f t="shared" si="32"/>
        <v>0</v>
      </c>
      <c r="BI81">
        <v>30.6</v>
      </c>
      <c r="BJ81">
        <v>16.260000000000002</v>
      </c>
      <c r="BK81" s="17">
        <f t="shared" si="33"/>
        <v>46.862745098039213</v>
      </c>
      <c r="BL81" s="17">
        <f t="shared" si="34"/>
        <v>4.7450980392156854</v>
      </c>
      <c r="BM81" s="18">
        <f t="shared" si="35"/>
        <v>45510.745098039217</v>
      </c>
      <c r="BN81" s="175">
        <f t="shared" si="36"/>
        <v>92.745098039216828</v>
      </c>
      <c r="BO81">
        <v>6</v>
      </c>
      <c r="BP81" s="22">
        <f t="shared" si="37"/>
        <v>8.6867999999999999</v>
      </c>
      <c r="BQ81">
        <v>9400</v>
      </c>
      <c r="BR81">
        <v>10</v>
      </c>
      <c r="BS81" s="20">
        <f t="shared" si="38"/>
        <v>11258.860363780967</v>
      </c>
      <c r="BT81" s="20">
        <f t="shared" si="39"/>
        <v>209.29932727541541</v>
      </c>
      <c r="BU81">
        <v>49.6</v>
      </c>
      <c r="BV81" s="22">
        <v>4.78</v>
      </c>
      <c r="BW81" s="22">
        <v>4.72</v>
      </c>
      <c r="BX81" s="159">
        <f t="shared" si="40"/>
        <v>49.421965317919074</v>
      </c>
    </row>
    <row r="82" spans="2:76" x14ac:dyDescent="0.3">
      <c r="B82" s="63">
        <v>2024</v>
      </c>
      <c r="C82" t="s">
        <v>105</v>
      </c>
      <c r="D82">
        <v>324</v>
      </c>
      <c r="E82">
        <v>3</v>
      </c>
      <c r="F82">
        <v>1</v>
      </c>
      <c r="G82" t="s">
        <v>42</v>
      </c>
      <c r="H82">
        <v>1</v>
      </c>
      <c r="I82" s="23" t="s">
        <v>37</v>
      </c>
      <c r="J82">
        <v>54</v>
      </c>
      <c r="K82">
        <v>40</v>
      </c>
      <c r="L82" s="21">
        <f t="shared" si="22"/>
        <v>194.77828429341071</v>
      </c>
      <c r="M82">
        <v>76</v>
      </c>
      <c r="N82">
        <v>73</v>
      </c>
      <c r="O82">
        <v>78</v>
      </c>
      <c r="P82">
        <v>77</v>
      </c>
      <c r="Q82" s="20">
        <f t="shared" si="23"/>
        <v>76</v>
      </c>
      <c r="R82">
        <v>99</v>
      </c>
      <c r="S82">
        <v>102</v>
      </c>
      <c r="T82">
        <v>103</v>
      </c>
      <c r="U82">
        <v>95</v>
      </c>
      <c r="V82" s="20">
        <f t="shared" si="24"/>
        <v>99.75</v>
      </c>
      <c r="W82">
        <v>104</v>
      </c>
      <c r="X82">
        <v>107</v>
      </c>
      <c r="Y82">
        <v>109</v>
      </c>
      <c r="Z82">
        <v>110</v>
      </c>
      <c r="AA82" s="20">
        <f t="shared" si="25"/>
        <v>107.5</v>
      </c>
      <c r="AB82">
        <v>110</v>
      </c>
      <c r="AC82">
        <v>113</v>
      </c>
      <c r="AD82">
        <v>111</v>
      </c>
      <c r="AE82">
        <v>115</v>
      </c>
      <c r="AF82" s="20">
        <f t="shared" si="26"/>
        <v>112.25</v>
      </c>
      <c r="AK82" s="20" t="e">
        <f t="shared" si="27"/>
        <v>#DIV/0!</v>
      </c>
      <c r="AO82" s="20"/>
      <c r="AP82" s="20" t="e">
        <f t="shared" si="28"/>
        <v>#DIV/0!</v>
      </c>
      <c r="AQ82" s="147">
        <v>45481</v>
      </c>
      <c r="AR82">
        <v>112</v>
      </c>
      <c r="AS82">
        <v>112</v>
      </c>
      <c r="AT82">
        <v>108</v>
      </c>
      <c r="AU82">
        <v>110</v>
      </c>
      <c r="AV82" s="20">
        <f t="shared" si="29"/>
        <v>110.5</v>
      </c>
      <c r="AW82">
        <v>20</v>
      </c>
      <c r="AX82">
        <v>30</v>
      </c>
      <c r="AY82">
        <v>0</v>
      </c>
      <c r="AZ82" s="20">
        <f t="shared" si="30"/>
        <v>23.333333333333336</v>
      </c>
      <c r="BA82">
        <v>60</v>
      </c>
      <c r="BB82">
        <v>0</v>
      </c>
      <c r="BC82">
        <v>0</v>
      </c>
      <c r="BD82" s="20">
        <f t="shared" si="31"/>
        <v>40</v>
      </c>
      <c r="BE82">
        <v>0</v>
      </c>
      <c r="BF82">
        <v>0</v>
      </c>
      <c r="BG82">
        <v>0</v>
      </c>
      <c r="BH82" s="20">
        <f t="shared" si="32"/>
        <v>0</v>
      </c>
      <c r="BI82">
        <v>29.8</v>
      </c>
      <c r="BJ82">
        <v>18.04</v>
      </c>
      <c r="BK82" s="17">
        <f t="shared" si="33"/>
        <v>39.463087248322154</v>
      </c>
      <c r="BL82" s="17">
        <f t="shared" si="34"/>
        <v>1.7852348993288616</v>
      </c>
      <c r="BM82" s="18">
        <f t="shared" si="35"/>
        <v>45507.785234899326</v>
      </c>
      <c r="BN82" s="175">
        <f t="shared" si="36"/>
        <v>89.785234899325587</v>
      </c>
      <c r="BO82">
        <v>6</v>
      </c>
      <c r="BP82" s="22">
        <f t="shared" si="37"/>
        <v>8.6867999999999999</v>
      </c>
      <c r="BQ82">
        <v>8970</v>
      </c>
      <c r="BR82">
        <v>5.8</v>
      </c>
      <c r="BS82" s="20">
        <f t="shared" si="38"/>
        <v>11245.206001212122</v>
      </c>
      <c r="BT82" s="20">
        <f t="shared" si="39"/>
        <v>209.0454961763792</v>
      </c>
      <c r="BU82">
        <v>41.2</v>
      </c>
      <c r="BV82" s="22">
        <v>5.28</v>
      </c>
      <c r="BW82" s="22">
        <v>5.12</v>
      </c>
      <c r="BX82" s="159">
        <f t="shared" si="40"/>
        <v>56.628901734104048</v>
      </c>
    </row>
    <row r="83" spans="2:76" x14ac:dyDescent="0.3">
      <c r="B83" s="63">
        <v>2024</v>
      </c>
      <c r="C83" t="s">
        <v>105</v>
      </c>
      <c r="D83">
        <v>325</v>
      </c>
      <c r="E83">
        <v>3</v>
      </c>
      <c r="F83">
        <v>7</v>
      </c>
      <c r="G83" t="s">
        <v>42</v>
      </c>
      <c r="H83">
        <v>7</v>
      </c>
      <c r="I83" s="23" t="s">
        <v>34</v>
      </c>
      <c r="J83">
        <v>33</v>
      </c>
      <c r="K83">
        <v>55</v>
      </c>
      <c r="L83" s="21">
        <f t="shared" si="22"/>
        <v>182.34562784915045</v>
      </c>
      <c r="M83">
        <v>64</v>
      </c>
      <c r="N83">
        <v>66</v>
      </c>
      <c r="O83">
        <v>66</v>
      </c>
      <c r="P83">
        <v>61</v>
      </c>
      <c r="Q83" s="20">
        <f t="shared" si="23"/>
        <v>64.25</v>
      </c>
      <c r="R83">
        <v>76</v>
      </c>
      <c r="S83">
        <v>84</v>
      </c>
      <c r="T83">
        <v>84</v>
      </c>
      <c r="U83">
        <v>94</v>
      </c>
      <c r="V83" s="20">
        <f t="shared" si="24"/>
        <v>84.5</v>
      </c>
      <c r="W83">
        <v>94</v>
      </c>
      <c r="X83">
        <v>91</v>
      </c>
      <c r="Y83">
        <v>103</v>
      </c>
      <c r="Z83">
        <v>101</v>
      </c>
      <c r="AA83" s="20">
        <f t="shared" si="25"/>
        <v>97.25</v>
      </c>
      <c r="AB83">
        <v>97</v>
      </c>
      <c r="AC83">
        <v>104</v>
      </c>
      <c r="AD83">
        <v>105</v>
      </c>
      <c r="AE83">
        <v>95</v>
      </c>
      <c r="AF83" s="20">
        <f t="shared" si="26"/>
        <v>100.25</v>
      </c>
      <c r="AK83" s="20" t="e">
        <f t="shared" si="27"/>
        <v>#DIV/0!</v>
      </c>
      <c r="AO83" s="20"/>
      <c r="AP83" s="20" t="e">
        <f t="shared" si="28"/>
        <v>#DIV/0!</v>
      </c>
      <c r="AQ83" s="147">
        <v>45483</v>
      </c>
      <c r="AR83">
        <v>100</v>
      </c>
      <c r="AS83">
        <v>103</v>
      </c>
      <c r="AT83">
        <v>100</v>
      </c>
      <c r="AU83">
        <v>102</v>
      </c>
      <c r="AV83" s="20">
        <f t="shared" si="29"/>
        <v>101.25</v>
      </c>
      <c r="AW83">
        <v>10</v>
      </c>
      <c r="AX83">
        <v>10</v>
      </c>
      <c r="AY83">
        <v>0</v>
      </c>
      <c r="AZ83" s="20">
        <f t="shared" si="30"/>
        <v>10</v>
      </c>
      <c r="BA83">
        <v>75</v>
      </c>
      <c r="BB83">
        <v>0</v>
      </c>
      <c r="BC83">
        <v>0</v>
      </c>
      <c r="BD83" s="20">
        <f t="shared" si="31"/>
        <v>50</v>
      </c>
      <c r="BE83">
        <v>0</v>
      </c>
      <c r="BF83">
        <v>0</v>
      </c>
      <c r="BG83">
        <v>0</v>
      </c>
      <c r="BH83" s="20">
        <f t="shared" si="32"/>
        <v>0</v>
      </c>
      <c r="BI83">
        <v>29.04</v>
      </c>
      <c r="BJ83">
        <v>16.559999999999999</v>
      </c>
      <c r="BK83" s="17">
        <f t="shared" si="33"/>
        <v>42.97520661157025</v>
      </c>
      <c r="BL83" s="17">
        <f t="shared" si="34"/>
        <v>3.1900826446281001</v>
      </c>
      <c r="BM83" s="18">
        <f t="shared" si="35"/>
        <v>45509.190082644629</v>
      </c>
      <c r="BN83" s="175">
        <f t="shared" si="36"/>
        <v>91.190082644629001</v>
      </c>
      <c r="BO83">
        <v>6</v>
      </c>
      <c r="BP83" s="22">
        <f t="shared" si="37"/>
        <v>8.6867999999999999</v>
      </c>
      <c r="BQ83">
        <v>9590</v>
      </c>
      <c r="BR83">
        <v>14.3</v>
      </c>
      <c r="BS83" s="20">
        <f t="shared" si="38"/>
        <v>10937.636826428034</v>
      </c>
      <c r="BT83" s="20">
        <f t="shared" si="39"/>
        <v>203.32786408103397</v>
      </c>
      <c r="BU83">
        <v>67.2</v>
      </c>
      <c r="BV83" s="22">
        <v>4.7300000000000004</v>
      </c>
      <c r="BW83" s="22">
        <v>4.6900000000000004</v>
      </c>
      <c r="BX83" s="159">
        <f t="shared" si="40"/>
        <v>46.664393063583823</v>
      </c>
    </row>
    <row r="84" spans="2:76" x14ac:dyDescent="0.3">
      <c r="B84" s="63">
        <v>2024</v>
      </c>
      <c r="C84" t="s">
        <v>105</v>
      </c>
      <c r="D84">
        <v>326</v>
      </c>
      <c r="E84">
        <v>3</v>
      </c>
      <c r="F84">
        <v>2</v>
      </c>
      <c r="G84" t="s">
        <v>42</v>
      </c>
      <c r="H84">
        <v>2</v>
      </c>
      <c r="I84" s="23" t="s">
        <v>32</v>
      </c>
      <c r="J84">
        <v>59</v>
      </c>
      <c r="K84">
        <v>30</v>
      </c>
      <c r="L84" s="21">
        <f t="shared" si="22"/>
        <v>184.41773725652715</v>
      </c>
      <c r="M84">
        <v>64</v>
      </c>
      <c r="N84">
        <v>69</v>
      </c>
      <c r="O84">
        <v>72</v>
      </c>
      <c r="P84">
        <v>71</v>
      </c>
      <c r="Q84" s="20">
        <f t="shared" si="23"/>
        <v>69</v>
      </c>
      <c r="R84">
        <v>81</v>
      </c>
      <c r="S84">
        <v>96</v>
      </c>
      <c r="T84">
        <v>84</v>
      </c>
      <c r="U84">
        <v>97</v>
      </c>
      <c r="V84" s="20">
        <f t="shared" si="24"/>
        <v>89.5</v>
      </c>
      <c r="W84">
        <v>102</v>
      </c>
      <c r="X84">
        <v>100</v>
      </c>
      <c r="Y84">
        <v>96</v>
      </c>
      <c r="Z84">
        <v>92</v>
      </c>
      <c r="AA84" s="20">
        <f t="shared" si="25"/>
        <v>97.5</v>
      </c>
      <c r="AB84">
        <v>107</v>
      </c>
      <c r="AC84">
        <v>111</v>
      </c>
      <c r="AD84">
        <v>110</v>
      </c>
      <c r="AE84">
        <v>109</v>
      </c>
      <c r="AF84" s="20">
        <f t="shared" si="26"/>
        <v>109.25</v>
      </c>
      <c r="AK84" s="20" t="e">
        <f t="shared" si="27"/>
        <v>#DIV/0!</v>
      </c>
      <c r="AO84" s="20"/>
      <c r="AP84" s="20" t="e">
        <f t="shared" si="28"/>
        <v>#DIV/0!</v>
      </c>
      <c r="AQ84" s="147">
        <v>45482</v>
      </c>
      <c r="AR84">
        <v>106</v>
      </c>
      <c r="AS84">
        <v>107</v>
      </c>
      <c r="AT84">
        <v>110</v>
      </c>
      <c r="AU84">
        <v>103</v>
      </c>
      <c r="AV84" s="20">
        <f t="shared" si="29"/>
        <v>106.5</v>
      </c>
      <c r="AW84">
        <v>10</v>
      </c>
      <c r="AX84">
        <v>35</v>
      </c>
      <c r="AY84">
        <v>5</v>
      </c>
      <c r="AZ84" s="20">
        <f t="shared" si="30"/>
        <v>23.333333333333332</v>
      </c>
      <c r="BA84">
        <v>40</v>
      </c>
      <c r="BB84">
        <v>0</v>
      </c>
      <c r="BC84">
        <v>0</v>
      </c>
      <c r="BD84" s="20">
        <f t="shared" si="31"/>
        <v>26.666666666666668</v>
      </c>
      <c r="BE84">
        <v>0</v>
      </c>
      <c r="BF84">
        <v>0</v>
      </c>
      <c r="BG84">
        <v>0</v>
      </c>
      <c r="BH84" s="20">
        <f t="shared" si="32"/>
        <v>0</v>
      </c>
      <c r="BI84">
        <v>25.9</v>
      </c>
      <c r="BJ84">
        <v>14.61</v>
      </c>
      <c r="BK84" s="17">
        <f t="shared" si="33"/>
        <v>43.590733590733585</v>
      </c>
      <c r="BL84" s="17">
        <f t="shared" si="34"/>
        <v>3.4362934362934339</v>
      </c>
      <c r="BM84" s="18">
        <f t="shared" si="35"/>
        <v>45509.436293436294</v>
      </c>
      <c r="BN84" s="175">
        <f t="shared" si="36"/>
        <v>91.436293436294363</v>
      </c>
      <c r="BO84">
        <v>6</v>
      </c>
      <c r="BP84" s="22">
        <f t="shared" si="37"/>
        <v>8.6867999999999999</v>
      </c>
      <c r="BQ84">
        <v>8740</v>
      </c>
      <c r="BR84">
        <v>6</v>
      </c>
      <c r="BS84" s="20">
        <f t="shared" si="38"/>
        <v>10933.604397716181</v>
      </c>
      <c r="BT84" s="20">
        <f t="shared" si="39"/>
        <v>203.25290226523668</v>
      </c>
      <c r="BU84">
        <v>35.4</v>
      </c>
      <c r="BV84" s="22">
        <v>4.95</v>
      </c>
      <c r="BW84" s="22">
        <v>4.8499999999999996</v>
      </c>
      <c r="BX84" s="159">
        <f t="shared" si="40"/>
        <v>53.24855491329479</v>
      </c>
    </row>
    <row r="85" spans="2:76" x14ac:dyDescent="0.3">
      <c r="B85" s="63">
        <v>2024</v>
      </c>
      <c r="C85" t="s">
        <v>105</v>
      </c>
      <c r="D85">
        <v>327</v>
      </c>
      <c r="E85">
        <v>3</v>
      </c>
      <c r="F85">
        <v>8</v>
      </c>
      <c r="G85" t="s">
        <v>42</v>
      </c>
      <c r="H85">
        <v>8</v>
      </c>
      <c r="I85" s="23" t="s">
        <v>38</v>
      </c>
      <c r="J85">
        <v>45</v>
      </c>
      <c r="K85">
        <v>50</v>
      </c>
      <c r="L85" s="21">
        <f t="shared" si="22"/>
        <v>196.85039370078741</v>
      </c>
      <c r="M85">
        <v>60</v>
      </c>
      <c r="N85">
        <v>66</v>
      </c>
      <c r="O85">
        <v>68</v>
      </c>
      <c r="P85">
        <v>63</v>
      </c>
      <c r="Q85" s="20">
        <f t="shared" si="23"/>
        <v>64.25</v>
      </c>
      <c r="R85">
        <v>79</v>
      </c>
      <c r="S85">
        <v>87</v>
      </c>
      <c r="T85">
        <v>82</v>
      </c>
      <c r="U85">
        <v>85</v>
      </c>
      <c r="V85" s="20">
        <f t="shared" si="24"/>
        <v>83.25</v>
      </c>
      <c r="W85">
        <v>103</v>
      </c>
      <c r="X85">
        <v>104</v>
      </c>
      <c r="Y85">
        <v>105</v>
      </c>
      <c r="Z85">
        <v>104</v>
      </c>
      <c r="AA85" s="20">
        <f t="shared" si="25"/>
        <v>104</v>
      </c>
      <c r="AB85">
        <v>105</v>
      </c>
      <c r="AC85">
        <v>105</v>
      </c>
      <c r="AD85">
        <v>110</v>
      </c>
      <c r="AE85">
        <v>107</v>
      </c>
      <c r="AF85" s="20">
        <f t="shared" si="26"/>
        <v>106.75</v>
      </c>
      <c r="AK85" s="20" t="e">
        <f t="shared" si="27"/>
        <v>#DIV/0!</v>
      </c>
      <c r="AO85" s="20"/>
      <c r="AP85" s="20" t="e">
        <f t="shared" si="28"/>
        <v>#DIV/0!</v>
      </c>
      <c r="AQ85" s="147">
        <v>45482</v>
      </c>
      <c r="AR85">
        <v>106</v>
      </c>
      <c r="AS85">
        <v>106</v>
      </c>
      <c r="AT85">
        <v>107</v>
      </c>
      <c r="AU85">
        <v>105</v>
      </c>
      <c r="AV85" s="20">
        <f t="shared" si="29"/>
        <v>106</v>
      </c>
      <c r="AW85">
        <v>10</v>
      </c>
      <c r="AX85">
        <v>10</v>
      </c>
      <c r="AY85">
        <v>0</v>
      </c>
      <c r="AZ85" s="20">
        <f t="shared" si="30"/>
        <v>10</v>
      </c>
      <c r="BA85">
        <v>0</v>
      </c>
      <c r="BB85">
        <v>0</v>
      </c>
      <c r="BC85">
        <v>0</v>
      </c>
      <c r="BD85" s="20">
        <f t="shared" si="31"/>
        <v>0</v>
      </c>
      <c r="BE85">
        <v>0</v>
      </c>
      <c r="BF85">
        <v>0</v>
      </c>
      <c r="BG85">
        <v>0</v>
      </c>
      <c r="BH85" s="20">
        <f t="shared" si="32"/>
        <v>0</v>
      </c>
      <c r="BI85">
        <v>29.7</v>
      </c>
      <c r="BJ85">
        <v>17.02</v>
      </c>
      <c r="BK85" s="17">
        <f t="shared" si="33"/>
        <v>42.693602693602692</v>
      </c>
      <c r="BL85" s="17">
        <f t="shared" si="34"/>
        <v>3.077441077441077</v>
      </c>
      <c r="BM85" s="18">
        <f t="shared" si="35"/>
        <v>45509.077441077439</v>
      </c>
      <c r="BN85" s="175">
        <f t="shared" si="36"/>
        <v>91.077441077439289</v>
      </c>
      <c r="BO85">
        <v>6</v>
      </c>
      <c r="BP85" s="22">
        <f t="shared" si="37"/>
        <v>8.6867999999999999</v>
      </c>
      <c r="BQ85">
        <v>9440</v>
      </c>
      <c r="BR85">
        <v>10.7</v>
      </c>
      <c r="BS85" s="20">
        <f t="shared" si="38"/>
        <v>11218.828860265299</v>
      </c>
      <c r="BT85" s="20">
        <f t="shared" si="39"/>
        <v>208.55515188954723</v>
      </c>
      <c r="BU85">
        <v>53</v>
      </c>
      <c r="BV85" s="22">
        <v>4.66</v>
      </c>
      <c r="BW85" s="22">
        <v>4.76</v>
      </c>
      <c r="BX85" s="159">
        <f t="shared" si="40"/>
        <v>48.624624277456647</v>
      </c>
    </row>
    <row r="86" spans="2:76" x14ac:dyDescent="0.3">
      <c r="B86" s="63">
        <v>2024</v>
      </c>
      <c r="C86" t="s">
        <v>105</v>
      </c>
      <c r="D86">
        <v>401</v>
      </c>
      <c r="E86">
        <v>4</v>
      </c>
      <c r="F86">
        <v>23</v>
      </c>
      <c r="G86" t="s">
        <v>41</v>
      </c>
      <c r="H86">
        <v>5</v>
      </c>
      <c r="I86" s="64" t="s">
        <v>31</v>
      </c>
      <c r="J86">
        <v>49</v>
      </c>
      <c r="K86">
        <v>46</v>
      </c>
      <c r="L86" s="21">
        <f t="shared" si="22"/>
        <v>196.85039370078741</v>
      </c>
      <c r="M86">
        <v>64</v>
      </c>
      <c r="N86">
        <v>63</v>
      </c>
      <c r="O86">
        <v>62</v>
      </c>
      <c r="P86">
        <v>62</v>
      </c>
      <c r="Q86" s="20">
        <f t="shared" si="23"/>
        <v>62.75</v>
      </c>
      <c r="R86">
        <v>85</v>
      </c>
      <c r="S86">
        <v>84</v>
      </c>
      <c r="T86">
        <v>81</v>
      </c>
      <c r="U86">
        <v>82</v>
      </c>
      <c r="V86" s="20">
        <f t="shared" si="24"/>
        <v>83</v>
      </c>
      <c r="W86">
        <v>84</v>
      </c>
      <c r="X86">
        <v>82</v>
      </c>
      <c r="Y86">
        <v>87</v>
      </c>
      <c r="Z86">
        <v>81</v>
      </c>
      <c r="AA86" s="20">
        <f t="shared" si="25"/>
        <v>83.5</v>
      </c>
      <c r="AB86">
        <v>85</v>
      </c>
      <c r="AC86">
        <v>80</v>
      </c>
      <c r="AD86">
        <v>80</v>
      </c>
      <c r="AE86">
        <v>75</v>
      </c>
      <c r="AF86" s="20">
        <f t="shared" si="26"/>
        <v>80</v>
      </c>
      <c r="AK86" s="20" t="e">
        <f t="shared" si="27"/>
        <v>#DIV/0!</v>
      </c>
      <c r="AO86" s="20"/>
      <c r="AP86" s="20" t="e">
        <f t="shared" si="28"/>
        <v>#DIV/0!</v>
      </c>
      <c r="AQ86" s="147">
        <v>45480</v>
      </c>
      <c r="AR86">
        <v>83</v>
      </c>
      <c r="AS86">
        <v>80</v>
      </c>
      <c r="AT86">
        <v>78</v>
      </c>
      <c r="AU86">
        <v>77</v>
      </c>
      <c r="AV86" s="20">
        <f t="shared" si="29"/>
        <v>79.5</v>
      </c>
      <c r="AW86">
        <v>5</v>
      </c>
      <c r="AX86">
        <v>0</v>
      </c>
      <c r="AY86">
        <v>0</v>
      </c>
      <c r="AZ86" s="20">
        <f t="shared" si="30"/>
        <v>3.3333333333333335</v>
      </c>
      <c r="BA86">
        <v>0</v>
      </c>
      <c r="BB86">
        <v>0</v>
      </c>
      <c r="BC86">
        <v>0</v>
      </c>
      <c r="BD86" s="20">
        <f t="shared" si="31"/>
        <v>0</v>
      </c>
      <c r="BE86">
        <v>0</v>
      </c>
      <c r="BF86">
        <v>0</v>
      </c>
      <c r="BG86">
        <v>0</v>
      </c>
      <c r="BH86" s="20">
        <f t="shared" si="32"/>
        <v>0</v>
      </c>
      <c r="BI86">
        <v>23.38</v>
      </c>
      <c r="BJ86">
        <v>14.92</v>
      </c>
      <c r="BK86" s="17">
        <f t="shared" si="33"/>
        <v>36.184773310521813</v>
      </c>
      <c r="BL86" s="17">
        <f t="shared" si="34"/>
        <v>0.473909324208725</v>
      </c>
      <c r="BM86" s="18">
        <f t="shared" si="35"/>
        <v>45506.47390932421</v>
      </c>
      <c r="BN86" s="175">
        <f t="shared" si="36"/>
        <v>88.473909324209671</v>
      </c>
      <c r="BO86">
        <v>6</v>
      </c>
      <c r="BP86" s="22">
        <f t="shared" si="37"/>
        <v>8.6867999999999999</v>
      </c>
      <c r="BQ86">
        <v>8119.9999999999991</v>
      </c>
      <c r="BR86">
        <v>11.3</v>
      </c>
      <c r="BS86" s="20">
        <f t="shared" si="38"/>
        <v>9585.2560565615331</v>
      </c>
      <c r="BT86" s="20">
        <f t="shared" si="39"/>
        <v>178.18745233351567</v>
      </c>
      <c r="BU86">
        <v>64</v>
      </c>
      <c r="BV86" s="22">
        <v>4.59</v>
      </c>
      <c r="BW86" s="22">
        <v>4.76</v>
      </c>
      <c r="BX86" s="159">
        <f t="shared" si="40"/>
        <v>47.939017341040469</v>
      </c>
    </row>
    <row r="87" spans="2:76" x14ac:dyDescent="0.3">
      <c r="B87" s="63">
        <v>2024</v>
      </c>
      <c r="C87" t="s">
        <v>105</v>
      </c>
      <c r="D87">
        <v>402</v>
      </c>
      <c r="E87">
        <v>4</v>
      </c>
      <c r="F87">
        <v>20</v>
      </c>
      <c r="G87" t="s">
        <v>41</v>
      </c>
      <c r="H87">
        <v>2</v>
      </c>
      <c r="I87" s="64" t="s">
        <v>32</v>
      </c>
      <c r="J87">
        <v>47</v>
      </c>
      <c r="K87">
        <v>42</v>
      </c>
      <c r="L87" s="21">
        <f t="shared" si="22"/>
        <v>184.41773725652715</v>
      </c>
      <c r="M87">
        <v>68</v>
      </c>
      <c r="N87">
        <v>66</v>
      </c>
      <c r="O87">
        <v>64</v>
      </c>
      <c r="P87">
        <v>74</v>
      </c>
      <c r="Q87" s="20">
        <f t="shared" si="23"/>
        <v>68</v>
      </c>
      <c r="R87">
        <v>82</v>
      </c>
      <c r="S87">
        <v>84</v>
      </c>
      <c r="T87">
        <v>85</v>
      </c>
      <c r="U87">
        <v>79</v>
      </c>
      <c r="V87" s="20">
        <f t="shared" si="24"/>
        <v>82.5</v>
      </c>
      <c r="W87">
        <v>84</v>
      </c>
      <c r="X87">
        <v>86</v>
      </c>
      <c r="Y87">
        <v>87</v>
      </c>
      <c r="Z87">
        <v>85</v>
      </c>
      <c r="AA87" s="20">
        <f t="shared" si="25"/>
        <v>85.5</v>
      </c>
      <c r="AB87">
        <v>85</v>
      </c>
      <c r="AC87">
        <v>90</v>
      </c>
      <c r="AD87">
        <v>85</v>
      </c>
      <c r="AE87">
        <v>85</v>
      </c>
      <c r="AF87" s="20">
        <f t="shared" si="26"/>
        <v>86.25</v>
      </c>
      <c r="AK87" s="20" t="e">
        <f t="shared" si="27"/>
        <v>#DIV/0!</v>
      </c>
      <c r="AO87" s="20"/>
      <c r="AP87" s="20" t="e">
        <f t="shared" si="28"/>
        <v>#DIV/0!</v>
      </c>
      <c r="AQ87" s="147">
        <v>45480</v>
      </c>
      <c r="AR87">
        <v>86</v>
      </c>
      <c r="AS87">
        <v>86</v>
      </c>
      <c r="AT87">
        <v>86</v>
      </c>
      <c r="AU87">
        <v>86</v>
      </c>
      <c r="AV87" s="20">
        <f t="shared" si="29"/>
        <v>86</v>
      </c>
      <c r="AW87">
        <v>10</v>
      </c>
      <c r="AX87">
        <v>0</v>
      </c>
      <c r="AY87">
        <v>0</v>
      </c>
      <c r="AZ87" s="20">
        <f t="shared" si="30"/>
        <v>6.666666666666667</v>
      </c>
      <c r="BA87">
        <v>5</v>
      </c>
      <c r="BB87">
        <v>0</v>
      </c>
      <c r="BC87">
        <v>0</v>
      </c>
      <c r="BD87" s="20">
        <f t="shared" si="31"/>
        <v>3.3333333333333335</v>
      </c>
      <c r="BE87">
        <v>0</v>
      </c>
      <c r="BF87">
        <v>0</v>
      </c>
      <c r="BG87">
        <v>0</v>
      </c>
      <c r="BH87" s="20">
        <f t="shared" si="32"/>
        <v>0</v>
      </c>
      <c r="BI87">
        <v>23.4</v>
      </c>
      <c r="BJ87">
        <v>14.7</v>
      </c>
      <c r="BK87" s="17">
        <f t="shared" si="33"/>
        <v>37.179487179487182</v>
      </c>
      <c r="BL87" s="17">
        <f t="shared" si="34"/>
        <v>0.87179487179487292</v>
      </c>
      <c r="BM87" s="18">
        <f t="shared" si="35"/>
        <v>45506.871794871797</v>
      </c>
      <c r="BN87" s="175">
        <f t="shared" si="36"/>
        <v>88.871794871796737</v>
      </c>
      <c r="BO87">
        <v>6</v>
      </c>
      <c r="BP87" s="22">
        <f t="shared" si="37"/>
        <v>8.6867999999999999</v>
      </c>
      <c r="BQ87">
        <v>9040</v>
      </c>
      <c r="BR87">
        <v>5.4</v>
      </c>
      <c r="BS87" s="20">
        <f t="shared" si="38"/>
        <v>11381.084209621349</v>
      </c>
      <c r="BT87" s="20">
        <f t="shared" si="39"/>
        <v>211.57143723014045</v>
      </c>
      <c r="BU87">
        <v>37.9</v>
      </c>
      <c r="BV87" s="22">
        <v>5.07</v>
      </c>
      <c r="BW87" s="22">
        <v>5.14</v>
      </c>
      <c r="BX87" s="159">
        <f t="shared" si="40"/>
        <v>55.830404624277463</v>
      </c>
    </row>
    <row r="88" spans="2:76" x14ac:dyDescent="0.3">
      <c r="B88" s="63">
        <v>2024</v>
      </c>
      <c r="C88" t="s">
        <v>105</v>
      </c>
      <c r="D88">
        <v>403</v>
      </c>
      <c r="E88">
        <v>4</v>
      </c>
      <c r="F88">
        <v>27</v>
      </c>
      <c r="G88" t="s">
        <v>41</v>
      </c>
      <c r="H88">
        <v>9</v>
      </c>
      <c r="I88" s="64" t="s">
        <v>33</v>
      </c>
      <c r="J88">
        <v>32</v>
      </c>
      <c r="K88">
        <v>53</v>
      </c>
      <c r="L88" s="21">
        <f t="shared" si="22"/>
        <v>176.12929962702032</v>
      </c>
      <c r="M88">
        <v>62</v>
      </c>
      <c r="N88">
        <v>61</v>
      </c>
      <c r="O88">
        <v>63</v>
      </c>
      <c r="P88">
        <v>64</v>
      </c>
      <c r="Q88" s="20">
        <f t="shared" si="23"/>
        <v>62.5</v>
      </c>
      <c r="R88">
        <v>78</v>
      </c>
      <c r="S88">
        <v>78</v>
      </c>
      <c r="T88">
        <v>81</v>
      </c>
      <c r="U88">
        <v>81</v>
      </c>
      <c r="V88" s="20">
        <f t="shared" si="24"/>
        <v>79.5</v>
      </c>
      <c r="W88">
        <v>88</v>
      </c>
      <c r="X88">
        <v>84</v>
      </c>
      <c r="Y88">
        <v>82</v>
      </c>
      <c r="Z88">
        <v>80</v>
      </c>
      <c r="AA88" s="20">
        <f t="shared" si="25"/>
        <v>83.5</v>
      </c>
      <c r="AB88">
        <v>80</v>
      </c>
      <c r="AC88">
        <v>85</v>
      </c>
      <c r="AD88">
        <v>85</v>
      </c>
      <c r="AE88">
        <v>75</v>
      </c>
      <c r="AF88" s="20">
        <f t="shared" si="26"/>
        <v>81.25</v>
      </c>
      <c r="AK88" s="20" t="e">
        <f t="shared" si="27"/>
        <v>#DIV/0!</v>
      </c>
      <c r="AO88" s="20"/>
      <c r="AP88" s="20" t="e">
        <f t="shared" si="28"/>
        <v>#DIV/0!</v>
      </c>
      <c r="AQ88" s="147">
        <v>45480</v>
      </c>
      <c r="AR88">
        <v>79</v>
      </c>
      <c r="AS88">
        <v>78</v>
      </c>
      <c r="AT88">
        <v>78</v>
      </c>
      <c r="AU88">
        <v>79</v>
      </c>
      <c r="AV88" s="20">
        <f t="shared" si="29"/>
        <v>78.5</v>
      </c>
      <c r="AW88">
        <v>5</v>
      </c>
      <c r="AX88">
        <v>0</v>
      </c>
      <c r="AY88">
        <v>0</v>
      </c>
      <c r="AZ88" s="20">
        <f t="shared" si="30"/>
        <v>3.3333333333333335</v>
      </c>
      <c r="BA88">
        <v>0</v>
      </c>
      <c r="BB88">
        <v>0</v>
      </c>
      <c r="BC88">
        <v>0</v>
      </c>
      <c r="BD88" s="20">
        <f t="shared" si="31"/>
        <v>0</v>
      </c>
      <c r="BE88">
        <v>0</v>
      </c>
      <c r="BF88">
        <v>0</v>
      </c>
      <c r="BG88">
        <v>0</v>
      </c>
      <c r="BH88" s="20">
        <f t="shared" si="32"/>
        <v>0</v>
      </c>
      <c r="BI88">
        <v>23.18</v>
      </c>
      <c r="BJ88">
        <v>14.8</v>
      </c>
      <c r="BK88" s="17">
        <f t="shared" si="33"/>
        <v>36.151855047454703</v>
      </c>
      <c r="BL88" s="17">
        <f t="shared" si="34"/>
        <v>0.46074201898188105</v>
      </c>
      <c r="BM88" s="18">
        <f t="shared" si="35"/>
        <v>45506.460742018979</v>
      </c>
      <c r="BN88" s="175">
        <f t="shared" si="36"/>
        <v>88.460742018978635</v>
      </c>
      <c r="BO88">
        <v>6</v>
      </c>
      <c r="BP88" s="22">
        <f t="shared" si="37"/>
        <v>8.6867999999999999</v>
      </c>
      <c r="BQ88">
        <v>8430</v>
      </c>
      <c r="BR88">
        <v>10.6</v>
      </c>
      <c r="BS88" s="20">
        <f t="shared" si="38"/>
        <v>10029.728182364792</v>
      </c>
      <c r="BT88" s="20">
        <f t="shared" si="39"/>
        <v>186.45007518498653</v>
      </c>
      <c r="BU88">
        <v>64.5</v>
      </c>
      <c r="BV88" s="22">
        <v>5.0599999999999996</v>
      </c>
      <c r="BW88" s="22">
        <v>5.05</v>
      </c>
      <c r="BX88" s="159">
        <f>(AVERAGE(BV88:BW88)*10)*((100-BR88)/(100-13.5))</f>
        <v>52.244739884393063</v>
      </c>
    </row>
    <row r="89" spans="2:76" x14ac:dyDescent="0.3">
      <c r="B89" s="63">
        <v>2024</v>
      </c>
      <c r="C89" t="s">
        <v>105</v>
      </c>
      <c r="D89">
        <v>404</v>
      </c>
      <c r="E89">
        <v>4</v>
      </c>
      <c r="F89">
        <v>25</v>
      </c>
      <c r="G89" t="s">
        <v>41</v>
      </c>
      <c r="H89">
        <v>7</v>
      </c>
      <c r="I89" s="64" t="s">
        <v>34</v>
      </c>
      <c r="J89">
        <v>38</v>
      </c>
      <c r="K89">
        <v>46</v>
      </c>
      <c r="L89" s="21">
        <f t="shared" si="22"/>
        <v>174.05719021964362</v>
      </c>
      <c r="M89">
        <v>64</v>
      </c>
      <c r="N89">
        <v>69</v>
      </c>
      <c r="O89">
        <v>67</v>
      </c>
      <c r="P89">
        <v>64</v>
      </c>
      <c r="Q89" s="20">
        <f t="shared" si="23"/>
        <v>66</v>
      </c>
      <c r="R89">
        <v>82</v>
      </c>
      <c r="S89">
        <v>81</v>
      </c>
      <c r="T89">
        <v>87</v>
      </c>
      <c r="U89">
        <v>84</v>
      </c>
      <c r="V89" s="20">
        <f t="shared" si="24"/>
        <v>83.5</v>
      </c>
      <c r="W89">
        <v>82</v>
      </c>
      <c r="X89">
        <v>80</v>
      </c>
      <c r="Y89">
        <v>84</v>
      </c>
      <c r="Z89">
        <v>85</v>
      </c>
      <c r="AA89" s="20">
        <f t="shared" si="25"/>
        <v>82.75</v>
      </c>
      <c r="AB89">
        <v>85</v>
      </c>
      <c r="AC89">
        <v>80</v>
      </c>
      <c r="AD89">
        <v>75</v>
      </c>
      <c r="AE89">
        <v>80</v>
      </c>
      <c r="AF89" s="20">
        <f t="shared" si="26"/>
        <v>80</v>
      </c>
      <c r="AK89" s="20" t="e">
        <f t="shared" si="27"/>
        <v>#DIV/0!</v>
      </c>
      <c r="AO89" s="20"/>
      <c r="AP89" s="20" t="e">
        <f t="shared" si="28"/>
        <v>#DIV/0!</v>
      </c>
      <c r="AQ89" s="147">
        <v>45479</v>
      </c>
      <c r="AR89">
        <v>81</v>
      </c>
      <c r="AS89">
        <v>81</v>
      </c>
      <c r="AT89">
        <v>78</v>
      </c>
      <c r="AU89">
        <v>81</v>
      </c>
      <c r="AV89" s="20">
        <f t="shared" si="29"/>
        <v>80.25</v>
      </c>
      <c r="AW89">
        <v>5</v>
      </c>
      <c r="AX89">
        <v>0</v>
      </c>
      <c r="AY89">
        <v>0</v>
      </c>
      <c r="AZ89" s="20">
        <f t="shared" si="30"/>
        <v>3.3333333333333335</v>
      </c>
      <c r="BA89">
        <v>0</v>
      </c>
      <c r="BB89">
        <v>0</v>
      </c>
      <c r="BC89">
        <v>0</v>
      </c>
      <c r="BD89" s="20">
        <f t="shared" si="31"/>
        <v>0</v>
      </c>
      <c r="BE89">
        <v>0</v>
      </c>
      <c r="BF89">
        <v>0</v>
      </c>
      <c r="BG89">
        <v>0</v>
      </c>
      <c r="BH89" s="20">
        <f t="shared" si="32"/>
        <v>0</v>
      </c>
      <c r="BI89">
        <v>23.8</v>
      </c>
      <c r="BJ89">
        <v>14.57</v>
      </c>
      <c r="BK89" s="17">
        <f t="shared" si="33"/>
        <v>38.781512605042018</v>
      </c>
      <c r="BL89" s="17">
        <f t="shared" si="34"/>
        <v>1.5126050420168071</v>
      </c>
      <c r="BM89" s="18">
        <f t="shared" si="35"/>
        <v>45507.512605042015</v>
      </c>
      <c r="BN89" s="175">
        <f t="shared" si="36"/>
        <v>89.512605042014911</v>
      </c>
      <c r="BO89">
        <v>6</v>
      </c>
      <c r="BP89" s="22">
        <f t="shared" si="37"/>
        <v>8.6867999999999999</v>
      </c>
      <c r="BQ89">
        <v>8800</v>
      </c>
      <c r="BR89">
        <v>5.3</v>
      </c>
      <c r="BS89" s="20">
        <f t="shared" si="38"/>
        <v>11090.642875603435</v>
      </c>
      <c r="BT89" s="20">
        <f t="shared" si="39"/>
        <v>206.17220730288437</v>
      </c>
      <c r="BU89">
        <v>35.6</v>
      </c>
      <c r="BV89" s="22">
        <v>5.09</v>
      </c>
      <c r="BW89" s="22">
        <v>5.16</v>
      </c>
      <c r="BX89" s="159">
        <f>(AVERAGE(BV89:BW89)*10)*((100-BR89)/(100-13.5))</f>
        <v>56.108381502890175</v>
      </c>
    </row>
    <row r="90" spans="2:76" x14ac:dyDescent="0.3">
      <c r="B90" s="63">
        <v>2024</v>
      </c>
      <c r="C90" t="s">
        <v>105</v>
      </c>
      <c r="D90">
        <v>405</v>
      </c>
      <c r="E90">
        <v>4</v>
      </c>
      <c r="F90">
        <v>24</v>
      </c>
      <c r="G90" t="s">
        <v>41</v>
      </c>
      <c r="H90">
        <v>6</v>
      </c>
      <c r="I90" s="64" t="s">
        <v>35</v>
      </c>
      <c r="J90">
        <v>47</v>
      </c>
      <c r="K90">
        <v>47</v>
      </c>
      <c r="L90" s="21">
        <f t="shared" si="22"/>
        <v>194.77828429341071</v>
      </c>
      <c r="M90">
        <v>70</v>
      </c>
      <c r="N90">
        <v>70</v>
      </c>
      <c r="O90">
        <v>68</v>
      </c>
      <c r="P90">
        <v>65</v>
      </c>
      <c r="Q90" s="20">
        <f t="shared" si="23"/>
        <v>68.25</v>
      </c>
      <c r="R90">
        <v>83</v>
      </c>
      <c r="S90">
        <v>77</v>
      </c>
      <c r="T90">
        <v>78</v>
      </c>
      <c r="U90">
        <v>81</v>
      </c>
      <c r="V90" s="20">
        <f t="shared" si="24"/>
        <v>79.75</v>
      </c>
      <c r="W90">
        <v>78</v>
      </c>
      <c r="X90">
        <v>77</v>
      </c>
      <c r="Y90">
        <v>75</v>
      </c>
      <c r="Z90">
        <v>76</v>
      </c>
      <c r="AA90" s="20">
        <f t="shared" si="25"/>
        <v>76.5</v>
      </c>
      <c r="AB90">
        <v>80</v>
      </c>
      <c r="AC90">
        <v>75</v>
      </c>
      <c r="AD90">
        <v>75</v>
      </c>
      <c r="AE90">
        <v>75</v>
      </c>
      <c r="AF90" s="20">
        <f t="shared" si="26"/>
        <v>76.25</v>
      </c>
      <c r="AK90" s="20" t="e">
        <f t="shared" si="27"/>
        <v>#DIV/0!</v>
      </c>
      <c r="AO90" s="20"/>
      <c r="AP90" s="20" t="e">
        <f t="shared" si="28"/>
        <v>#DIV/0!</v>
      </c>
      <c r="AQ90" s="147">
        <v>45480</v>
      </c>
      <c r="AR90">
        <v>78</v>
      </c>
      <c r="AS90">
        <v>77</v>
      </c>
      <c r="AT90">
        <v>77</v>
      </c>
      <c r="AU90">
        <v>78</v>
      </c>
      <c r="AV90" s="20">
        <f t="shared" si="29"/>
        <v>77.5</v>
      </c>
      <c r="AW90">
        <v>0</v>
      </c>
      <c r="AX90">
        <v>0</v>
      </c>
      <c r="AY90">
        <v>0</v>
      </c>
      <c r="AZ90" s="20">
        <f t="shared" si="30"/>
        <v>0</v>
      </c>
      <c r="BA90">
        <v>6</v>
      </c>
      <c r="BB90">
        <v>0</v>
      </c>
      <c r="BC90">
        <v>0</v>
      </c>
      <c r="BD90" s="20">
        <f t="shared" si="31"/>
        <v>4</v>
      </c>
      <c r="BE90">
        <v>0</v>
      </c>
      <c r="BF90">
        <v>0</v>
      </c>
      <c r="BG90">
        <v>0</v>
      </c>
      <c r="BH90" s="20">
        <f t="shared" si="32"/>
        <v>0</v>
      </c>
      <c r="BI90">
        <v>21.8</v>
      </c>
      <c r="BJ90">
        <v>13.55</v>
      </c>
      <c r="BK90" s="17">
        <f t="shared" si="33"/>
        <v>37.844036697247709</v>
      </c>
      <c r="BL90" s="17">
        <f t="shared" si="34"/>
        <v>1.1376146788990837</v>
      </c>
      <c r="BM90" s="18">
        <f t="shared" si="35"/>
        <v>45507.137614678897</v>
      </c>
      <c r="BN90" s="175">
        <f t="shared" si="36"/>
        <v>89.13761467889708</v>
      </c>
      <c r="BO90">
        <v>6</v>
      </c>
      <c r="BP90" s="22">
        <f t="shared" si="37"/>
        <v>8.6867999999999999</v>
      </c>
      <c r="BQ90">
        <v>8360</v>
      </c>
      <c r="BR90">
        <v>10.3</v>
      </c>
      <c r="BS90" s="20">
        <f t="shared" si="38"/>
        <v>9979.8218864260471</v>
      </c>
      <c r="BT90" s="20">
        <f t="shared" si="39"/>
        <v>185.52232993997137</v>
      </c>
      <c r="BU90">
        <v>64.599999999999994</v>
      </c>
      <c r="BV90" s="22">
        <v>5.08</v>
      </c>
      <c r="BW90" s="22">
        <v>4.8600000000000003</v>
      </c>
      <c r="BX90" s="159">
        <f t="shared" ref="BX90:BX93" si="41">(AVERAGE(BV90:BW90)*10)*((100-BR90)/(100-13.5))</f>
        <v>51.538612716763005</v>
      </c>
    </row>
    <row r="91" spans="2:76" x14ac:dyDescent="0.3">
      <c r="B91" s="63">
        <v>2024</v>
      </c>
      <c r="C91" t="s">
        <v>105</v>
      </c>
      <c r="D91">
        <v>406</v>
      </c>
      <c r="E91">
        <v>4</v>
      </c>
      <c r="F91">
        <v>22</v>
      </c>
      <c r="G91" t="s">
        <v>41</v>
      </c>
      <c r="H91">
        <v>4</v>
      </c>
      <c r="I91" s="64" t="s">
        <v>36</v>
      </c>
      <c r="J91">
        <v>36</v>
      </c>
      <c r="K91">
        <v>51</v>
      </c>
      <c r="L91" s="21">
        <f t="shared" si="22"/>
        <v>180.27351844177375</v>
      </c>
      <c r="M91">
        <v>64</v>
      </c>
      <c r="N91">
        <v>60</v>
      </c>
      <c r="O91">
        <v>63</v>
      </c>
      <c r="P91">
        <v>44</v>
      </c>
      <c r="Q91" s="20">
        <f t="shared" si="23"/>
        <v>57.75</v>
      </c>
      <c r="R91">
        <v>76</v>
      </c>
      <c r="S91">
        <v>80</v>
      </c>
      <c r="T91">
        <v>81</v>
      </c>
      <c r="U91">
        <v>87</v>
      </c>
      <c r="V91" s="20">
        <f t="shared" si="24"/>
        <v>81</v>
      </c>
      <c r="W91">
        <v>86</v>
      </c>
      <c r="X91">
        <v>83</v>
      </c>
      <c r="Y91">
        <v>82</v>
      </c>
      <c r="Z91">
        <v>81</v>
      </c>
      <c r="AA91" s="20">
        <f t="shared" si="25"/>
        <v>83</v>
      </c>
      <c r="AB91">
        <v>90</v>
      </c>
      <c r="AC91">
        <v>85</v>
      </c>
      <c r="AD91">
        <v>80</v>
      </c>
      <c r="AE91">
        <v>80</v>
      </c>
      <c r="AF91" s="20">
        <f t="shared" si="26"/>
        <v>83.75</v>
      </c>
      <c r="AK91" s="20" t="e">
        <f t="shared" si="27"/>
        <v>#DIV/0!</v>
      </c>
      <c r="AO91" s="20"/>
      <c r="AP91" s="20" t="e">
        <f t="shared" si="28"/>
        <v>#DIV/0!</v>
      </c>
      <c r="AQ91" s="147">
        <v>45480</v>
      </c>
      <c r="AR91">
        <v>83</v>
      </c>
      <c r="AS91">
        <v>86</v>
      </c>
      <c r="AT91">
        <v>84</v>
      </c>
      <c r="AU91">
        <v>85</v>
      </c>
      <c r="AV91" s="20">
        <f t="shared" si="29"/>
        <v>84.5</v>
      </c>
      <c r="AW91">
        <v>5</v>
      </c>
      <c r="AX91">
        <v>0</v>
      </c>
      <c r="AY91">
        <v>0</v>
      </c>
      <c r="AZ91" s="20">
        <f t="shared" si="30"/>
        <v>3.3333333333333335</v>
      </c>
      <c r="BA91">
        <v>10</v>
      </c>
      <c r="BB91">
        <v>0</v>
      </c>
      <c r="BC91">
        <v>0</v>
      </c>
      <c r="BD91" s="20">
        <f t="shared" si="31"/>
        <v>6.666666666666667</v>
      </c>
      <c r="BE91">
        <v>0</v>
      </c>
      <c r="BF91">
        <v>0</v>
      </c>
      <c r="BG91">
        <v>0</v>
      </c>
      <c r="BH91" s="20">
        <f t="shared" si="32"/>
        <v>0</v>
      </c>
      <c r="BI91">
        <v>23.8</v>
      </c>
      <c r="BJ91">
        <v>15.22</v>
      </c>
      <c r="BK91" s="17">
        <f t="shared" si="33"/>
        <v>36.050420168067227</v>
      </c>
      <c r="BL91" s="17">
        <f t="shared" si="34"/>
        <v>0.42016806722689071</v>
      </c>
      <c r="BM91" s="18">
        <f t="shared" si="35"/>
        <v>45506.420168067227</v>
      </c>
      <c r="BN91" s="175">
        <f t="shared" si="36"/>
        <v>88.420168067226768</v>
      </c>
      <c r="BO91">
        <v>6</v>
      </c>
      <c r="BP91" s="22">
        <f t="shared" si="37"/>
        <v>8.6867999999999999</v>
      </c>
      <c r="BQ91">
        <v>8540</v>
      </c>
      <c r="BR91">
        <v>10.6</v>
      </c>
      <c r="BS91" s="20">
        <f t="shared" si="38"/>
        <v>10160.602452834557</v>
      </c>
      <c r="BT91" s="20">
        <f t="shared" si="39"/>
        <v>188.8829943155142</v>
      </c>
      <c r="BU91">
        <v>65.3</v>
      </c>
      <c r="BV91" s="22">
        <v>5</v>
      </c>
      <c r="BW91" s="22">
        <v>5.07</v>
      </c>
      <c r="BX91" s="159">
        <f t="shared" si="41"/>
        <v>52.038034682080927</v>
      </c>
    </row>
    <row r="92" spans="2:76" x14ac:dyDescent="0.3">
      <c r="B92" s="63">
        <v>2024</v>
      </c>
      <c r="C92" t="s">
        <v>105</v>
      </c>
      <c r="D92">
        <v>407</v>
      </c>
      <c r="E92">
        <v>4</v>
      </c>
      <c r="F92">
        <v>19</v>
      </c>
      <c r="G92" t="s">
        <v>41</v>
      </c>
      <c r="H92">
        <v>1</v>
      </c>
      <c r="I92" s="64" t="s">
        <v>37</v>
      </c>
      <c r="J92">
        <v>36</v>
      </c>
      <c r="K92">
        <v>49</v>
      </c>
      <c r="L92" s="21">
        <f t="shared" si="22"/>
        <v>176.12929962702032</v>
      </c>
      <c r="M92">
        <v>65</v>
      </c>
      <c r="N92">
        <v>64</v>
      </c>
      <c r="O92">
        <v>64</v>
      </c>
      <c r="P92">
        <v>69</v>
      </c>
      <c r="Q92" s="20">
        <f t="shared" si="23"/>
        <v>65.5</v>
      </c>
      <c r="R92">
        <v>80</v>
      </c>
      <c r="S92">
        <v>82</v>
      </c>
      <c r="T92">
        <v>82</v>
      </c>
      <c r="U92">
        <v>75</v>
      </c>
      <c r="V92" s="20">
        <f t="shared" si="24"/>
        <v>79.75</v>
      </c>
      <c r="W92">
        <v>84</v>
      </c>
      <c r="X92">
        <v>83</v>
      </c>
      <c r="Y92">
        <v>82</v>
      </c>
      <c r="Z92">
        <v>84</v>
      </c>
      <c r="AA92" s="20">
        <f t="shared" si="25"/>
        <v>83.25</v>
      </c>
      <c r="AB92">
        <v>85</v>
      </c>
      <c r="AC92">
        <v>80</v>
      </c>
      <c r="AD92">
        <v>80</v>
      </c>
      <c r="AE92">
        <v>90</v>
      </c>
      <c r="AF92" s="20">
        <f t="shared" si="26"/>
        <v>83.75</v>
      </c>
      <c r="AK92" s="20" t="e">
        <f t="shared" si="27"/>
        <v>#DIV/0!</v>
      </c>
      <c r="AO92" s="20"/>
      <c r="AP92" s="20" t="e">
        <f t="shared" si="28"/>
        <v>#DIV/0!</v>
      </c>
      <c r="AQ92" s="147">
        <v>45479</v>
      </c>
      <c r="AR92">
        <v>85</v>
      </c>
      <c r="AS92">
        <v>83</v>
      </c>
      <c r="AT92">
        <v>88</v>
      </c>
      <c r="AU92">
        <v>83</v>
      </c>
      <c r="AV92" s="20">
        <f t="shared" si="29"/>
        <v>84.75</v>
      </c>
      <c r="AW92">
        <v>5</v>
      </c>
      <c r="AX92">
        <v>0</v>
      </c>
      <c r="AY92">
        <v>0</v>
      </c>
      <c r="AZ92" s="20">
        <f t="shared" si="30"/>
        <v>3.3333333333333335</v>
      </c>
      <c r="BA92">
        <v>0</v>
      </c>
      <c r="BB92">
        <v>0</v>
      </c>
      <c r="BC92">
        <v>0</v>
      </c>
      <c r="BD92" s="20">
        <f t="shared" si="31"/>
        <v>0</v>
      </c>
      <c r="BE92">
        <v>0</v>
      </c>
      <c r="BF92">
        <v>0</v>
      </c>
      <c r="BG92">
        <v>0</v>
      </c>
      <c r="BH92" s="20">
        <f t="shared" si="32"/>
        <v>0</v>
      </c>
      <c r="BI92">
        <v>23.6</v>
      </c>
      <c r="BJ92">
        <v>15.42</v>
      </c>
      <c r="BK92" s="17">
        <f t="shared" si="33"/>
        <v>34.661016949152547</v>
      </c>
      <c r="BL92" s="17">
        <f t="shared" si="34"/>
        <v>-0.13559322033898127</v>
      </c>
      <c r="BM92" s="18">
        <f t="shared" si="35"/>
        <v>45505.864406779663</v>
      </c>
      <c r="BN92" s="175">
        <f t="shared" si="36"/>
        <v>87.864406779663113</v>
      </c>
      <c r="BO92">
        <v>6</v>
      </c>
      <c r="BP92" s="22">
        <f t="shared" si="37"/>
        <v>8.6867999999999999</v>
      </c>
      <c r="BQ92">
        <v>8900</v>
      </c>
      <c r="BR92">
        <v>5.4</v>
      </c>
      <c r="BS92" s="20">
        <f t="shared" si="38"/>
        <v>11204.828480711283</v>
      </c>
      <c r="BT92" s="20">
        <f t="shared" si="39"/>
        <v>208.29488842347899</v>
      </c>
      <c r="BU92">
        <v>38.5</v>
      </c>
      <c r="BV92" s="22">
        <v>5.8</v>
      </c>
      <c r="BW92" s="22">
        <v>5.24</v>
      </c>
      <c r="BX92" s="159">
        <f t="shared" si="41"/>
        <v>60.369017341040461</v>
      </c>
    </row>
    <row r="93" spans="2:76" x14ac:dyDescent="0.3">
      <c r="B93" s="63">
        <v>2024</v>
      </c>
      <c r="C93" t="s">
        <v>105</v>
      </c>
      <c r="D93">
        <v>408</v>
      </c>
      <c r="E93">
        <v>4</v>
      </c>
      <c r="F93">
        <v>26</v>
      </c>
      <c r="G93" t="s">
        <v>41</v>
      </c>
      <c r="H93">
        <v>8</v>
      </c>
      <c r="I93" s="64" t="s">
        <v>38</v>
      </c>
      <c r="J93">
        <v>44</v>
      </c>
      <c r="K93">
        <v>46</v>
      </c>
      <c r="L93" s="21">
        <f t="shared" si="22"/>
        <v>186.48984666390388</v>
      </c>
      <c r="M93">
        <v>70</v>
      </c>
      <c r="N93">
        <v>67</v>
      </c>
      <c r="O93">
        <v>70</v>
      </c>
      <c r="P93">
        <v>69</v>
      </c>
      <c r="Q93" s="20">
        <f t="shared" si="23"/>
        <v>69</v>
      </c>
      <c r="R93">
        <v>84</v>
      </c>
      <c r="S93">
        <v>81</v>
      </c>
      <c r="T93">
        <v>87</v>
      </c>
      <c r="U93">
        <v>85</v>
      </c>
      <c r="V93" s="20">
        <f t="shared" si="24"/>
        <v>84.25</v>
      </c>
      <c r="W93">
        <v>82</v>
      </c>
      <c r="X93">
        <v>85</v>
      </c>
      <c r="Y93">
        <v>81</v>
      </c>
      <c r="Z93">
        <v>88</v>
      </c>
      <c r="AA93" s="20">
        <f t="shared" si="25"/>
        <v>84</v>
      </c>
      <c r="AB93">
        <v>80</v>
      </c>
      <c r="AC93">
        <v>80</v>
      </c>
      <c r="AD93">
        <v>80</v>
      </c>
      <c r="AE93">
        <v>85</v>
      </c>
      <c r="AF93" s="20">
        <f t="shared" si="26"/>
        <v>81.25</v>
      </c>
      <c r="AK93" s="20" t="e">
        <f t="shared" si="27"/>
        <v>#DIV/0!</v>
      </c>
      <c r="AO93" s="20"/>
      <c r="AP93" s="20" t="e">
        <f t="shared" si="28"/>
        <v>#DIV/0!</v>
      </c>
      <c r="AQ93" s="147">
        <v>45479</v>
      </c>
      <c r="AR93">
        <v>85</v>
      </c>
      <c r="AS93">
        <v>86</v>
      </c>
      <c r="AT93">
        <v>86</v>
      </c>
      <c r="AU93">
        <v>82</v>
      </c>
      <c r="AV93" s="20">
        <f t="shared" si="29"/>
        <v>84.75</v>
      </c>
      <c r="AW93">
        <v>10</v>
      </c>
      <c r="AX93">
        <v>0</v>
      </c>
      <c r="AY93">
        <v>0</v>
      </c>
      <c r="AZ93" s="20">
        <f t="shared" si="30"/>
        <v>6.666666666666667</v>
      </c>
      <c r="BA93">
        <v>50</v>
      </c>
      <c r="BB93">
        <v>0</v>
      </c>
      <c r="BC93">
        <v>0</v>
      </c>
      <c r="BD93" s="20">
        <f t="shared" si="31"/>
        <v>33.333333333333336</v>
      </c>
      <c r="BE93">
        <v>0</v>
      </c>
      <c r="BF93">
        <v>0</v>
      </c>
      <c r="BG93">
        <v>0</v>
      </c>
      <c r="BH93" s="20">
        <f t="shared" si="32"/>
        <v>0</v>
      </c>
      <c r="BI93">
        <v>21.26</v>
      </c>
      <c r="BJ93">
        <v>13.53</v>
      </c>
      <c r="BK93" s="17">
        <f t="shared" si="33"/>
        <v>36.359360301034812</v>
      </c>
      <c r="BL93" s="17">
        <f t="shared" si="34"/>
        <v>0.54374412041392473</v>
      </c>
      <c r="BM93" s="18">
        <f t="shared" si="35"/>
        <v>45506.543744120412</v>
      </c>
      <c r="BN93" s="175">
        <f t="shared" si="36"/>
        <v>88.543744120412157</v>
      </c>
      <c r="BO93">
        <v>6</v>
      </c>
      <c r="BP93" s="22">
        <f t="shared" si="37"/>
        <v>8.6867999999999999</v>
      </c>
      <c r="BQ93">
        <v>9140</v>
      </c>
      <c r="BR93">
        <v>5.6</v>
      </c>
      <c r="BS93" s="20">
        <f t="shared" si="38"/>
        <v>11482.653503115886</v>
      </c>
      <c r="BT93" s="20">
        <f t="shared" si="39"/>
        <v>213.4595843527953</v>
      </c>
      <c r="BU93">
        <v>41.1</v>
      </c>
      <c r="BV93" s="22">
        <v>5.36</v>
      </c>
      <c r="BW93" s="22">
        <v>5.2</v>
      </c>
      <c r="BX93" s="159">
        <f t="shared" si="41"/>
        <v>57.622196531791921</v>
      </c>
    </row>
    <row r="94" spans="2:76" x14ac:dyDescent="0.3">
      <c r="B94" s="63">
        <v>2024</v>
      </c>
      <c r="C94" t="s">
        <v>105</v>
      </c>
      <c r="D94">
        <v>409</v>
      </c>
      <c r="E94">
        <v>4</v>
      </c>
      <c r="F94">
        <v>21</v>
      </c>
      <c r="G94" t="s">
        <v>41</v>
      </c>
      <c r="H94">
        <v>3</v>
      </c>
      <c r="I94" s="64" t="s">
        <v>39</v>
      </c>
      <c r="J94">
        <v>50</v>
      </c>
      <c r="K94">
        <v>62</v>
      </c>
      <c r="L94" s="21">
        <f t="shared" si="22"/>
        <v>232.07625362619149</v>
      </c>
      <c r="M94">
        <v>63</v>
      </c>
      <c r="N94">
        <v>66</v>
      </c>
      <c r="O94">
        <v>64</v>
      </c>
      <c r="P94">
        <v>65</v>
      </c>
      <c r="Q94" s="20">
        <f t="shared" si="23"/>
        <v>64.5</v>
      </c>
      <c r="R94">
        <v>72</v>
      </c>
      <c r="S94">
        <v>85</v>
      </c>
      <c r="T94">
        <v>84</v>
      </c>
      <c r="U94">
        <v>86</v>
      </c>
      <c r="V94" s="20">
        <f t="shared" si="24"/>
        <v>81.75</v>
      </c>
      <c r="W94">
        <v>82</v>
      </c>
      <c r="X94">
        <v>83</v>
      </c>
      <c r="Y94">
        <v>85</v>
      </c>
      <c r="Z94">
        <v>80</v>
      </c>
      <c r="AA94" s="20">
        <f t="shared" si="25"/>
        <v>82.5</v>
      </c>
      <c r="AB94">
        <v>80</v>
      </c>
      <c r="AC94">
        <v>85</v>
      </c>
      <c r="AD94">
        <v>85</v>
      </c>
      <c r="AE94">
        <v>80</v>
      </c>
      <c r="AF94" s="20">
        <f t="shared" si="26"/>
        <v>82.5</v>
      </c>
      <c r="AK94" s="20" t="e">
        <f t="shared" si="27"/>
        <v>#DIV/0!</v>
      </c>
      <c r="AO94" s="20"/>
      <c r="AP94" s="20" t="e">
        <f t="shared" si="28"/>
        <v>#DIV/0!</v>
      </c>
      <c r="AQ94" s="147">
        <v>45479</v>
      </c>
      <c r="AR94">
        <v>83</v>
      </c>
      <c r="AS94">
        <v>82</v>
      </c>
      <c r="AT94">
        <v>82</v>
      </c>
      <c r="AU94">
        <v>82</v>
      </c>
      <c r="AV94" s="20">
        <f t="shared" si="29"/>
        <v>82.25</v>
      </c>
      <c r="AW94">
        <v>10</v>
      </c>
      <c r="AX94">
        <v>0</v>
      </c>
      <c r="AY94">
        <v>0</v>
      </c>
      <c r="AZ94" s="20">
        <f t="shared" si="30"/>
        <v>6.666666666666667</v>
      </c>
      <c r="BA94">
        <v>50</v>
      </c>
      <c r="BB94">
        <v>0</v>
      </c>
      <c r="BC94">
        <v>0</v>
      </c>
      <c r="BD94" s="20">
        <f t="shared" si="31"/>
        <v>33.333333333333336</v>
      </c>
      <c r="BE94">
        <v>0</v>
      </c>
      <c r="BF94">
        <v>0</v>
      </c>
      <c r="BG94">
        <v>0</v>
      </c>
      <c r="BH94" s="20">
        <f t="shared" si="32"/>
        <v>0</v>
      </c>
      <c r="BI94">
        <v>22.2</v>
      </c>
      <c r="BJ94">
        <v>14.37</v>
      </c>
      <c r="BK94" s="17">
        <f t="shared" si="33"/>
        <v>35.270270270270274</v>
      </c>
      <c r="BL94" s="17">
        <f t="shared" si="34"/>
        <v>0.10810810810810949</v>
      </c>
      <c r="BM94" s="18">
        <f t="shared" si="35"/>
        <v>45506.108108108107</v>
      </c>
      <c r="BN94" s="175">
        <f t="shared" si="36"/>
        <v>88.108108108106535</v>
      </c>
      <c r="BO94">
        <v>6</v>
      </c>
      <c r="BP94" s="22">
        <f t="shared" si="37"/>
        <v>8.6867999999999999</v>
      </c>
      <c r="BQ94">
        <v>8380</v>
      </c>
      <c r="BR94">
        <v>9.4</v>
      </c>
      <c r="BS94" s="20">
        <f t="shared" si="38"/>
        <v>10104.068600795146</v>
      </c>
      <c r="BT94" s="20">
        <f t="shared" si="39"/>
        <v>187.83204450196104</v>
      </c>
      <c r="BU94">
        <v>65.400000000000006</v>
      </c>
      <c r="BV94" s="22">
        <v>4.7699999999999996</v>
      </c>
      <c r="BW94" s="22">
        <v>5.15</v>
      </c>
      <c r="BX94" s="159">
        <f t="shared" si="40"/>
        <v>51.950982658959539</v>
      </c>
    </row>
    <row r="95" spans="2:76" x14ac:dyDescent="0.3">
      <c r="B95" s="63">
        <v>2024</v>
      </c>
      <c r="C95" t="s">
        <v>105</v>
      </c>
      <c r="D95">
        <v>410</v>
      </c>
      <c r="E95">
        <v>4</v>
      </c>
      <c r="F95">
        <v>7</v>
      </c>
      <c r="G95" t="s">
        <v>42</v>
      </c>
      <c r="H95">
        <v>7</v>
      </c>
      <c r="I95" s="64" t="s">
        <v>34</v>
      </c>
      <c r="J95">
        <v>42</v>
      </c>
      <c r="K95">
        <v>48</v>
      </c>
      <c r="L95" s="21">
        <f t="shared" si="22"/>
        <v>186.48984666390388</v>
      </c>
      <c r="M95">
        <v>72</v>
      </c>
      <c r="N95">
        <v>66</v>
      </c>
      <c r="O95">
        <v>63</v>
      </c>
      <c r="P95">
        <v>46</v>
      </c>
      <c r="Q95" s="20">
        <f t="shared" si="23"/>
        <v>61.75</v>
      </c>
      <c r="R95">
        <v>73</v>
      </c>
      <c r="S95">
        <v>72</v>
      </c>
      <c r="T95">
        <v>82</v>
      </c>
      <c r="U95">
        <v>88</v>
      </c>
      <c r="V95" s="20">
        <f t="shared" si="24"/>
        <v>78.75</v>
      </c>
      <c r="W95">
        <v>89</v>
      </c>
      <c r="X95">
        <v>98</v>
      </c>
      <c r="Y95">
        <v>93</v>
      </c>
      <c r="Z95">
        <v>89</v>
      </c>
      <c r="AA95" s="20">
        <f t="shared" si="25"/>
        <v>92.25</v>
      </c>
      <c r="AB95">
        <v>95</v>
      </c>
      <c r="AC95">
        <v>90</v>
      </c>
      <c r="AD95">
        <v>90</v>
      </c>
      <c r="AE95">
        <v>85</v>
      </c>
      <c r="AF95" s="20">
        <f t="shared" si="26"/>
        <v>90</v>
      </c>
      <c r="AK95" s="20" t="e">
        <f t="shared" si="27"/>
        <v>#DIV/0!</v>
      </c>
      <c r="AO95" s="20"/>
      <c r="AP95" s="20" t="e">
        <f t="shared" si="28"/>
        <v>#DIV/0!</v>
      </c>
      <c r="AQ95" s="147">
        <v>45481</v>
      </c>
      <c r="AR95">
        <v>89</v>
      </c>
      <c r="AS95">
        <v>94</v>
      </c>
      <c r="AT95">
        <v>95</v>
      </c>
      <c r="AU95">
        <v>90</v>
      </c>
      <c r="AV95" s="20">
        <f t="shared" si="29"/>
        <v>92</v>
      </c>
      <c r="AW95">
        <v>10</v>
      </c>
      <c r="AX95">
        <v>0</v>
      </c>
      <c r="AY95">
        <v>0</v>
      </c>
      <c r="AZ95" s="20">
        <f t="shared" si="30"/>
        <v>6.666666666666667</v>
      </c>
      <c r="BA95">
        <v>25</v>
      </c>
      <c r="BB95">
        <v>0</v>
      </c>
      <c r="BC95">
        <v>0</v>
      </c>
      <c r="BD95" s="20">
        <f t="shared" si="31"/>
        <v>16.666666666666668</v>
      </c>
      <c r="BE95">
        <v>0</v>
      </c>
      <c r="BF95">
        <v>0</v>
      </c>
      <c r="BG95">
        <v>0</v>
      </c>
      <c r="BH95" s="20">
        <f t="shared" si="32"/>
        <v>0</v>
      </c>
      <c r="BI95">
        <v>26.56</v>
      </c>
      <c r="BJ95">
        <v>15.78</v>
      </c>
      <c r="BK95" s="17">
        <f t="shared" si="33"/>
        <v>40.587349397590359</v>
      </c>
      <c r="BL95" s="17">
        <f t="shared" si="34"/>
        <v>2.2349397590361435</v>
      </c>
      <c r="BM95" s="18">
        <f t="shared" si="35"/>
        <v>45508.234939759037</v>
      </c>
      <c r="BN95" s="175">
        <f t="shared" si="36"/>
        <v>90.234939759036934</v>
      </c>
      <c r="BO95">
        <v>6</v>
      </c>
      <c r="BP95" s="22">
        <f t="shared" si="37"/>
        <v>8.6867999999999999</v>
      </c>
      <c r="BQ95">
        <v>8600</v>
      </c>
      <c r="BR95">
        <v>11.5</v>
      </c>
      <c r="BS95" s="20">
        <f t="shared" si="38"/>
        <v>10128.98182372777</v>
      </c>
      <c r="BT95" s="20">
        <f t="shared" si="39"/>
        <v>188.29517492827267</v>
      </c>
      <c r="BU95">
        <v>68</v>
      </c>
      <c r="BV95" s="22">
        <v>4.79</v>
      </c>
      <c r="BW95" s="22">
        <v>4.6900000000000004</v>
      </c>
      <c r="BX95" s="159">
        <f t="shared" si="40"/>
        <v>48.495953757225436</v>
      </c>
    </row>
    <row r="96" spans="2:76" x14ac:dyDescent="0.3">
      <c r="B96" s="63">
        <v>2024</v>
      </c>
      <c r="C96" t="s">
        <v>105</v>
      </c>
      <c r="D96">
        <v>411</v>
      </c>
      <c r="E96">
        <v>4</v>
      </c>
      <c r="F96">
        <v>9</v>
      </c>
      <c r="G96" t="s">
        <v>42</v>
      </c>
      <c r="H96">
        <v>9</v>
      </c>
      <c r="I96" s="64" t="s">
        <v>33</v>
      </c>
      <c r="J96">
        <v>43</v>
      </c>
      <c r="K96">
        <v>47</v>
      </c>
      <c r="L96" s="21">
        <f t="shared" si="22"/>
        <v>186.48984666390388</v>
      </c>
      <c r="M96">
        <v>67</v>
      </c>
      <c r="N96">
        <v>63</v>
      </c>
      <c r="O96">
        <v>66</v>
      </c>
      <c r="P96">
        <v>62</v>
      </c>
      <c r="Q96" s="20">
        <f t="shared" si="23"/>
        <v>64.5</v>
      </c>
      <c r="R96">
        <v>86</v>
      </c>
      <c r="S96">
        <v>80</v>
      </c>
      <c r="T96">
        <v>81</v>
      </c>
      <c r="U96">
        <v>81</v>
      </c>
      <c r="V96" s="20">
        <f t="shared" si="24"/>
        <v>82</v>
      </c>
      <c r="W96">
        <v>89</v>
      </c>
      <c r="X96">
        <v>87</v>
      </c>
      <c r="Y96">
        <v>95</v>
      </c>
      <c r="Z96">
        <v>98</v>
      </c>
      <c r="AA96" s="20">
        <f t="shared" si="25"/>
        <v>92.25</v>
      </c>
      <c r="AB96">
        <v>90</v>
      </c>
      <c r="AC96">
        <v>90</v>
      </c>
      <c r="AD96">
        <v>85</v>
      </c>
      <c r="AE96">
        <v>110</v>
      </c>
      <c r="AF96" s="20">
        <f t="shared" si="26"/>
        <v>93.75</v>
      </c>
      <c r="AK96" s="20" t="e">
        <f t="shared" si="27"/>
        <v>#DIV/0!</v>
      </c>
      <c r="AO96" s="20"/>
      <c r="AP96" s="20" t="e">
        <f t="shared" si="28"/>
        <v>#DIV/0!</v>
      </c>
      <c r="AQ96" s="147">
        <v>45483</v>
      </c>
      <c r="AR96">
        <v>100</v>
      </c>
      <c r="AS96">
        <v>92</v>
      </c>
      <c r="AT96">
        <v>97</v>
      </c>
      <c r="AU96">
        <v>95</v>
      </c>
      <c r="AV96" s="20">
        <f t="shared" si="29"/>
        <v>96</v>
      </c>
      <c r="AW96">
        <v>15</v>
      </c>
      <c r="AX96">
        <v>0</v>
      </c>
      <c r="AY96">
        <v>0</v>
      </c>
      <c r="AZ96" s="20">
        <f t="shared" si="30"/>
        <v>10</v>
      </c>
      <c r="BA96">
        <v>25</v>
      </c>
      <c r="BB96">
        <v>0</v>
      </c>
      <c r="BC96">
        <v>0</v>
      </c>
      <c r="BD96" s="20">
        <f t="shared" si="31"/>
        <v>16.666666666666668</v>
      </c>
      <c r="BE96">
        <v>0</v>
      </c>
      <c r="BF96">
        <v>0</v>
      </c>
      <c r="BG96">
        <v>0</v>
      </c>
      <c r="BH96" s="20">
        <f t="shared" si="32"/>
        <v>0</v>
      </c>
      <c r="BI96">
        <v>30.2</v>
      </c>
      <c r="BJ96">
        <v>17.66</v>
      </c>
      <c r="BK96" s="17">
        <f t="shared" si="33"/>
        <v>41.523178807947019</v>
      </c>
      <c r="BL96" s="17">
        <f t="shared" si="34"/>
        <v>2.6092715231788075</v>
      </c>
      <c r="BM96" s="18">
        <f t="shared" si="35"/>
        <v>45508.609271523179</v>
      </c>
      <c r="BN96" s="175">
        <f t="shared" si="36"/>
        <v>90.609271523178904</v>
      </c>
      <c r="BO96">
        <v>6</v>
      </c>
      <c r="BP96" s="22">
        <f t="shared" si="37"/>
        <v>8.6867999999999999</v>
      </c>
      <c r="BQ96">
        <v>8310</v>
      </c>
      <c r="BR96">
        <v>10.9</v>
      </c>
      <c r="BS96" s="20">
        <f t="shared" si="38"/>
        <v>9853.7785454031527</v>
      </c>
      <c r="BT96" s="20">
        <f t="shared" si="39"/>
        <v>183.17921654916117</v>
      </c>
      <c r="BU96">
        <v>67.2</v>
      </c>
      <c r="BV96" s="22">
        <v>4.6399999999999997</v>
      </c>
      <c r="BW96" s="22">
        <v>4.78</v>
      </c>
      <c r="BX96" s="159">
        <f t="shared" si="40"/>
        <v>48.515722543352595</v>
      </c>
    </row>
    <row r="97" spans="2:76" x14ac:dyDescent="0.3">
      <c r="B97" s="63">
        <v>2024</v>
      </c>
      <c r="C97" t="s">
        <v>105</v>
      </c>
      <c r="D97">
        <v>412</v>
      </c>
      <c r="E97">
        <v>4</v>
      </c>
      <c r="F97">
        <v>6</v>
      </c>
      <c r="G97" t="s">
        <v>42</v>
      </c>
      <c r="H97">
        <v>6</v>
      </c>
      <c r="I97" s="64" t="s">
        <v>35</v>
      </c>
      <c r="J97">
        <v>44</v>
      </c>
      <c r="K97">
        <v>43</v>
      </c>
      <c r="L97" s="21">
        <f t="shared" si="22"/>
        <v>180.27351844177375</v>
      </c>
      <c r="M97">
        <v>68</v>
      </c>
      <c r="N97">
        <v>68</v>
      </c>
      <c r="O97">
        <v>58</v>
      </c>
      <c r="P97">
        <v>65</v>
      </c>
      <c r="Q97" s="20">
        <f t="shared" si="23"/>
        <v>64.75</v>
      </c>
      <c r="R97">
        <v>91</v>
      </c>
      <c r="S97">
        <v>91</v>
      </c>
      <c r="T97">
        <v>101</v>
      </c>
      <c r="U97">
        <v>98</v>
      </c>
      <c r="V97" s="20">
        <f t="shared" si="24"/>
        <v>95.25</v>
      </c>
      <c r="W97">
        <v>102</v>
      </c>
      <c r="X97">
        <v>101</v>
      </c>
      <c r="Y97">
        <v>104</v>
      </c>
      <c r="Z97">
        <v>100</v>
      </c>
      <c r="AA97" s="20">
        <f t="shared" si="25"/>
        <v>101.75</v>
      </c>
      <c r="AB97">
        <v>110</v>
      </c>
      <c r="AC97">
        <v>95</v>
      </c>
      <c r="AD97">
        <v>95</v>
      </c>
      <c r="AE97">
        <v>95</v>
      </c>
      <c r="AF97" s="20">
        <f t="shared" si="26"/>
        <v>98.75</v>
      </c>
      <c r="AK97" s="20" t="e">
        <f t="shared" si="27"/>
        <v>#DIV/0!</v>
      </c>
      <c r="AO97" s="20"/>
      <c r="AP97" s="20" t="e">
        <f t="shared" si="28"/>
        <v>#DIV/0!</v>
      </c>
      <c r="AQ97" s="147">
        <v>45480</v>
      </c>
      <c r="AR97">
        <v>98</v>
      </c>
      <c r="AS97">
        <v>97</v>
      </c>
      <c r="AT97">
        <v>98</v>
      </c>
      <c r="AU97">
        <v>108</v>
      </c>
      <c r="AV97" s="20">
        <f t="shared" si="29"/>
        <v>100.25</v>
      </c>
      <c r="AW97">
        <v>25</v>
      </c>
      <c r="AX97">
        <v>0</v>
      </c>
      <c r="AY97">
        <v>0</v>
      </c>
      <c r="AZ97" s="20">
        <f t="shared" si="30"/>
        <v>16.666666666666668</v>
      </c>
      <c r="BA97">
        <v>50</v>
      </c>
      <c r="BB97">
        <v>0</v>
      </c>
      <c r="BC97">
        <v>0</v>
      </c>
      <c r="BD97" s="20">
        <f t="shared" si="31"/>
        <v>33.333333333333336</v>
      </c>
      <c r="BE97">
        <v>0</v>
      </c>
      <c r="BF97">
        <v>0</v>
      </c>
      <c r="BG97">
        <v>0</v>
      </c>
      <c r="BH97" s="20">
        <f t="shared" si="32"/>
        <v>0</v>
      </c>
      <c r="BI97">
        <v>23.6</v>
      </c>
      <c r="BJ97">
        <v>14.72</v>
      </c>
      <c r="BK97" s="17">
        <f t="shared" si="33"/>
        <v>37.627118644067799</v>
      </c>
      <c r="BL97" s="17">
        <f t="shared" si="34"/>
        <v>1.0508474576271198</v>
      </c>
      <c r="BM97" s="18">
        <f t="shared" si="35"/>
        <v>45507.050847457627</v>
      </c>
      <c r="BN97" s="175">
        <f t="shared" si="36"/>
        <v>89.050847457627242</v>
      </c>
      <c r="BO97">
        <v>6</v>
      </c>
      <c r="BP97" s="22">
        <f t="shared" si="37"/>
        <v>8.6867999999999999</v>
      </c>
      <c r="BQ97">
        <v>7790</v>
      </c>
      <c r="BR97">
        <v>11.6</v>
      </c>
      <c r="BS97" s="20">
        <f t="shared" si="38"/>
        <v>9164.6058693530358</v>
      </c>
      <c r="BT97" s="20">
        <f t="shared" si="39"/>
        <v>170.36767321233208</v>
      </c>
      <c r="BU97">
        <v>69</v>
      </c>
      <c r="BV97" s="22">
        <v>4.93</v>
      </c>
      <c r="BW97" s="22">
        <v>5.03</v>
      </c>
      <c r="BX97" s="159">
        <f t="shared" si="40"/>
        <v>50.893872832369958</v>
      </c>
    </row>
    <row r="98" spans="2:76" x14ac:dyDescent="0.3">
      <c r="B98" s="63">
        <v>2024</v>
      </c>
      <c r="C98" t="s">
        <v>105</v>
      </c>
      <c r="D98">
        <v>413</v>
      </c>
      <c r="E98">
        <v>4</v>
      </c>
      <c r="F98">
        <v>4</v>
      </c>
      <c r="G98" t="s">
        <v>42</v>
      </c>
      <c r="H98">
        <v>4</v>
      </c>
      <c r="I98" s="64" t="s">
        <v>36</v>
      </c>
      <c r="J98">
        <v>38</v>
      </c>
      <c r="K98">
        <v>54</v>
      </c>
      <c r="L98" s="21">
        <f t="shared" si="22"/>
        <v>190.63406547865728</v>
      </c>
      <c r="M98">
        <v>71</v>
      </c>
      <c r="N98">
        <v>58</v>
      </c>
      <c r="O98">
        <v>68</v>
      </c>
      <c r="P98">
        <v>70</v>
      </c>
      <c r="Q98" s="20">
        <f t="shared" si="23"/>
        <v>66.75</v>
      </c>
      <c r="R98">
        <v>87</v>
      </c>
      <c r="S98">
        <v>83</v>
      </c>
      <c r="T98">
        <v>90</v>
      </c>
      <c r="U98">
        <v>94</v>
      </c>
      <c r="V98" s="20">
        <f t="shared" si="24"/>
        <v>88.5</v>
      </c>
      <c r="W98">
        <v>85</v>
      </c>
      <c r="X98">
        <v>87</v>
      </c>
      <c r="Y98">
        <v>86</v>
      </c>
      <c r="Z98">
        <v>91</v>
      </c>
      <c r="AA98" s="20">
        <f t="shared" si="25"/>
        <v>87.25</v>
      </c>
      <c r="AB98">
        <v>90</v>
      </c>
      <c r="AC98">
        <v>95</v>
      </c>
      <c r="AD98">
        <v>95</v>
      </c>
      <c r="AE98">
        <v>95</v>
      </c>
      <c r="AF98" s="20">
        <f t="shared" si="26"/>
        <v>93.75</v>
      </c>
      <c r="AK98" s="20" t="e">
        <f t="shared" si="27"/>
        <v>#DIV/0!</v>
      </c>
      <c r="AO98" s="20"/>
      <c r="AP98" s="20" t="e">
        <f t="shared" si="28"/>
        <v>#DIV/0!</v>
      </c>
      <c r="AQ98" s="147">
        <v>45483</v>
      </c>
      <c r="AR98">
        <v>92</v>
      </c>
      <c r="AS98">
        <v>88</v>
      </c>
      <c r="AT98">
        <v>92</v>
      </c>
      <c r="AU98">
        <v>88</v>
      </c>
      <c r="AV98" s="20">
        <f t="shared" si="29"/>
        <v>90</v>
      </c>
      <c r="AW98">
        <v>10</v>
      </c>
      <c r="AX98">
        <v>0</v>
      </c>
      <c r="AY98">
        <v>0</v>
      </c>
      <c r="AZ98" s="20">
        <f t="shared" si="30"/>
        <v>6.666666666666667</v>
      </c>
      <c r="BA98">
        <v>0</v>
      </c>
      <c r="BB98">
        <v>0</v>
      </c>
      <c r="BC98">
        <v>0</v>
      </c>
      <c r="BD98" s="20">
        <f t="shared" si="31"/>
        <v>0</v>
      </c>
      <c r="BE98">
        <v>0</v>
      </c>
      <c r="BF98">
        <v>0</v>
      </c>
      <c r="BG98">
        <v>0</v>
      </c>
      <c r="BH98" s="20">
        <f t="shared" si="32"/>
        <v>0</v>
      </c>
      <c r="BI98">
        <v>24.75</v>
      </c>
      <c r="BJ98">
        <v>14.65</v>
      </c>
      <c r="BK98" s="17">
        <f t="shared" si="33"/>
        <v>40.808080808080803</v>
      </c>
      <c r="BL98" s="17">
        <f t="shared" si="34"/>
        <v>2.3232323232323209</v>
      </c>
      <c r="BM98" s="18">
        <f t="shared" si="35"/>
        <v>45508.32323232323</v>
      </c>
      <c r="BN98" s="175">
        <f t="shared" si="36"/>
        <v>90.323232323229604</v>
      </c>
      <c r="BO98">
        <v>6</v>
      </c>
      <c r="BP98" s="22">
        <f t="shared" si="37"/>
        <v>8.6867999999999999</v>
      </c>
      <c r="BQ98">
        <v>7920</v>
      </c>
      <c r="BR98">
        <v>10.7</v>
      </c>
      <c r="BS98" s="20">
        <f t="shared" si="38"/>
        <v>9412.4072641208877</v>
      </c>
      <c r="BT98" s="20">
        <f t="shared" si="39"/>
        <v>174.97423760224726</v>
      </c>
      <c r="BU98">
        <v>67.8</v>
      </c>
      <c r="BV98" s="22">
        <v>5.09</v>
      </c>
      <c r="BW98" s="22">
        <v>4.78</v>
      </c>
      <c r="BX98" s="159">
        <f t="shared" si="40"/>
        <v>50.947456647398852</v>
      </c>
    </row>
    <row r="99" spans="2:76" x14ac:dyDescent="0.3">
      <c r="B99" s="63">
        <v>2024</v>
      </c>
      <c r="C99" t="s">
        <v>105</v>
      </c>
      <c r="D99">
        <v>414</v>
      </c>
      <c r="E99">
        <v>4</v>
      </c>
      <c r="F99">
        <v>8</v>
      </c>
      <c r="G99" t="s">
        <v>42</v>
      </c>
      <c r="H99">
        <v>8</v>
      </c>
      <c r="I99" s="64" t="s">
        <v>38</v>
      </c>
      <c r="J99">
        <v>46</v>
      </c>
      <c r="K99">
        <v>39</v>
      </c>
      <c r="L99" s="21">
        <f t="shared" si="22"/>
        <v>176.12929962702032</v>
      </c>
      <c r="M99">
        <v>62</v>
      </c>
      <c r="N99">
        <v>55</v>
      </c>
      <c r="O99">
        <v>51</v>
      </c>
      <c r="P99">
        <v>50</v>
      </c>
      <c r="Q99" s="20">
        <f t="shared" si="23"/>
        <v>54.5</v>
      </c>
      <c r="R99">
        <v>90</v>
      </c>
      <c r="S99">
        <v>87</v>
      </c>
      <c r="T99">
        <v>76</v>
      </c>
      <c r="U99">
        <v>85</v>
      </c>
      <c r="V99" s="20">
        <f t="shared" si="24"/>
        <v>84.5</v>
      </c>
      <c r="W99">
        <v>92</v>
      </c>
      <c r="X99">
        <v>99</v>
      </c>
      <c r="Y99">
        <v>99</v>
      </c>
      <c r="Z99">
        <v>89</v>
      </c>
      <c r="AA99" s="20">
        <f t="shared" si="25"/>
        <v>94.75</v>
      </c>
      <c r="AB99">
        <v>90</v>
      </c>
      <c r="AC99">
        <v>95</v>
      </c>
      <c r="AD99">
        <v>95</v>
      </c>
      <c r="AE99">
        <v>90</v>
      </c>
      <c r="AF99" s="20">
        <f t="shared" si="26"/>
        <v>92.5</v>
      </c>
      <c r="AK99" s="20" t="e">
        <f t="shared" si="27"/>
        <v>#DIV/0!</v>
      </c>
      <c r="AO99" s="20"/>
      <c r="AP99" s="20" t="e">
        <f t="shared" si="28"/>
        <v>#DIV/0!</v>
      </c>
      <c r="AQ99" s="147">
        <v>45481</v>
      </c>
      <c r="AR99">
        <v>91</v>
      </c>
      <c r="AS99">
        <v>97</v>
      </c>
      <c r="AT99">
        <v>96</v>
      </c>
      <c r="AU99">
        <v>95</v>
      </c>
      <c r="AV99" s="20">
        <f t="shared" si="29"/>
        <v>94.75</v>
      </c>
      <c r="AW99">
        <v>35</v>
      </c>
      <c r="AX99">
        <v>0</v>
      </c>
      <c r="AY99">
        <v>0</v>
      </c>
      <c r="AZ99" s="20">
        <f t="shared" si="30"/>
        <v>23.333333333333332</v>
      </c>
      <c r="BA99">
        <v>40</v>
      </c>
      <c r="BB99">
        <v>0</v>
      </c>
      <c r="BC99">
        <v>0</v>
      </c>
      <c r="BD99" s="20">
        <f t="shared" si="31"/>
        <v>26.666666666666668</v>
      </c>
      <c r="BE99">
        <v>0</v>
      </c>
      <c r="BF99">
        <v>0</v>
      </c>
      <c r="BG99">
        <v>0</v>
      </c>
      <c r="BH99" s="20">
        <f t="shared" si="32"/>
        <v>0</v>
      </c>
      <c r="BI99">
        <v>27</v>
      </c>
      <c r="BJ99">
        <v>16.36</v>
      </c>
      <c r="BK99" s="17">
        <f t="shared" si="33"/>
        <v>39.407407407407405</v>
      </c>
      <c r="BL99" s="17">
        <f t="shared" si="34"/>
        <v>1.762962962962962</v>
      </c>
      <c r="BM99" s="18">
        <f t="shared" si="35"/>
        <v>45507.762962962966</v>
      </c>
      <c r="BN99" s="175">
        <f t="shared" si="36"/>
        <v>89.762962962966412</v>
      </c>
      <c r="BO99">
        <v>6</v>
      </c>
      <c r="BP99" s="22">
        <f t="shared" si="37"/>
        <v>8.6867999999999999</v>
      </c>
      <c r="BQ99">
        <v>8270</v>
      </c>
      <c r="BR99">
        <v>11.7</v>
      </c>
      <c r="BS99" s="20">
        <f t="shared" si="38"/>
        <v>9718.2995873614364</v>
      </c>
      <c r="BT99" s="20">
        <f t="shared" si="39"/>
        <v>180.66069745736004</v>
      </c>
      <c r="BU99">
        <v>69.2</v>
      </c>
      <c r="BV99" s="22">
        <v>4.7</v>
      </c>
      <c r="BW99" s="22">
        <v>4.83</v>
      </c>
      <c r="BX99" s="159">
        <f t="shared" si="40"/>
        <v>48.641560693641615</v>
      </c>
    </row>
    <row r="100" spans="2:76" x14ac:dyDescent="0.3">
      <c r="B100" s="63">
        <v>2024</v>
      </c>
      <c r="C100" t="s">
        <v>105</v>
      </c>
      <c r="D100">
        <v>415</v>
      </c>
      <c r="E100">
        <v>4</v>
      </c>
      <c r="F100">
        <v>5</v>
      </c>
      <c r="G100" t="s">
        <v>42</v>
      </c>
      <c r="H100">
        <v>5</v>
      </c>
      <c r="I100" s="64" t="s">
        <v>31</v>
      </c>
      <c r="J100">
        <v>39</v>
      </c>
      <c r="K100">
        <v>52</v>
      </c>
      <c r="L100" s="21">
        <f t="shared" si="22"/>
        <v>188.56195607128058</v>
      </c>
      <c r="M100">
        <v>55</v>
      </c>
      <c r="N100">
        <v>57</v>
      </c>
      <c r="O100">
        <v>61</v>
      </c>
      <c r="P100">
        <v>55</v>
      </c>
      <c r="Q100" s="20">
        <f t="shared" si="23"/>
        <v>57</v>
      </c>
      <c r="R100">
        <v>82</v>
      </c>
      <c r="S100">
        <v>76</v>
      </c>
      <c r="T100">
        <v>85</v>
      </c>
      <c r="U100">
        <v>80</v>
      </c>
      <c r="V100" s="20">
        <f t="shared" si="24"/>
        <v>80.75</v>
      </c>
      <c r="W100">
        <v>91</v>
      </c>
      <c r="X100">
        <v>87</v>
      </c>
      <c r="Y100">
        <v>88</v>
      </c>
      <c r="Z100">
        <v>90</v>
      </c>
      <c r="AA100" s="20">
        <f t="shared" si="25"/>
        <v>89</v>
      </c>
      <c r="AB100">
        <v>90</v>
      </c>
      <c r="AC100">
        <v>95</v>
      </c>
      <c r="AD100">
        <v>100</v>
      </c>
      <c r="AE100">
        <v>110</v>
      </c>
      <c r="AF100" s="20">
        <f t="shared" si="26"/>
        <v>98.75</v>
      </c>
      <c r="AK100" s="20" t="e">
        <f t="shared" si="27"/>
        <v>#DIV/0!</v>
      </c>
      <c r="AO100" s="20"/>
      <c r="AP100" s="20" t="e">
        <f t="shared" si="28"/>
        <v>#DIV/0!</v>
      </c>
      <c r="AQ100" s="147">
        <v>45483</v>
      </c>
      <c r="AR100">
        <v>94</v>
      </c>
      <c r="AS100">
        <v>99</v>
      </c>
      <c r="AT100">
        <v>97</v>
      </c>
      <c r="AU100">
        <v>108</v>
      </c>
      <c r="AV100" s="20">
        <f t="shared" si="29"/>
        <v>99.5</v>
      </c>
      <c r="AW100">
        <v>25</v>
      </c>
      <c r="AX100">
        <v>0</v>
      </c>
      <c r="AY100">
        <v>0</v>
      </c>
      <c r="AZ100" s="20">
        <f t="shared" si="30"/>
        <v>16.666666666666668</v>
      </c>
      <c r="BA100">
        <v>40</v>
      </c>
      <c r="BB100">
        <v>0</v>
      </c>
      <c r="BC100">
        <v>0</v>
      </c>
      <c r="BD100" s="20">
        <f t="shared" si="31"/>
        <v>26.666666666666668</v>
      </c>
      <c r="BE100">
        <v>0</v>
      </c>
      <c r="BF100">
        <v>0</v>
      </c>
      <c r="BG100">
        <v>0</v>
      </c>
      <c r="BH100" s="20">
        <f t="shared" si="32"/>
        <v>0</v>
      </c>
      <c r="BI100">
        <v>25.8</v>
      </c>
      <c r="BJ100">
        <v>14.66</v>
      </c>
      <c r="BK100" s="17">
        <f t="shared" si="33"/>
        <v>43.178294573643413</v>
      </c>
      <c r="BL100" s="17">
        <f t="shared" si="34"/>
        <v>3.2713178294573653</v>
      </c>
      <c r="BM100" s="18">
        <f t="shared" si="35"/>
        <v>45509.271317829458</v>
      </c>
      <c r="BN100" s="175">
        <f t="shared" si="36"/>
        <v>91.271317829457985</v>
      </c>
      <c r="BO100">
        <v>6</v>
      </c>
      <c r="BP100" s="22">
        <f t="shared" si="37"/>
        <v>8.6867999999999999</v>
      </c>
      <c r="BQ100">
        <v>8140.0000000000009</v>
      </c>
      <c r="BR100">
        <v>11.9</v>
      </c>
      <c r="BS100" s="20">
        <f t="shared" si="38"/>
        <v>9543.8671017963352</v>
      </c>
      <c r="BT100" s="20">
        <f t="shared" si="39"/>
        <v>177.41804227698316</v>
      </c>
      <c r="BU100">
        <v>68.900000000000006</v>
      </c>
      <c r="BV100" s="22">
        <v>4.68</v>
      </c>
      <c r="BW100" s="22">
        <v>4.95</v>
      </c>
      <c r="BX100" s="159">
        <f t="shared" si="40"/>
        <v>49.04063583815028</v>
      </c>
    </row>
    <row r="101" spans="2:76" x14ac:dyDescent="0.3">
      <c r="B101" s="63">
        <v>2024</v>
      </c>
      <c r="C101" t="s">
        <v>105</v>
      </c>
      <c r="D101">
        <v>416</v>
      </c>
      <c r="E101">
        <v>4</v>
      </c>
      <c r="F101">
        <v>3</v>
      </c>
      <c r="G101" t="s">
        <v>42</v>
      </c>
      <c r="H101">
        <v>3</v>
      </c>
      <c r="I101" s="64" t="s">
        <v>39</v>
      </c>
      <c r="J101">
        <v>42</v>
      </c>
      <c r="K101">
        <v>50</v>
      </c>
      <c r="L101" s="21">
        <f t="shared" si="22"/>
        <v>190.63406547865728</v>
      </c>
      <c r="M101">
        <v>67</v>
      </c>
      <c r="N101">
        <v>63</v>
      </c>
      <c r="O101">
        <v>57</v>
      </c>
      <c r="P101">
        <v>59</v>
      </c>
      <c r="Q101" s="20">
        <f t="shared" si="23"/>
        <v>61.5</v>
      </c>
      <c r="R101">
        <v>92</v>
      </c>
      <c r="S101">
        <v>94</v>
      </c>
      <c r="T101">
        <v>87</v>
      </c>
      <c r="U101">
        <v>81</v>
      </c>
      <c r="V101" s="20">
        <f t="shared" si="24"/>
        <v>88.5</v>
      </c>
      <c r="W101">
        <v>95</v>
      </c>
      <c r="X101">
        <v>94</v>
      </c>
      <c r="Y101">
        <v>96</v>
      </c>
      <c r="Z101">
        <v>95</v>
      </c>
      <c r="AA101" s="20">
        <f t="shared" si="25"/>
        <v>95</v>
      </c>
      <c r="AB101">
        <v>90</v>
      </c>
      <c r="AC101">
        <v>100</v>
      </c>
      <c r="AD101">
        <v>110</v>
      </c>
      <c r="AE101">
        <v>95</v>
      </c>
      <c r="AF101" s="20">
        <f t="shared" si="26"/>
        <v>98.75</v>
      </c>
      <c r="AK101" s="20" t="e">
        <f t="shared" si="27"/>
        <v>#DIV/0!</v>
      </c>
      <c r="AO101" s="20"/>
      <c r="AP101" s="20" t="e">
        <f t="shared" si="28"/>
        <v>#DIV/0!</v>
      </c>
      <c r="AQ101" s="147">
        <v>45481</v>
      </c>
      <c r="AR101">
        <v>102</v>
      </c>
      <c r="AS101">
        <v>93</v>
      </c>
      <c r="AT101">
        <v>102</v>
      </c>
      <c r="AU101">
        <v>108</v>
      </c>
      <c r="AV101" s="20">
        <f t="shared" si="29"/>
        <v>101.25</v>
      </c>
      <c r="AW101">
        <v>10</v>
      </c>
      <c r="AX101">
        <v>0</v>
      </c>
      <c r="AY101">
        <v>0</v>
      </c>
      <c r="AZ101" s="20">
        <f t="shared" si="30"/>
        <v>6.666666666666667</v>
      </c>
      <c r="BA101">
        <v>2</v>
      </c>
      <c r="BB101">
        <v>0</v>
      </c>
      <c r="BC101">
        <v>0</v>
      </c>
      <c r="BD101" s="20">
        <f t="shared" si="31"/>
        <v>1.3333333333333333</v>
      </c>
      <c r="BE101">
        <v>0</v>
      </c>
      <c r="BF101">
        <v>0</v>
      </c>
      <c r="BG101">
        <v>0</v>
      </c>
      <c r="BH101" s="20">
        <f t="shared" si="32"/>
        <v>0</v>
      </c>
      <c r="BI101">
        <v>27.1</v>
      </c>
      <c r="BJ101">
        <v>16.079999999999998</v>
      </c>
      <c r="BK101" s="17">
        <f t="shared" si="33"/>
        <v>40.664206642066432</v>
      </c>
      <c r="BL101" s="17">
        <f t="shared" si="34"/>
        <v>2.2656826568265727</v>
      </c>
      <c r="BM101" s="18">
        <f t="shared" si="35"/>
        <v>45508.265682656827</v>
      </c>
      <c r="BN101" s="175">
        <f t="shared" si="36"/>
        <v>90.265682656827266</v>
      </c>
      <c r="BO101">
        <v>6</v>
      </c>
      <c r="BP101" s="22">
        <f t="shared" si="37"/>
        <v>8.6867999999999999</v>
      </c>
      <c r="BQ101">
        <v>7940</v>
      </c>
      <c r="BR101">
        <v>11.5</v>
      </c>
      <c r="BS101" s="20">
        <f t="shared" si="38"/>
        <v>9351.6413581858706</v>
      </c>
      <c r="BT101" s="20">
        <f t="shared" si="39"/>
        <v>173.84461499191681</v>
      </c>
      <c r="BU101">
        <v>69.8</v>
      </c>
      <c r="BV101" s="22">
        <v>5.2</v>
      </c>
      <c r="BW101" s="22">
        <v>5.3</v>
      </c>
      <c r="BX101" s="159">
        <f t="shared" si="40"/>
        <v>53.713872832369944</v>
      </c>
    </row>
    <row r="102" spans="2:76" x14ac:dyDescent="0.3">
      <c r="B102" s="63">
        <v>2024</v>
      </c>
      <c r="C102" t="s">
        <v>105</v>
      </c>
      <c r="D102">
        <v>417</v>
      </c>
      <c r="E102">
        <v>4</v>
      </c>
      <c r="F102">
        <v>2</v>
      </c>
      <c r="G102" t="s">
        <v>42</v>
      </c>
      <c r="H102">
        <v>2</v>
      </c>
      <c r="I102" s="64" t="s">
        <v>32</v>
      </c>
      <c r="J102">
        <v>52</v>
      </c>
      <c r="K102">
        <v>50</v>
      </c>
      <c r="L102" s="21">
        <f t="shared" si="22"/>
        <v>211.35515955242437</v>
      </c>
      <c r="M102">
        <v>55</v>
      </c>
      <c r="N102">
        <v>59</v>
      </c>
      <c r="O102">
        <v>70</v>
      </c>
      <c r="P102">
        <v>55</v>
      </c>
      <c r="Q102" s="20">
        <f t="shared" si="23"/>
        <v>59.75</v>
      </c>
      <c r="R102">
        <v>88</v>
      </c>
      <c r="S102">
        <v>80</v>
      </c>
      <c r="T102">
        <v>92</v>
      </c>
      <c r="U102">
        <v>87</v>
      </c>
      <c r="V102" s="20">
        <f t="shared" si="24"/>
        <v>86.75</v>
      </c>
      <c r="W102">
        <v>97</v>
      </c>
      <c r="X102">
        <v>101</v>
      </c>
      <c r="Y102">
        <v>102</v>
      </c>
      <c r="Z102">
        <v>100</v>
      </c>
      <c r="AA102" s="20">
        <f t="shared" si="25"/>
        <v>100</v>
      </c>
      <c r="AB102">
        <v>95</v>
      </c>
      <c r="AC102">
        <v>110</v>
      </c>
      <c r="AD102">
        <v>100</v>
      </c>
      <c r="AE102">
        <v>90</v>
      </c>
      <c r="AF102" s="20">
        <f t="shared" si="26"/>
        <v>98.75</v>
      </c>
      <c r="AK102" s="20" t="e">
        <f t="shared" si="27"/>
        <v>#DIV/0!</v>
      </c>
      <c r="AO102" s="20"/>
      <c r="AP102" s="20" t="e">
        <f t="shared" si="28"/>
        <v>#DIV/0!</v>
      </c>
      <c r="AQ102" s="147">
        <v>45482</v>
      </c>
      <c r="AR102">
        <v>105</v>
      </c>
      <c r="AS102">
        <v>105</v>
      </c>
      <c r="AT102">
        <v>93</v>
      </c>
      <c r="AU102">
        <v>103</v>
      </c>
      <c r="AV102" s="20">
        <f t="shared" si="29"/>
        <v>101.5</v>
      </c>
      <c r="AW102">
        <v>15</v>
      </c>
      <c r="AX102">
        <v>0</v>
      </c>
      <c r="AY102">
        <v>0</v>
      </c>
      <c r="AZ102" s="20">
        <f t="shared" si="30"/>
        <v>10</v>
      </c>
      <c r="BA102">
        <v>0</v>
      </c>
      <c r="BB102">
        <v>0</v>
      </c>
      <c r="BC102">
        <v>0</v>
      </c>
      <c r="BD102" s="20">
        <f t="shared" si="31"/>
        <v>0</v>
      </c>
      <c r="BE102">
        <v>0</v>
      </c>
      <c r="BF102">
        <v>0</v>
      </c>
      <c r="BG102">
        <v>0</v>
      </c>
      <c r="BH102" s="20">
        <f t="shared" si="32"/>
        <v>0</v>
      </c>
      <c r="BI102">
        <v>27.6</v>
      </c>
      <c r="BJ102">
        <v>16.11</v>
      </c>
      <c r="BK102" s="17">
        <f t="shared" si="33"/>
        <v>41.630434782608702</v>
      </c>
      <c r="BL102" s="17">
        <f t="shared" si="34"/>
        <v>2.6521739130434812</v>
      </c>
      <c r="BM102" s="18">
        <f t="shared" si="35"/>
        <v>45508.65217391304</v>
      </c>
      <c r="BN102" s="175">
        <f t="shared" si="36"/>
        <v>90.652173913040315</v>
      </c>
      <c r="BO102">
        <v>6</v>
      </c>
      <c r="BP102" s="22">
        <f t="shared" si="37"/>
        <v>8.6867999999999999</v>
      </c>
      <c r="BQ102">
        <v>8400</v>
      </c>
      <c r="BR102">
        <v>6.2</v>
      </c>
      <c r="BS102" s="20">
        <f t="shared" ref="BS102:BS112" si="42">(BQ102*(100-BR102)/(100-13.5))/BP102*10000/1000</f>
        <v>10485.911652281677</v>
      </c>
      <c r="BT102" s="20">
        <f t="shared" si="39"/>
        <v>194.93040892062092</v>
      </c>
      <c r="BU102">
        <v>36.9</v>
      </c>
      <c r="BV102" s="22">
        <v>5.0599999999999996</v>
      </c>
      <c r="BW102" s="22">
        <v>5.05</v>
      </c>
      <c r="BX102" s="159">
        <f t="shared" si="40"/>
        <v>54.816069364161848</v>
      </c>
    </row>
    <row r="103" spans="2:76" x14ac:dyDescent="0.3">
      <c r="B103" s="63">
        <v>2024</v>
      </c>
      <c r="C103" t="s">
        <v>105</v>
      </c>
      <c r="D103">
        <v>418</v>
      </c>
      <c r="E103">
        <v>4</v>
      </c>
      <c r="F103">
        <v>1</v>
      </c>
      <c r="G103" t="s">
        <v>42</v>
      </c>
      <c r="H103">
        <v>1</v>
      </c>
      <c r="I103" s="64" t="s">
        <v>37</v>
      </c>
      <c r="J103">
        <v>47</v>
      </c>
      <c r="K103">
        <v>46</v>
      </c>
      <c r="L103" s="21">
        <f t="shared" si="22"/>
        <v>192.70617488603401</v>
      </c>
      <c r="M103">
        <v>67</v>
      </c>
      <c r="N103">
        <v>72</v>
      </c>
      <c r="O103">
        <v>64</v>
      </c>
      <c r="P103">
        <v>58</v>
      </c>
      <c r="Q103" s="20">
        <f t="shared" si="23"/>
        <v>65.25</v>
      </c>
      <c r="R103">
        <v>82</v>
      </c>
      <c r="S103">
        <v>85</v>
      </c>
      <c r="T103">
        <v>98</v>
      </c>
      <c r="U103">
        <v>87</v>
      </c>
      <c r="V103" s="20">
        <f t="shared" si="24"/>
        <v>88</v>
      </c>
      <c r="W103">
        <v>99</v>
      </c>
      <c r="X103">
        <v>101</v>
      </c>
      <c r="Y103">
        <v>105</v>
      </c>
      <c r="Z103">
        <v>101</v>
      </c>
      <c r="AA103" s="20">
        <f t="shared" si="25"/>
        <v>101.5</v>
      </c>
      <c r="AB103">
        <v>100</v>
      </c>
      <c r="AC103">
        <v>110</v>
      </c>
      <c r="AD103">
        <v>110</v>
      </c>
      <c r="AE103">
        <v>95</v>
      </c>
      <c r="AF103" s="20">
        <f t="shared" si="26"/>
        <v>103.75</v>
      </c>
      <c r="AK103" s="20" t="e">
        <f t="shared" si="27"/>
        <v>#DIV/0!</v>
      </c>
      <c r="AO103" s="20"/>
      <c r="AP103" s="20" t="e">
        <f t="shared" si="28"/>
        <v>#DIV/0!</v>
      </c>
      <c r="AQ103" s="147">
        <v>45480</v>
      </c>
      <c r="AR103">
        <v>98</v>
      </c>
      <c r="AS103">
        <v>106</v>
      </c>
      <c r="AT103">
        <v>101</v>
      </c>
      <c r="AU103">
        <v>101</v>
      </c>
      <c r="AV103" s="20">
        <f t="shared" si="29"/>
        <v>101.5</v>
      </c>
      <c r="AW103">
        <v>10</v>
      </c>
      <c r="AX103">
        <v>0</v>
      </c>
      <c r="AY103">
        <v>0</v>
      </c>
      <c r="AZ103" s="20">
        <f t="shared" si="30"/>
        <v>6.666666666666667</v>
      </c>
      <c r="BA103">
        <v>0</v>
      </c>
      <c r="BB103">
        <v>0</v>
      </c>
      <c r="BC103">
        <v>0</v>
      </c>
      <c r="BD103" s="20">
        <f t="shared" si="31"/>
        <v>0</v>
      </c>
      <c r="BE103">
        <v>0</v>
      </c>
      <c r="BF103">
        <v>0</v>
      </c>
      <c r="BG103">
        <v>0</v>
      </c>
      <c r="BH103" s="20">
        <f t="shared" si="32"/>
        <v>0</v>
      </c>
      <c r="BI103">
        <v>27.3</v>
      </c>
      <c r="BJ103">
        <v>16.059999999999999</v>
      </c>
      <c r="BK103" s="17">
        <f t="shared" si="33"/>
        <v>41.172161172161175</v>
      </c>
      <c r="BL103" s="17">
        <f t="shared" si="34"/>
        <v>2.4688644688644699</v>
      </c>
      <c r="BM103" s="18">
        <f t="shared" si="35"/>
        <v>45508.468864468865</v>
      </c>
      <c r="BN103" s="175">
        <f t="shared" si="36"/>
        <v>90.468864468864922</v>
      </c>
      <c r="BO103">
        <v>6</v>
      </c>
      <c r="BP103" s="22">
        <f t="shared" si="37"/>
        <v>8.6867999999999999</v>
      </c>
      <c r="BQ103">
        <v>8380</v>
      </c>
      <c r="BR103">
        <v>13.1</v>
      </c>
      <c r="BS103" s="20">
        <f t="shared" si="42"/>
        <v>9691.4300376280153</v>
      </c>
      <c r="BT103" s="20">
        <f t="shared" si="39"/>
        <v>180.16119941744387</v>
      </c>
      <c r="BU103">
        <v>69.400000000000006</v>
      </c>
      <c r="BV103" s="22">
        <v>5.04</v>
      </c>
      <c r="BW103" s="22">
        <v>5.23</v>
      </c>
      <c r="BX103" s="159">
        <f t="shared" si="40"/>
        <v>51.587456647398838</v>
      </c>
    </row>
    <row r="104" spans="2:76" x14ac:dyDescent="0.3">
      <c r="B104" s="63">
        <v>2024</v>
      </c>
      <c r="C104" t="s">
        <v>105</v>
      </c>
      <c r="D104">
        <v>419</v>
      </c>
      <c r="E104">
        <v>4</v>
      </c>
      <c r="F104">
        <v>13</v>
      </c>
      <c r="G104" t="s">
        <v>106</v>
      </c>
      <c r="H104">
        <v>4</v>
      </c>
      <c r="I104" s="64" t="s">
        <v>36</v>
      </c>
      <c r="J104">
        <v>49</v>
      </c>
      <c r="K104">
        <v>45</v>
      </c>
      <c r="L104" s="21">
        <f t="shared" si="22"/>
        <v>194.77828429341071</v>
      </c>
      <c r="M104">
        <v>70</v>
      </c>
      <c r="N104">
        <v>74</v>
      </c>
      <c r="O104">
        <v>76</v>
      </c>
      <c r="P104">
        <v>72</v>
      </c>
      <c r="Q104" s="20">
        <f t="shared" si="23"/>
        <v>73</v>
      </c>
      <c r="R104">
        <v>97</v>
      </c>
      <c r="S104">
        <v>99</v>
      </c>
      <c r="T104">
        <v>88</v>
      </c>
      <c r="U104">
        <v>89</v>
      </c>
      <c r="V104" s="20">
        <f t="shared" si="24"/>
        <v>93.25</v>
      </c>
      <c r="W104">
        <v>95</v>
      </c>
      <c r="X104">
        <v>97</v>
      </c>
      <c r="Y104">
        <v>98</v>
      </c>
      <c r="Z104">
        <v>97</v>
      </c>
      <c r="AA104" s="20">
        <f t="shared" si="25"/>
        <v>96.75</v>
      </c>
      <c r="AB104">
        <v>95</v>
      </c>
      <c r="AC104">
        <v>100</v>
      </c>
      <c r="AD104">
        <v>105</v>
      </c>
      <c r="AE104">
        <v>100</v>
      </c>
      <c r="AF104" s="20">
        <f t="shared" si="26"/>
        <v>100</v>
      </c>
      <c r="AK104" s="20" t="e">
        <f t="shared" si="27"/>
        <v>#DIV/0!</v>
      </c>
      <c r="AO104" s="20"/>
      <c r="AP104" s="20" t="e">
        <f t="shared" si="28"/>
        <v>#DIV/0!</v>
      </c>
      <c r="AQ104" s="147">
        <v>45480</v>
      </c>
      <c r="AR104">
        <v>101</v>
      </c>
      <c r="AS104">
        <v>101</v>
      </c>
      <c r="AT104">
        <v>100</v>
      </c>
      <c r="AU104">
        <v>97</v>
      </c>
      <c r="AV104" s="20">
        <f t="shared" si="29"/>
        <v>99.75</v>
      </c>
      <c r="AW104">
        <v>5</v>
      </c>
      <c r="AX104">
        <v>0</v>
      </c>
      <c r="AY104">
        <v>0</v>
      </c>
      <c r="AZ104" s="20">
        <f t="shared" si="30"/>
        <v>3.3333333333333335</v>
      </c>
      <c r="BA104">
        <v>0</v>
      </c>
      <c r="BB104">
        <v>0</v>
      </c>
      <c r="BC104">
        <v>0</v>
      </c>
      <c r="BD104" s="20">
        <f t="shared" si="31"/>
        <v>0</v>
      </c>
      <c r="BE104">
        <v>0</v>
      </c>
      <c r="BF104">
        <v>0</v>
      </c>
      <c r="BG104">
        <v>0</v>
      </c>
      <c r="BH104" s="20">
        <f t="shared" si="32"/>
        <v>0</v>
      </c>
      <c r="BI104">
        <v>22.84</v>
      </c>
      <c r="BJ104">
        <v>15.04</v>
      </c>
      <c r="BK104" s="17">
        <f t="shared" si="33"/>
        <v>34.150612959719794</v>
      </c>
      <c r="BL104" s="17">
        <f t="shared" si="34"/>
        <v>-0.33975481611208236</v>
      </c>
      <c r="BM104" s="18">
        <f t="shared" si="35"/>
        <v>45505.660245183884</v>
      </c>
      <c r="BN104" s="175">
        <f t="shared" si="36"/>
        <v>87.660245183884399</v>
      </c>
      <c r="BO104">
        <v>6</v>
      </c>
      <c r="BP104" s="22">
        <f t="shared" si="37"/>
        <v>8.6867999999999999</v>
      </c>
      <c r="BQ104">
        <v>8220</v>
      </c>
      <c r="BR104">
        <v>12.5</v>
      </c>
      <c r="BS104" s="20">
        <f t="shared" si="42"/>
        <v>9572.027561051369</v>
      </c>
      <c r="BT104" s="20">
        <f t="shared" si="39"/>
        <v>177.94153799390364</v>
      </c>
      <c r="BU104">
        <v>66.2</v>
      </c>
      <c r="BV104" s="22">
        <v>4.72</v>
      </c>
      <c r="BW104" s="22">
        <v>5.09</v>
      </c>
      <c r="BX104" s="159">
        <f t="shared" si="40"/>
        <v>49.617052023121389</v>
      </c>
    </row>
    <row r="105" spans="2:76" x14ac:dyDescent="0.3">
      <c r="B105" s="63">
        <v>2024</v>
      </c>
      <c r="C105" t="s">
        <v>105</v>
      </c>
      <c r="D105">
        <v>420</v>
      </c>
      <c r="E105">
        <v>4</v>
      </c>
      <c r="F105">
        <v>10</v>
      </c>
      <c r="G105" t="s">
        <v>106</v>
      </c>
      <c r="H105">
        <v>1</v>
      </c>
      <c r="I105" s="64" t="s">
        <v>37</v>
      </c>
      <c r="J105">
        <v>49</v>
      </c>
      <c r="K105">
        <v>38</v>
      </c>
      <c r="L105" s="21">
        <f t="shared" si="22"/>
        <v>180.27351844177375</v>
      </c>
      <c r="M105">
        <v>75</v>
      </c>
      <c r="N105">
        <v>68</v>
      </c>
      <c r="O105">
        <v>78</v>
      </c>
      <c r="P105">
        <v>74</v>
      </c>
      <c r="Q105" s="20">
        <f t="shared" si="23"/>
        <v>73.75</v>
      </c>
      <c r="R105">
        <v>87</v>
      </c>
      <c r="S105">
        <v>99</v>
      </c>
      <c r="T105">
        <v>97</v>
      </c>
      <c r="U105">
        <v>103</v>
      </c>
      <c r="V105" s="20">
        <f t="shared" si="24"/>
        <v>96.5</v>
      </c>
      <c r="W105">
        <v>102</v>
      </c>
      <c r="X105">
        <v>101</v>
      </c>
      <c r="Y105">
        <v>98</v>
      </c>
      <c r="Z105">
        <v>100</v>
      </c>
      <c r="AA105" s="20">
        <f t="shared" si="25"/>
        <v>100.25</v>
      </c>
      <c r="AB105">
        <v>100</v>
      </c>
      <c r="AC105">
        <v>105</v>
      </c>
      <c r="AD105">
        <v>105</v>
      </c>
      <c r="AE105">
        <v>100</v>
      </c>
      <c r="AF105" s="20">
        <f t="shared" si="26"/>
        <v>102.5</v>
      </c>
      <c r="AK105" s="20" t="e">
        <f t="shared" si="27"/>
        <v>#DIV/0!</v>
      </c>
      <c r="AO105" s="20"/>
      <c r="AP105" s="20" t="e">
        <f t="shared" si="28"/>
        <v>#DIV/0!</v>
      </c>
      <c r="AQ105" s="147">
        <v>45479</v>
      </c>
      <c r="AR105">
        <v>100</v>
      </c>
      <c r="AS105">
        <v>101</v>
      </c>
      <c r="AT105">
        <v>100</v>
      </c>
      <c r="AU105">
        <v>102</v>
      </c>
      <c r="AV105" s="20">
        <f t="shared" si="29"/>
        <v>100.75</v>
      </c>
      <c r="AW105">
        <v>40</v>
      </c>
      <c r="AX105">
        <v>0</v>
      </c>
      <c r="AY105">
        <v>0</v>
      </c>
      <c r="AZ105" s="20">
        <f t="shared" si="30"/>
        <v>26.666666666666668</v>
      </c>
      <c r="BA105">
        <v>0</v>
      </c>
      <c r="BB105">
        <v>0</v>
      </c>
      <c r="BC105">
        <v>0</v>
      </c>
      <c r="BD105" s="20">
        <f t="shared" si="31"/>
        <v>0</v>
      </c>
      <c r="BE105">
        <v>0</v>
      </c>
      <c r="BF105">
        <v>0</v>
      </c>
      <c r="BG105">
        <v>0</v>
      </c>
      <c r="BH105" s="20">
        <f t="shared" si="32"/>
        <v>0</v>
      </c>
      <c r="BI105" s="40">
        <v>28.99</v>
      </c>
      <c r="BJ105">
        <v>15.86</v>
      </c>
      <c r="BK105" s="17">
        <f t="shared" si="33"/>
        <v>45.291479820627799</v>
      </c>
      <c r="BL105" s="17">
        <f t="shared" si="34"/>
        <v>4.1165919282511201</v>
      </c>
      <c r="BM105" s="18">
        <f t="shared" si="35"/>
        <v>45510.11659192825</v>
      </c>
      <c r="BN105" s="175">
        <f t="shared" si="36"/>
        <v>92.116591928250273</v>
      </c>
      <c r="BO105">
        <v>6</v>
      </c>
      <c r="BP105" s="22">
        <f t="shared" si="37"/>
        <v>8.6867999999999999</v>
      </c>
      <c r="BQ105">
        <v>8280</v>
      </c>
      <c r="BR105">
        <v>12.2</v>
      </c>
      <c r="BS105" s="20">
        <f t="shared" si="42"/>
        <v>9674.9543057954379</v>
      </c>
      <c r="BT105" s="20">
        <f t="shared" si="39"/>
        <v>179.85491978722288</v>
      </c>
      <c r="BU105">
        <v>67.8</v>
      </c>
      <c r="BV105" s="22">
        <v>4.63</v>
      </c>
      <c r="BW105" s="22">
        <v>4.67</v>
      </c>
      <c r="BX105" s="159">
        <f t="shared" si="40"/>
        <v>47.198843930635839</v>
      </c>
    </row>
    <row r="106" spans="2:76" x14ac:dyDescent="0.3">
      <c r="B106" s="63">
        <v>2024</v>
      </c>
      <c r="C106" t="s">
        <v>105</v>
      </c>
      <c r="D106">
        <v>421</v>
      </c>
      <c r="E106">
        <v>4</v>
      </c>
      <c r="F106">
        <v>16</v>
      </c>
      <c r="G106" t="s">
        <v>106</v>
      </c>
      <c r="H106">
        <v>7</v>
      </c>
      <c r="I106" s="64" t="s">
        <v>34</v>
      </c>
      <c r="J106">
        <v>42</v>
      </c>
      <c r="K106">
        <v>51</v>
      </c>
      <c r="L106" s="21">
        <f t="shared" si="22"/>
        <v>192.70617488603401</v>
      </c>
      <c r="M106">
        <v>74</v>
      </c>
      <c r="N106">
        <v>72</v>
      </c>
      <c r="O106">
        <v>70</v>
      </c>
      <c r="P106">
        <v>69</v>
      </c>
      <c r="Q106" s="20">
        <f t="shared" si="23"/>
        <v>71.25</v>
      </c>
      <c r="R106">
        <v>90</v>
      </c>
      <c r="S106">
        <v>92</v>
      </c>
      <c r="T106">
        <v>89</v>
      </c>
      <c r="U106">
        <v>90</v>
      </c>
      <c r="V106" s="20">
        <f t="shared" si="24"/>
        <v>90.25</v>
      </c>
      <c r="W106">
        <v>95</v>
      </c>
      <c r="X106">
        <v>99</v>
      </c>
      <c r="Y106">
        <v>98</v>
      </c>
      <c r="Z106">
        <v>96</v>
      </c>
      <c r="AA106" s="20">
        <f t="shared" si="25"/>
        <v>97</v>
      </c>
      <c r="AB106">
        <v>100</v>
      </c>
      <c r="AC106">
        <v>95</v>
      </c>
      <c r="AD106">
        <v>100</v>
      </c>
      <c r="AE106">
        <v>100</v>
      </c>
      <c r="AF106" s="20">
        <f t="shared" si="26"/>
        <v>98.75</v>
      </c>
      <c r="AK106" s="20" t="e">
        <f t="shared" si="27"/>
        <v>#DIV/0!</v>
      </c>
      <c r="AO106" s="20"/>
      <c r="AP106" s="20" t="e">
        <f t="shared" si="28"/>
        <v>#DIV/0!</v>
      </c>
      <c r="AQ106" s="147">
        <v>45480</v>
      </c>
      <c r="AR106">
        <v>97</v>
      </c>
      <c r="AS106">
        <v>97</v>
      </c>
      <c r="AT106">
        <v>98</v>
      </c>
      <c r="AU106">
        <v>97</v>
      </c>
      <c r="AV106" s="20">
        <f t="shared" si="29"/>
        <v>97.25</v>
      </c>
      <c r="AW106">
        <v>30</v>
      </c>
      <c r="AX106">
        <v>0</v>
      </c>
      <c r="AY106">
        <v>0</v>
      </c>
      <c r="AZ106" s="20">
        <f t="shared" si="30"/>
        <v>20</v>
      </c>
      <c r="BA106">
        <v>0</v>
      </c>
      <c r="BB106">
        <v>0</v>
      </c>
      <c r="BC106">
        <v>0</v>
      </c>
      <c r="BD106" s="20">
        <f t="shared" si="31"/>
        <v>0</v>
      </c>
      <c r="BE106">
        <v>0</v>
      </c>
      <c r="BF106">
        <v>0</v>
      </c>
      <c r="BG106">
        <v>0</v>
      </c>
      <c r="BH106" s="20">
        <f t="shared" si="32"/>
        <v>0</v>
      </c>
      <c r="BI106">
        <v>24.1</v>
      </c>
      <c r="BJ106">
        <v>13.56</v>
      </c>
      <c r="BK106" s="17">
        <f t="shared" si="33"/>
        <v>43.734439834024897</v>
      </c>
      <c r="BL106" s="17">
        <f t="shared" si="34"/>
        <v>3.493775933609959</v>
      </c>
      <c r="BM106" s="18">
        <f t="shared" si="35"/>
        <v>45509.49377593361</v>
      </c>
      <c r="BN106" s="175">
        <f t="shared" si="36"/>
        <v>91.493775933609868</v>
      </c>
      <c r="BO106">
        <v>6</v>
      </c>
      <c r="BP106" s="22">
        <f t="shared" si="37"/>
        <v>8.6867999999999999</v>
      </c>
      <c r="BQ106">
        <v>8380</v>
      </c>
      <c r="BR106">
        <v>12.8</v>
      </c>
      <c r="BS106" s="20">
        <f t="shared" si="42"/>
        <v>9724.8872184253523</v>
      </c>
      <c r="BT106" s="20">
        <f t="shared" si="39"/>
        <v>180.78315982970204</v>
      </c>
      <c r="BU106">
        <v>66.400000000000006</v>
      </c>
      <c r="BV106" s="22">
        <v>4.4400000000000004</v>
      </c>
      <c r="BW106" s="22">
        <v>4.2699999999999996</v>
      </c>
      <c r="BX106" s="159">
        <f t="shared" si="40"/>
        <v>43.902427745664738</v>
      </c>
    </row>
    <row r="107" spans="2:76" x14ac:dyDescent="0.3">
      <c r="B107" s="63">
        <v>2024</v>
      </c>
      <c r="C107" t="s">
        <v>105</v>
      </c>
      <c r="D107">
        <v>422</v>
      </c>
      <c r="E107">
        <v>4</v>
      </c>
      <c r="F107">
        <v>14</v>
      </c>
      <c r="G107" t="s">
        <v>106</v>
      </c>
      <c r="H107">
        <v>5</v>
      </c>
      <c r="I107" s="64" t="s">
        <v>31</v>
      </c>
      <c r="J107">
        <v>45</v>
      </c>
      <c r="K107">
        <v>56</v>
      </c>
      <c r="L107" s="21">
        <f t="shared" si="22"/>
        <v>209.28305014504767</v>
      </c>
      <c r="M107">
        <v>68</v>
      </c>
      <c r="N107">
        <v>66</v>
      </c>
      <c r="O107">
        <v>70</v>
      </c>
      <c r="P107">
        <v>68</v>
      </c>
      <c r="Q107" s="20">
        <f t="shared" si="23"/>
        <v>68</v>
      </c>
      <c r="R107">
        <v>98</v>
      </c>
      <c r="S107">
        <v>97</v>
      </c>
      <c r="T107">
        <v>92</v>
      </c>
      <c r="U107">
        <v>93</v>
      </c>
      <c r="V107" s="20">
        <f t="shared" si="24"/>
        <v>95</v>
      </c>
      <c r="W107">
        <v>94</v>
      </c>
      <c r="X107">
        <v>97</v>
      </c>
      <c r="Y107">
        <v>96</v>
      </c>
      <c r="Z107">
        <v>99</v>
      </c>
      <c r="AA107" s="20">
        <f t="shared" si="25"/>
        <v>96.5</v>
      </c>
      <c r="AB107">
        <v>95</v>
      </c>
      <c r="AC107">
        <v>100</v>
      </c>
      <c r="AD107">
        <v>105</v>
      </c>
      <c r="AE107">
        <v>100</v>
      </c>
      <c r="AF107" s="20">
        <f t="shared" si="26"/>
        <v>100</v>
      </c>
      <c r="AK107" s="20" t="e">
        <f t="shared" si="27"/>
        <v>#DIV/0!</v>
      </c>
      <c r="AO107" s="20"/>
      <c r="AP107" s="20" t="e">
        <f t="shared" si="28"/>
        <v>#DIV/0!</v>
      </c>
      <c r="AQ107" s="147">
        <v>45480</v>
      </c>
      <c r="AR107">
        <v>98</v>
      </c>
      <c r="AS107">
        <v>98</v>
      </c>
      <c r="AT107">
        <v>98</v>
      </c>
      <c r="AU107">
        <v>100</v>
      </c>
      <c r="AV107" s="20">
        <f t="shared" si="29"/>
        <v>98.5</v>
      </c>
      <c r="AW107">
        <v>20</v>
      </c>
      <c r="AX107">
        <v>0</v>
      </c>
      <c r="AY107">
        <v>0</v>
      </c>
      <c r="AZ107" s="20">
        <f t="shared" si="30"/>
        <v>13.333333333333334</v>
      </c>
      <c r="BA107">
        <v>0</v>
      </c>
      <c r="BB107">
        <v>0</v>
      </c>
      <c r="BC107">
        <v>0</v>
      </c>
      <c r="BD107" s="20">
        <f t="shared" si="31"/>
        <v>0</v>
      </c>
      <c r="BE107">
        <v>0</v>
      </c>
      <c r="BF107">
        <v>0</v>
      </c>
      <c r="BG107">
        <v>0</v>
      </c>
      <c r="BH107" s="20">
        <f t="shared" si="32"/>
        <v>0</v>
      </c>
      <c r="BI107">
        <v>21.3</v>
      </c>
      <c r="BJ107">
        <v>13.19</v>
      </c>
      <c r="BK107" s="17">
        <f t="shared" si="33"/>
        <v>38.075117370892023</v>
      </c>
      <c r="BL107" s="17">
        <f t="shared" si="34"/>
        <v>1.2300469483568093</v>
      </c>
      <c r="BM107" s="18">
        <f t="shared" si="35"/>
        <v>45507.23004694836</v>
      </c>
      <c r="BN107" s="175">
        <f t="shared" si="36"/>
        <v>89.230046948359814</v>
      </c>
      <c r="BO107">
        <v>6</v>
      </c>
      <c r="BP107" s="22">
        <f t="shared" si="37"/>
        <v>8.6867999999999999</v>
      </c>
      <c r="BQ107">
        <v>8460</v>
      </c>
      <c r="BR107">
        <v>11.4</v>
      </c>
      <c r="BS107" s="20">
        <f t="shared" si="42"/>
        <v>9975.3502823099352</v>
      </c>
      <c r="BT107" s="20">
        <f t="shared" si="39"/>
        <v>185.43920396601803</v>
      </c>
      <c r="BU107">
        <v>66.900000000000006</v>
      </c>
      <c r="BV107" s="22">
        <v>4.37</v>
      </c>
      <c r="BW107" s="22">
        <v>4.4000000000000004</v>
      </c>
      <c r="BX107" s="159">
        <f t="shared" si="40"/>
        <v>44.914566473988437</v>
      </c>
    </row>
    <row r="108" spans="2:76" x14ac:dyDescent="0.3">
      <c r="B108" s="63">
        <v>2024</v>
      </c>
      <c r="C108" t="s">
        <v>105</v>
      </c>
      <c r="D108">
        <v>423</v>
      </c>
      <c r="E108">
        <v>4</v>
      </c>
      <c r="F108">
        <v>15</v>
      </c>
      <c r="G108" t="s">
        <v>106</v>
      </c>
      <c r="H108">
        <v>6</v>
      </c>
      <c r="I108" s="64" t="s">
        <v>35</v>
      </c>
      <c r="J108">
        <v>45</v>
      </c>
      <c r="K108">
        <v>39</v>
      </c>
      <c r="L108" s="21">
        <f t="shared" si="22"/>
        <v>174.05719021964362</v>
      </c>
      <c r="M108">
        <v>78</v>
      </c>
      <c r="N108">
        <v>80</v>
      </c>
      <c r="O108">
        <v>85</v>
      </c>
      <c r="P108">
        <v>80</v>
      </c>
      <c r="Q108" s="20">
        <f t="shared" si="23"/>
        <v>80.75</v>
      </c>
      <c r="R108">
        <v>99</v>
      </c>
      <c r="S108">
        <v>96</v>
      </c>
      <c r="T108">
        <v>92</v>
      </c>
      <c r="U108">
        <v>87</v>
      </c>
      <c r="V108" s="20">
        <f t="shared" si="24"/>
        <v>93.5</v>
      </c>
      <c r="W108">
        <v>95</v>
      </c>
      <c r="X108">
        <v>98</v>
      </c>
      <c r="Y108">
        <v>98</v>
      </c>
      <c r="Z108">
        <v>97</v>
      </c>
      <c r="AA108" s="20">
        <f t="shared" si="25"/>
        <v>97</v>
      </c>
      <c r="AB108">
        <v>100</v>
      </c>
      <c r="AC108">
        <v>95</v>
      </c>
      <c r="AD108">
        <v>100</v>
      </c>
      <c r="AE108">
        <v>100</v>
      </c>
      <c r="AF108" s="20">
        <f t="shared" si="26"/>
        <v>98.75</v>
      </c>
      <c r="AK108" s="20" t="e">
        <f t="shared" si="27"/>
        <v>#DIV/0!</v>
      </c>
      <c r="AO108" s="20"/>
      <c r="AP108" s="20" t="e">
        <f t="shared" si="28"/>
        <v>#DIV/0!</v>
      </c>
      <c r="AQ108" s="147">
        <v>45481</v>
      </c>
      <c r="AR108">
        <v>98</v>
      </c>
      <c r="AS108">
        <v>98</v>
      </c>
      <c r="AT108">
        <v>98</v>
      </c>
      <c r="AU108">
        <v>98</v>
      </c>
      <c r="AV108" s="20">
        <f t="shared" si="29"/>
        <v>98</v>
      </c>
      <c r="AW108">
        <v>0</v>
      </c>
      <c r="AX108">
        <v>0</v>
      </c>
      <c r="AY108">
        <v>0</v>
      </c>
      <c r="AZ108" s="20">
        <f t="shared" si="30"/>
        <v>0</v>
      </c>
      <c r="BA108">
        <v>0</v>
      </c>
      <c r="BB108">
        <v>0</v>
      </c>
      <c r="BC108">
        <v>0</v>
      </c>
      <c r="BD108" s="20">
        <f t="shared" si="31"/>
        <v>0</v>
      </c>
      <c r="BE108">
        <v>0</v>
      </c>
      <c r="BF108">
        <v>0</v>
      </c>
      <c r="BG108">
        <v>0</v>
      </c>
      <c r="BH108" s="20">
        <f t="shared" si="32"/>
        <v>0</v>
      </c>
      <c r="BI108">
        <v>24.59</v>
      </c>
      <c r="BJ108">
        <v>14.51</v>
      </c>
      <c r="BK108" s="17">
        <f t="shared" si="33"/>
        <v>40.99227328182188</v>
      </c>
      <c r="BL108" s="17">
        <f t="shared" si="34"/>
        <v>2.3969093127287522</v>
      </c>
      <c r="BM108" s="18">
        <f t="shared" si="35"/>
        <v>45508.396909312731</v>
      </c>
      <c r="BN108" s="175">
        <f t="shared" si="36"/>
        <v>90.396909312730713</v>
      </c>
      <c r="BO108">
        <v>6</v>
      </c>
      <c r="BP108" s="22">
        <f t="shared" si="37"/>
        <v>8.6867999999999999</v>
      </c>
      <c r="BQ108">
        <v>8210</v>
      </c>
      <c r="BR108">
        <v>11.9</v>
      </c>
      <c r="BS108" s="20">
        <f t="shared" si="42"/>
        <v>9625.9396690107988</v>
      </c>
      <c r="BT108" s="20">
        <f t="shared" si="39"/>
        <v>178.94375025725202</v>
      </c>
      <c r="BU108">
        <v>65.5</v>
      </c>
      <c r="BV108" s="22">
        <v>4.4000000000000004</v>
      </c>
      <c r="BW108" s="22">
        <v>4.43</v>
      </c>
      <c r="BX108" s="159">
        <f t="shared" si="40"/>
        <v>44.966647398843932</v>
      </c>
    </row>
    <row r="109" spans="2:76" x14ac:dyDescent="0.3">
      <c r="B109" s="63">
        <v>2024</v>
      </c>
      <c r="C109" t="s">
        <v>105</v>
      </c>
      <c r="D109">
        <v>424</v>
      </c>
      <c r="E109">
        <v>4</v>
      </c>
      <c r="F109">
        <v>12</v>
      </c>
      <c r="G109" t="s">
        <v>106</v>
      </c>
      <c r="H109">
        <v>3</v>
      </c>
      <c r="I109" s="64" t="s">
        <v>39</v>
      </c>
      <c r="J109">
        <v>44</v>
      </c>
      <c r="K109">
        <v>50</v>
      </c>
      <c r="L109" s="21">
        <f t="shared" si="22"/>
        <v>194.77828429341071</v>
      </c>
      <c r="M109">
        <v>71</v>
      </c>
      <c r="N109">
        <v>78</v>
      </c>
      <c r="O109">
        <v>74</v>
      </c>
      <c r="P109">
        <v>75</v>
      </c>
      <c r="Q109" s="20">
        <f t="shared" si="23"/>
        <v>74.5</v>
      </c>
      <c r="R109">
        <v>101</v>
      </c>
      <c r="S109">
        <v>104</v>
      </c>
      <c r="T109">
        <v>98</v>
      </c>
      <c r="U109">
        <v>102</v>
      </c>
      <c r="V109" s="20">
        <f t="shared" si="24"/>
        <v>101.25</v>
      </c>
      <c r="W109">
        <v>104</v>
      </c>
      <c r="X109">
        <v>105</v>
      </c>
      <c r="Y109">
        <v>104</v>
      </c>
      <c r="Z109">
        <v>104</v>
      </c>
      <c r="AA109" s="20">
        <f t="shared" si="25"/>
        <v>104.25</v>
      </c>
      <c r="AB109">
        <v>100</v>
      </c>
      <c r="AC109">
        <v>110</v>
      </c>
      <c r="AD109">
        <v>100</v>
      </c>
      <c r="AE109">
        <v>110</v>
      </c>
      <c r="AF109" s="20">
        <f t="shared" si="26"/>
        <v>105</v>
      </c>
      <c r="AK109" s="20" t="e">
        <f t="shared" si="27"/>
        <v>#DIV/0!</v>
      </c>
      <c r="AO109" s="20"/>
      <c r="AP109" s="20" t="e">
        <f t="shared" si="28"/>
        <v>#DIV/0!</v>
      </c>
      <c r="AQ109" s="147">
        <v>45479</v>
      </c>
      <c r="AR109">
        <v>105</v>
      </c>
      <c r="AS109">
        <v>108</v>
      </c>
      <c r="AT109">
        <v>104</v>
      </c>
      <c r="AU109">
        <v>103</v>
      </c>
      <c r="AV109" s="20">
        <f t="shared" si="29"/>
        <v>105</v>
      </c>
      <c r="AW109">
        <v>20</v>
      </c>
      <c r="AX109">
        <v>0</v>
      </c>
      <c r="AY109">
        <v>0</v>
      </c>
      <c r="AZ109" s="20">
        <f t="shared" si="30"/>
        <v>13.333333333333334</v>
      </c>
      <c r="BA109">
        <v>0</v>
      </c>
      <c r="BB109">
        <v>0</v>
      </c>
      <c r="BC109">
        <v>0</v>
      </c>
      <c r="BD109" s="20">
        <f t="shared" si="31"/>
        <v>0</v>
      </c>
      <c r="BE109">
        <v>0</v>
      </c>
      <c r="BF109">
        <v>0</v>
      </c>
      <c r="BG109">
        <v>0</v>
      </c>
      <c r="BH109" s="20">
        <f t="shared" si="32"/>
        <v>0</v>
      </c>
      <c r="BI109">
        <v>28.12</v>
      </c>
      <c r="BJ109">
        <v>16.62</v>
      </c>
      <c r="BK109" s="17">
        <f t="shared" si="33"/>
        <v>40.896159317211946</v>
      </c>
      <c r="BL109" s="17">
        <f t="shared" si="34"/>
        <v>2.3584637268847786</v>
      </c>
      <c r="BM109" s="18">
        <f t="shared" si="35"/>
        <v>45508.358463726887</v>
      </c>
      <c r="BN109" s="175">
        <f t="shared" si="36"/>
        <v>90.358463726886839</v>
      </c>
      <c r="BO109">
        <v>6</v>
      </c>
      <c r="BP109" s="22">
        <f t="shared" si="37"/>
        <v>8.6867999999999999</v>
      </c>
      <c r="BQ109">
        <v>8150</v>
      </c>
      <c r="BR109">
        <v>10.7</v>
      </c>
      <c r="BS109" s="20">
        <f t="shared" si="42"/>
        <v>9685.7473740637924</v>
      </c>
      <c r="BT109" s="20">
        <f t="shared" si="39"/>
        <v>180.05556015887819</v>
      </c>
      <c r="BU109">
        <v>67.3</v>
      </c>
      <c r="BV109" s="22">
        <v>4.53</v>
      </c>
      <c r="BW109" s="22">
        <v>4.4000000000000004</v>
      </c>
      <c r="BX109" s="159">
        <f t="shared" si="40"/>
        <v>46.095317919075143</v>
      </c>
    </row>
    <row r="110" spans="2:76" x14ac:dyDescent="0.3">
      <c r="B110" s="63">
        <v>2024</v>
      </c>
      <c r="C110" t="s">
        <v>105</v>
      </c>
      <c r="D110">
        <v>425</v>
      </c>
      <c r="E110">
        <v>4</v>
      </c>
      <c r="F110">
        <v>11</v>
      </c>
      <c r="G110" t="s">
        <v>106</v>
      </c>
      <c r="H110">
        <v>2</v>
      </c>
      <c r="I110" s="64" t="s">
        <v>32</v>
      </c>
      <c r="J110">
        <v>42</v>
      </c>
      <c r="K110">
        <v>49</v>
      </c>
      <c r="L110" s="21">
        <f t="shared" si="22"/>
        <v>188.56195607128058</v>
      </c>
      <c r="M110">
        <v>76</v>
      </c>
      <c r="N110">
        <v>72</v>
      </c>
      <c r="O110">
        <v>74</v>
      </c>
      <c r="P110">
        <v>70</v>
      </c>
      <c r="Q110" s="20">
        <f t="shared" si="23"/>
        <v>73</v>
      </c>
      <c r="R110">
        <v>107</v>
      </c>
      <c r="S110">
        <v>103</v>
      </c>
      <c r="T110">
        <v>103</v>
      </c>
      <c r="U110">
        <v>102</v>
      </c>
      <c r="V110" s="20">
        <f t="shared" si="24"/>
        <v>103.75</v>
      </c>
      <c r="W110">
        <v>97</v>
      </c>
      <c r="X110">
        <v>100</v>
      </c>
      <c r="Y110">
        <v>102</v>
      </c>
      <c r="Z110">
        <v>102</v>
      </c>
      <c r="AA110" s="20">
        <f t="shared" si="25"/>
        <v>100.25</v>
      </c>
      <c r="AB110">
        <v>100</v>
      </c>
      <c r="AC110">
        <v>110</v>
      </c>
      <c r="AD110">
        <v>110</v>
      </c>
      <c r="AE110">
        <v>100</v>
      </c>
      <c r="AF110" s="20">
        <f t="shared" si="26"/>
        <v>105</v>
      </c>
      <c r="AK110" s="20" t="e">
        <f t="shared" si="27"/>
        <v>#DIV/0!</v>
      </c>
      <c r="AO110" s="20"/>
      <c r="AP110" s="20" t="e">
        <f t="shared" si="28"/>
        <v>#DIV/0!</v>
      </c>
      <c r="AQ110" s="147">
        <v>45479</v>
      </c>
      <c r="AR110">
        <v>102</v>
      </c>
      <c r="AS110">
        <v>108</v>
      </c>
      <c r="AT110">
        <v>100</v>
      </c>
      <c r="AU110">
        <v>102</v>
      </c>
      <c r="AV110" s="20">
        <f t="shared" si="29"/>
        <v>103</v>
      </c>
      <c r="AW110">
        <v>10</v>
      </c>
      <c r="AX110">
        <v>0</v>
      </c>
      <c r="AY110">
        <v>0</v>
      </c>
      <c r="AZ110" s="20">
        <f t="shared" si="30"/>
        <v>6.666666666666667</v>
      </c>
      <c r="BA110">
        <v>0</v>
      </c>
      <c r="BB110">
        <v>0</v>
      </c>
      <c r="BC110">
        <v>0</v>
      </c>
      <c r="BD110" s="20">
        <f t="shared" si="31"/>
        <v>0</v>
      </c>
      <c r="BE110">
        <v>0</v>
      </c>
      <c r="BF110">
        <v>0</v>
      </c>
      <c r="BG110">
        <v>0</v>
      </c>
      <c r="BH110" s="20">
        <f t="shared" si="32"/>
        <v>0</v>
      </c>
      <c r="BI110" s="40">
        <v>26.5</v>
      </c>
      <c r="BJ110">
        <v>12.85</v>
      </c>
      <c r="BK110" s="17">
        <f t="shared" si="33"/>
        <v>51.509433962264154</v>
      </c>
      <c r="BL110" s="17">
        <f t="shared" si="34"/>
        <v>6.603773584905662</v>
      </c>
      <c r="BM110" s="18">
        <f t="shared" si="35"/>
        <v>45512.603773584902</v>
      </c>
      <c r="BN110" s="175">
        <f t="shared" si="36"/>
        <v>94.603773584902228</v>
      </c>
      <c r="BO110">
        <v>6</v>
      </c>
      <c r="BP110" s="22">
        <f t="shared" si="37"/>
        <v>8.6867999999999999</v>
      </c>
      <c r="BQ110">
        <v>7960</v>
      </c>
      <c r="BR110">
        <v>10</v>
      </c>
      <c r="BS110" s="20">
        <f t="shared" si="42"/>
        <v>9534.098776137922</v>
      </c>
      <c r="BT110" s="20">
        <f t="shared" si="39"/>
        <v>177.23645160769215</v>
      </c>
      <c r="BU110">
        <v>66.599999999999994</v>
      </c>
      <c r="BV110" s="22">
        <v>4.3600000000000003</v>
      </c>
      <c r="BW110" s="22">
        <v>4.37</v>
      </c>
      <c r="BX110" s="159">
        <f t="shared" si="40"/>
        <v>45.416184971098268</v>
      </c>
    </row>
    <row r="111" spans="2:76" x14ac:dyDescent="0.3">
      <c r="B111" s="63">
        <v>2024</v>
      </c>
      <c r="C111" t="s">
        <v>105</v>
      </c>
      <c r="D111">
        <v>426</v>
      </c>
      <c r="E111">
        <v>4</v>
      </c>
      <c r="F111">
        <v>17</v>
      </c>
      <c r="G111" t="s">
        <v>106</v>
      </c>
      <c r="H111">
        <v>8</v>
      </c>
      <c r="I111" s="64" t="s">
        <v>38</v>
      </c>
      <c r="J111">
        <v>48</v>
      </c>
      <c r="K111">
        <v>56</v>
      </c>
      <c r="L111" s="21">
        <f t="shared" si="22"/>
        <v>215.4993783671778</v>
      </c>
      <c r="M111">
        <v>63</v>
      </c>
      <c r="N111">
        <v>72</v>
      </c>
      <c r="O111">
        <v>73</v>
      </c>
      <c r="P111">
        <v>70</v>
      </c>
      <c r="Q111" s="20">
        <f t="shared" si="23"/>
        <v>69.5</v>
      </c>
      <c r="R111">
        <v>99</v>
      </c>
      <c r="S111">
        <v>98</v>
      </c>
      <c r="T111">
        <v>107</v>
      </c>
      <c r="U111">
        <v>97</v>
      </c>
      <c r="V111" s="20">
        <f t="shared" si="24"/>
        <v>100.25</v>
      </c>
      <c r="W111">
        <v>101</v>
      </c>
      <c r="X111">
        <v>101</v>
      </c>
      <c r="Y111">
        <v>102</v>
      </c>
      <c r="Z111">
        <v>101</v>
      </c>
      <c r="AA111" s="20">
        <f t="shared" si="25"/>
        <v>101.25</v>
      </c>
      <c r="AB111">
        <v>90</v>
      </c>
      <c r="AC111">
        <v>110</v>
      </c>
      <c r="AD111">
        <v>100</v>
      </c>
      <c r="AE111">
        <v>100</v>
      </c>
      <c r="AF111" s="20">
        <f t="shared" si="26"/>
        <v>100</v>
      </c>
      <c r="AK111" s="20" t="e">
        <f t="shared" si="27"/>
        <v>#DIV/0!</v>
      </c>
      <c r="AO111" s="20"/>
      <c r="AP111" s="20" t="e">
        <f t="shared" si="28"/>
        <v>#DIV/0!</v>
      </c>
      <c r="AQ111" s="147">
        <v>45480</v>
      </c>
      <c r="AR111">
        <v>100</v>
      </c>
      <c r="AS111">
        <v>107</v>
      </c>
      <c r="AT111">
        <v>100</v>
      </c>
      <c r="AU111">
        <v>97</v>
      </c>
      <c r="AV111" s="20">
        <f t="shared" si="29"/>
        <v>101</v>
      </c>
      <c r="AW111">
        <v>40</v>
      </c>
      <c r="AX111">
        <v>15</v>
      </c>
      <c r="AY111">
        <v>5</v>
      </c>
      <c r="AZ111" s="20">
        <f t="shared" si="30"/>
        <v>36.666666666666671</v>
      </c>
      <c r="BA111">
        <v>0</v>
      </c>
      <c r="BB111">
        <v>0</v>
      </c>
      <c r="BC111">
        <v>0</v>
      </c>
      <c r="BD111" s="20">
        <f t="shared" si="31"/>
        <v>0</v>
      </c>
      <c r="BE111">
        <v>0</v>
      </c>
      <c r="BF111">
        <v>0</v>
      </c>
      <c r="BG111">
        <v>0</v>
      </c>
      <c r="BH111" s="20">
        <f t="shared" si="32"/>
        <v>0</v>
      </c>
      <c r="BI111">
        <v>25.42</v>
      </c>
      <c r="BJ111">
        <v>13.94</v>
      </c>
      <c r="BK111" s="17">
        <f t="shared" si="33"/>
        <v>45.161290322580648</v>
      </c>
      <c r="BL111" s="17">
        <f t="shared" si="34"/>
        <v>4.0645161290322589</v>
      </c>
      <c r="BM111" s="18">
        <f t="shared" si="35"/>
        <v>45510.06451612903</v>
      </c>
      <c r="BN111" s="175">
        <f t="shared" si="36"/>
        <v>92.06451612903038</v>
      </c>
      <c r="BO111">
        <v>6</v>
      </c>
      <c r="BP111" s="22">
        <f t="shared" si="37"/>
        <v>8.6867999999999999</v>
      </c>
      <c r="BQ111">
        <v>7550</v>
      </c>
      <c r="BR111">
        <v>10.199999999999999</v>
      </c>
      <c r="BS111" s="20">
        <f t="shared" si="42"/>
        <v>9022.925222269334</v>
      </c>
      <c r="BT111" s="20">
        <f t="shared" si="39"/>
        <v>167.7338663114171</v>
      </c>
      <c r="BU111">
        <v>66.8</v>
      </c>
      <c r="BV111" s="22">
        <v>4.3899999999999997</v>
      </c>
      <c r="BW111" s="22">
        <v>4.1399999999999997</v>
      </c>
      <c r="BX111" s="159">
        <f t="shared" si="40"/>
        <v>44.277109826589594</v>
      </c>
    </row>
    <row r="112" spans="2:76" x14ac:dyDescent="0.3">
      <c r="B112" s="63">
        <v>2024</v>
      </c>
      <c r="C112" t="s">
        <v>105</v>
      </c>
      <c r="D112">
        <v>427</v>
      </c>
      <c r="E112">
        <v>4</v>
      </c>
      <c r="F112">
        <v>18</v>
      </c>
      <c r="G112" t="s">
        <v>106</v>
      </c>
      <c r="H112">
        <v>9</v>
      </c>
      <c r="I112" s="64" t="s">
        <v>33</v>
      </c>
      <c r="J112">
        <v>44</v>
      </c>
      <c r="K112">
        <v>60</v>
      </c>
      <c r="L112" s="21">
        <f t="shared" si="22"/>
        <v>215.4993783671778</v>
      </c>
      <c r="M112">
        <v>79</v>
      </c>
      <c r="N112">
        <v>78</v>
      </c>
      <c r="O112">
        <v>72</v>
      </c>
      <c r="P112">
        <v>79</v>
      </c>
      <c r="Q112" s="20">
        <f t="shared" si="23"/>
        <v>77</v>
      </c>
      <c r="R112">
        <v>97</v>
      </c>
      <c r="S112">
        <v>103</v>
      </c>
      <c r="T112">
        <v>101</v>
      </c>
      <c r="U112">
        <v>98</v>
      </c>
      <c r="V112" s="20">
        <f t="shared" si="24"/>
        <v>99.75</v>
      </c>
      <c r="W112">
        <v>99</v>
      </c>
      <c r="X112">
        <v>98</v>
      </c>
      <c r="Y112">
        <v>99</v>
      </c>
      <c r="Z112">
        <v>91</v>
      </c>
      <c r="AA112" s="20">
        <f t="shared" si="25"/>
        <v>96.75</v>
      </c>
      <c r="AB112">
        <v>115</v>
      </c>
      <c r="AC112">
        <v>100</v>
      </c>
      <c r="AD112">
        <v>100</v>
      </c>
      <c r="AE112">
        <v>100</v>
      </c>
      <c r="AF112" s="20">
        <f t="shared" si="26"/>
        <v>103.75</v>
      </c>
      <c r="AK112" s="20" t="e">
        <f t="shared" si="27"/>
        <v>#DIV/0!</v>
      </c>
      <c r="AO112" s="20"/>
      <c r="AP112" s="20" t="e">
        <f t="shared" si="28"/>
        <v>#DIV/0!</v>
      </c>
      <c r="AQ112" s="147">
        <v>45479</v>
      </c>
      <c r="AR112">
        <v>97</v>
      </c>
      <c r="AS112">
        <v>101</v>
      </c>
      <c r="AT112">
        <v>110</v>
      </c>
      <c r="AU112">
        <v>101</v>
      </c>
      <c r="AV112" s="20">
        <f t="shared" si="29"/>
        <v>102.25</v>
      </c>
      <c r="AW112">
        <v>5</v>
      </c>
      <c r="AX112">
        <v>10</v>
      </c>
      <c r="AY112">
        <v>0</v>
      </c>
      <c r="AZ112" s="20">
        <f t="shared" si="30"/>
        <v>6.666666666666667</v>
      </c>
      <c r="BA112">
        <v>0</v>
      </c>
      <c r="BB112">
        <v>0</v>
      </c>
      <c r="BC112">
        <v>0</v>
      </c>
      <c r="BD112" s="20">
        <f t="shared" si="31"/>
        <v>0</v>
      </c>
      <c r="BE112">
        <v>0</v>
      </c>
      <c r="BF112">
        <v>0</v>
      </c>
      <c r="BG112">
        <v>0</v>
      </c>
      <c r="BH112" s="20">
        <f t="shared" si="32"/>
        <v>0</v>
      </c>
      <c r="BI112">
        <v>27.34</v>
      </c>
      <c r="BJ112">
        <v>16.440000000000001</v>
      </c>
      <c r="BK112" s="17">
        <f t="shared" si="33"/>
        <v>39.868324798829548</v>
      </c>
      <c r="BL112" s="17">
        <f t="shared" si="34"/>
        <v>1.947329919531819</v>
      </c>
      <c r="BM112" s="18">
        <f t="shared" si="35"/>
        <v>45507.947329919531</v>
      </c>
      <c r="BN112" s="175">
        <f t="shared" si="36"/>
        <v>89.947329919530603</v>
      </c>
      <c r="BO112">
        <v>6</v>
      </c>
      <c r="BP112" s="22">
        <f t="shared" si="37"/>
        <v>8.6867999999999999</v>
      </c>
      <c r="BQ112">
        <v>8410</v>
      </c>
      <c r="BR112">
        <v>10.1</v>
      </c>
      <c r="BS112" s="20">
        <f t="shared" si="42"/>
        <v>10061.894453640511</v>
      </c>
      <c r="BT112" s="20">
        <f t="shared" si="39"/>
        <v>187.04803792024026</v>
      </c>
      <c r="BU112">
        <v>65.599999999999994</v>
      </c>
      <c r="BV112" s="22">
        <v>4.34</v>
      </c>
      <c r="BW112" s="22">
        <v>4.3600000000000003</v>
      </c>
      <c r="BX112" s="159">
        <f t="shared" si="40"/>
        <v>45.20982658959538</v>
      </c>
    </row>
  </sheetData>
  <sortState xmlns:xlrd2="http://schemas.microsoft.com/office/spreadsheetml/2017/richdata2" ref="H129:I137">
    <sortCondition ref="I129:I137"/>
  </sortState>
  <mergeCells count="12">
    <mergeCell ref="J3:L3"/>
    <mergeCell ref="M3:Q3"/>
    <mergeCell ref="R3:V3"/>
    <mergeCell ref="AW3:AZ3"/>
    <mergeCell ref="BI3:BN3"/>
    <mergeCell ref="W3:AA3"/>
    <mergeCell ref="AB3:AF3"/>
    <mergeCell ref="AG3:AK3"/>
    <mergeCell ref="AL3:AP3"/>
    <mergeCell ref="AR3:AV3"/>
    <mergeCell ref="BA3:BD3"/>
    <mergeCell ref="BE3:BH3"/>
  </mergeCells>
  <phoneticPr fontId="12" type="noConversion"/>
  <conditionalFormatting sqref="AL42:AN68 AL5:AO5 AG42:AJ68 AG5:AJ31 AL6:AN31 AO6:AO1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K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 V4 AV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A13:CA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A61:CA6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horizontalDpi="4294967292" verticalDpi="4294967292" r:id="rId5"/>
  <legacyDrawing r:id="rId6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DF75DA385D9D49AEF1AFFA7B6C9CC6" ma:contentTypeVersion="19" ma:contentTypeDescription="Create a new document." ma:contentTypeScope="" ma:versionID="ce931ee89191dae6b98df4a9eb785eda">
  <xsd:schema xmlns:xsd="http://www.w3.org/2001/XMLSchema" xmlns:xs="http://www.w3.org/2001/XMLSchema" xmlns:p="http://schemas.microsoft.com/office/2006/metadata/properties" xmlns:ns2="6f7d0794-db2d-4812-b604-61f5a4ff255c" xmlns:ns3="a5c6594c-ef7c-4f4e-b6c2-b279c11b84c4" xmlns:ns4="a8605628-264e-41a0-8475-cece7ab702df" targetNamespace="http://schemas.microsoft.com/office/2006/metadata/properties" ma:root="true" ma:fieldsID="1423969beab7147e8f16463e1187da9b" ns2:_="" ns3:_="" ns4:_="">
    <xsd:import namespace="6f7d0794-db2d-4812-b604-61f5a4ff255c"/>
    <xsd:import namespace="a5c6594c-ef7c-4f4e-b6c2-b279c11b84c4"/>
    <xsd:import namespace="a8605628-264e-41a0-8475-cece7ab702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7d0794-db2d-4812-b604-61f5a4ff25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3e00d72-d7b1-4584-97c1-b448dd6f78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6594c-ef7c-4f4e-b6c2-b279c11b84c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605628-264e-41a0-8475-cece7ab702df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417fab13-479b-49b5-8e0e-377edeac1d27}" ma:internalName="TaxCatchAll" ma:showField="CatchAllData" ma:web="a8605628-264e-41a0-8475-cece7ab702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7d0794-db2d-4812-b604-61f5a4ff255c">
      <Terms xmlns="http://schemas.microsoft.com/office/infopath/2007/PartnerControls"/>
    </lcf76f155ced4ddcb4097134ff3c332f>
    <TaxCatchAll xmlns="a8605628-264e-41a0-8475-cece7ab702df" xsi:nil="true"/>
  </documentManagement>
</p:properties>
</file>

<file path=customXml/itemProps1.xml><?xml version="1.0" encoding="utf-8"?>
<ds:datastoreItem xmlns:ds="http://schemas.openxmlformats.org/officeDocument/2006/customXml" ds:itemID="{16D3CE19-9F1D-4319-BC84-4B44585B08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7d0794-db2d-4812-b604-61f5a4ff255c"/>
    <ds:schemaRef ds:uri="a5c6594c-ef7c-4f4e-b6c2-b279c11b84c4"/>
    <ds:schemaRef ds:uri="a8605628-264e-41a0-8475-cece7ab702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0FC32F-A32D-421B-810C-05F6677A09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D74528-3922-4B91-9B6E-A6E54F9C70B4}">
  <ds:schemaRefs>
    <ds:schemaRef ds:uri="http://schemas.microsoft.com/office/2006/metadata/properties"/>
    <ds:schemaRef ds:uri="http://schemas.microsoft.com/office/infopath/2007/PartnerControls"/>
    <ds:schemaRef ds:uri="6f7d0794-db2d-4812-b604-61f5a4ff255c"/>
    <ds:schemaRef ds:uri="a8605628-264e-41a0-8475-cece7ab702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map 21-24</vt:lpstr>
      <vt:lpstr>Data  (2)</vt:lpstr>
      <vt:lpstr>Calculations</vt:lpstr>
      <vt:lpstr>Methods</vt:lpstr>
      <vt:lpstr>Treatments</vt:lpstr>
      <vt:lpstr>BBCH staging guide</vt:lpstr>
      <vt:lpstr>2024 Plot Map</vt:lpstr>
      <vt:lpstr>Map 37</vt:lpstr>
      <vt:lpstr>map 30-32</vt:lpstr>
      <vt:lpstr>Sheet1</vt:lpstr>
      <vt:lpstr>Harvest</vt:lpstr>
      <vt:lpstr>Labels</vt:lpstr>
      <vt:lpstr>Field notes</vt:lpstr>
      <vt:lpstr>weather_final</vt:lpstr>
      <vt:lpstr>Weather</vt:lpstr>
      <vt:lpstr>irrigation_final</vt:lpstr>
      <vt:lpstr>Irrigation</vt:lpstr>
      <vt:lpstr>Data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Laurel Perrott</dc:creator>
  <cp:keywords/>
  <dc:description/>
  <cp:lastModifiedBy>Wilfried Dossou-Yovo</cp:lastModifiedBy>
  <cp:revision/>
  <dcterms:created xsi:type="dcterms:W3CDTF">2019-02-28T16:52:31Z</dcterms:created>
  <dcterms:modified xsi:type="dcterms:W3CDTF">2026-01-14T21:04:23Z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0x0101008DDF75DA385D9D49AEF1AFFA7B6C9CC6</vt:lpwstr>
  </property>
  <property fmtid="{D5CDD505-2E9C-101B-9397-08002B2CF9AE}" pid="3" name="MediaServiceImageTags">
    <vt:lpwstr/>
  </property>
</Properties>
</file>