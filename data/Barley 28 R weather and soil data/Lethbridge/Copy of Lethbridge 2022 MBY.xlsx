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mylakeland-my.sharepoint.com/personal/wilfried_dossouyovo_lakelandcollege_ca/Documents/1. Main folder/2. Research/2. Bawinder/28RBarley/data/Barley 28 R weather and soil data/Lethbridge/"/>
    </mc:Choice>
  </mc:AlternateContent>
  <xr:revisionPtr revIDLastSave="28" documentId="8_{73243724-C30E-4AE8-AB23-EAA450264C90}" xr6:coauthVersionLast="47" xr6:coauthVersionMax="47" xr10:uidLastSave="{27F98FF0-FAC0-42F5-BD4C-65B86E19DB52}"/>
  <bookViews>
    <workbookView xWindow="57480" yWindow="-120" windowWidth="29040" windowHeight="15720" tabRatio="500" firstSheet="2" activeTab="5" xr2:uid="{00000000-000D-0000-FFFF-FFFF00000000}"/>
  </bookViews>
  <sheets>
    <sheet name="Treatments" sheetId="2" r:id="rId1"/>
    <sheet name="BBCH staging guide" sheetId="6" r:id="rId2"/>
    <sheet name="2022 Plot Map" sheetId="7" r:id="rId3"/>
    <sheet name="Field notes" sheetId="4" r:id="rId4"/>
    <sheet name="weather_final" sheetId="11" r:id="rId5"/>
    <sheet name="irrigation_final" sheetId="12" r:id="rId6"/>
    <sheet name="Irrigation" sheetId="10" r:id="rId7"/>
    <sheet name="Sheet1" sheetId="13" r:id="rId8"/>
    <sheet name="Weather" sheetId="9" r:id="rId9"/>
    <sheet name="Data " sheetId="3" r:id="rId10"/>
  </sheets>
  <definedNames>
    <definedName name="_56F9DC9755BA473782653E2940F9FormId">"rHLN-qzIXEGR-1B6_GMi6DwMMc5m7T5JodM_wC6T-EVUOThVSDhRNkdGQ1RFR0JXNkRHNEJVRE5GTCQlQCN0PWcu"</definedName>
    <definedName name="_56F9DC9755BA473782653E2940F9ResponseSheet">"Form1"</definedName>
    <definedName name="_56F9DC9755BA473782653E2940F9SourceDocId">"{c843bbe7-e49a-4742-af63-57568da20baa}"</definedName>
    <definedName name="_xlnm._FilterDatabase" localSheetId="8" hidden="1">Weather!$F$2:$F$112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3" l="1"/>
  <c r="O113" i="9"/>
  <c r="BL105" i="3"/>
  <c r="BM105" i="3"/>
  <c r="BN105" i="3"/>
  <c r="BN5" i="3"/>
  <c r="BX5" i="3"/>
  <c r="L24" i="3"/>
  <c r="AZ107" i="3"/>
  <c r="L5" i="3" l="1"/>
  <c r="BS6" i="3"/>
  <c r="BS7" i="3"/>
  <c r="BS8" i="3"/>
  <c r="BS9" i="3"/>
  <c r="BS10" i="3"/>
  <c r="BS11" i="3"/>
  <c r="BS12" i="3"/>
  <c r="BS13" i="3"/>
  <c r="BS14" i="3"/>
  <c r="BS15" i="3"/>
  <c r="BS16" i="3"/>
  <c r="BS17" i="3"/>
  <c r="BS18" i="3"/>
  <c r="BS19" i="3"/>
  <c r="BS20" i="3"/>
  <c r="BS21" i="3"/>
  <c r="BS22" i="3"/>
  <c r="BS23" i="3"/>
  <c r="BS24" i="3"/>
  <c r="BS25" i="3"/>
  <c r="BS26" i="3"/>
  <c r="BS27" i="3"/>
  <c r="BS28" i="3"/>
  <c r="BS29" i="3"/>
  <c r="BS30" i="3"/>
  <c r="BS31" i="3"/>
  <c r="BS32" i="3"/>
  <c r="BS33" i="3"/>
  <c r="BS34" i="3"/>
  <c r="BS35" i="3"/>
  <c r="BS36" i="3"/>
  <c r="BS37" i="3"/>
  <c r="BS38" i="3"/>
  <c r="BS39" i="3"/>
  <c r="BS40" i="3"/>
  <c r="BS41" i="3"/>
  <c r="BS42" i="3"/>
  <c r="BS43" i="3"/>
  <c r="BS44" i="3"/>
  <c r="BS45" i="3"/>
  <c r="BS46" i="3"/>
  <c r="BS47" i="3"/>
  <c r="BS48" i="3"/>
  <c r="BS49" i="3"/>
  <c r="BS50" i="3"/>
  <c r="BS51" i="3"/>
  <c r="BS52" i="3"/>
  <c r="BS53" i="3"/>
  <c r="BS54" i="3"/>
  <c r="BS55" i="3"/>
  <c r="BS56" i="3"/>
  <c r="BS57" i="3"/>
  <c r="BS58" i="3"/>
  <c r="BS59" i="3"/>
  <c r="BS60" i="3"/>
  <c r="BS61" i="3"/>
  <c r="BS62" i="3"/>
  <c r="BS63" i="3"/>
  <c r="BS64" i="3"/>
  <c r="BS65" i="3"/>
  <c r="BS66" i="3"/>
  <c r="BS67" i="3"/>
  <c r="BS68" i="3"/>
  <c r="BS69" i="3"/>
  <c r="BS70" i="3"/>
  <c r="BS71" i="3"/>
  <c r="BS72" i="3"/>
  <c r="BS73" i="3"/>
  <c r="BS74" i="3"/>
  <c r="BS75" i="3"/>
  <c r="BS76" i="3"/>
  <c r="BS77" i="3"/>
  <c r="BS78" i="3"/>
  <c r="BS79" i="3"/>
  <c r="BS80" i="3"/>
  <c r="BS81" i="3"/>
  <c r="BS82" i="3"/>
  <c r="BS83" i="3"/>
  <c r="BS84" i="3"/>
  <c r="BS85" i="3"/>
  <c r="BS86" i="3"/>
  <c r="BS87" i="3"/>
  <c r="BS88" i="3"/>
  <c r="BS89" i="3"/>
  <c r="BS90" i="3"/>
  <c r="BS91" i="3"/>
  <c r="BS92" i="3"/>
  <c r="BS93" i="3"/>
  <c r="BS94" i="3"/>
  <c r="BS95" i="3"/>
  <c r="BS96" i="3"/>
  <c r="BS97" i="3"/>
  <c r="BS98" i="3"/>
  <c r="BS99" i="3"/>
  <c r="BS100" i="3"/>
  <c r="BS101" i="3"/>
  <c r="BS102" i="3"/>
  <c r="BS103" i="3"/>
  <c r="BS104" i="3"/>
  <c r="BS105" i="3"/>
  <c r="BS106" i="3"/>
  <c r="BS107" i="3"/>
  <c r="BS108" i="3"/>
  <c r="BS109" i="3"/>
  <c r="BS110" i="3"/>
  <c r="BS111" i="3"/>
  <c r="BS112" i="3"/>
  <c r="BS5" i="3"/>
  <c r="BL112" i="3"/>
  <c r="AA97" i="3" l="1"/>
  <c r="V86" i="3"/>
  <c r="V59" i="3"/>
  <c r="V87" i="3"/>
  <c r="V73" i="3"/>
  <c r="R52" i="3"/>
  <c r="Q40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4" i="3"/>
  <c r="V75" i="3"/>
  <c r="V76" i="3"/>
  <c r="V77" i="3"/>
  <c r="V78" i="3"/>
  <c r="V79" i="3"/>
  <c r="V80" i="3"/>
  <c r="V81" i="3"/>
  <c r="V82" i="3"/>
  <c r="V83" i="3"/>
  <c r="V84" i="3"/>
  <c r="V85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F6" i="3"/>
  <c r="AF7" i="3"/>
  <c r="AF8" i="3"/>
  <c r="AF9" i="3"/>
  <c r="AF10" i="3"/>
  <c r="AF11" i="3"/>
  <c r="AF12" i="3"/>
  <c r="AF13" i="3"/>
  <c r="AF14" i="3"/>
  <c r="AF15" i="3"/>
  <c r="AF17" i="3"/>
  <c r="AF18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0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V99" i="3"/>
  <c r="AV100" i="3"/>
  <c r="AV101" i="3"/>
  <c r="AV102" i="3"/>
  <c r="AV103" i="3"/>
  <c r="AV104" i="3"/>
  <c r="AV105" i="3"/>
  <c r="AV106" i="3"/>
  <c r="AV107" i="3"/>
  <c r="AV108" i="3"/>
  <c r="AV109" i="3"/>
  <c r="AV110" i="3"/>
  <c r="AV111" i="3"/>
  <c r="AV112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8" i="3"/>
  <c r="AZ109" i="3"/>
  <c r="AZ110" i="3"/>
  <c r="AZ111" i="3"/>
  <c r="AZ112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103" i="3"/>
  <c r="BD104" i="3"/>
  <c r="BD105" i="3"/>
  <c r="BD106" i="3"/>
  <c r="BD107" i="3"/>
  <c r="BD108" i="3"/>
  <c r="BD109" i="3"/>
  <c r="BD110" i="3"/>
  <c r="BD111" i="3"/>
  <c r="BD112" i="3"/>
  <c r="BH6" i="3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H32" i="3"/>
  <c r="BH33" i="3"/>
  <c r="BH34" i="3"/>
  <c r="BH35" i="3"/>
  <c r="BH36" i="3"/>
  <c r="BH37" i="3"/>
  <c r="BH38" i="3"/>
  <c r="BH39" i="3"/>
  <c r="BH40" i="3"/>
  <c r="BH41" i="3"/>
  <c r="BH42" i="3"/>
  <c r="BH43" i="3"/>
  <c r="BH44" i="3"/>
  <c r="BH45" i="3"/>
  <c r="BH46" i="3"/>
  <c r="BH47" i="3"/>
  <c r="BH48" i="3"/>
  <c r="BH49" i="3"/>
  <c r="BH50" i="3"/>
  <c r="BH51" i="3"/>
  <c r="BH52" i="3"/>
  <c r="BH53" i="3"/>
  <c r="BH54" i="3"/>
  <c r="BH55" i="3"/>
  <c r="BH56" i="3"/>
  <c r="BH57" i="3"/>
  <c r="BH58" i="3"/>
  <c r="BH59" i="3"/>
  <c r="BH60" i="3"/>
  <c r="BH61" i="3"/>
  <c r="BH62" i="3"/>
  <c r="BH63" i="3"/>
  <c r="BH64" i="3"/>
  <c r="BH65" i="3"/>
  <c r="BH66" i="3"/>
  <c r="BH67" i="3"/>
  <c r="BH68" i="3"/>
  <c r="BH69" i="3"/>
  <c r="BH70" i="3"/>
  <c r="BH71" i="3"/>
  <c r="BH72" i="3"/>
  <c r="BH73" i="3"/>
  <c r="BH74" i="3"/>
  <c r="BH75" i="3"/>
  <c r="BH76" i="3"/>
  <c r="BH77" i="3"/>
  <c r="BH78" i="3"/>
  <c r="BH79" i="3"/>
  <c r="BH80" i="3"/>
  <c r="BH81" i="3"/>
  <c r="BH82" i="3"/>
  <c r="BH83" i="3"/>
  <c r="BH84" i="3"/>
  <c r="BH85" i="3"/>
  <c r="BH86" i="3"/>
  <c r="BH87" i="3"/>
  <c r="BH88" i="3"/>
  <c r="BH89" i="3"/>
  <c r="BH90" i="3"/>
  <c r="BH91" i="3"/>
  <c r="BH92" i="3"/>
  <c r="BH93" i="3"/>
  <c r="BH94" i="3"/>
  <c r="BH95" i="3"/>
  <c r="BH96" i="3"/>
  <c r="BH97" i="3"/>
  <c r="BH98" i="3"/>
  <c r="BH99" i="3"/>
  <c r="BH100" i="3"/>
  <c r="BH101" i="3"/>
  <c r="BH102" i="3"/>
  <c r="BH103" i="3"/>
  <c r="BH104" i="3"/>
  <c r="BH105" i="3"/>
  <c r="BH106" i="3"/>
  <c r="BH107" i="3"/>
  <c r="BH108" i="3"/>
  <c r="BH109" i="3"/>
  <c r="BH110" i="3"/>
  <c r="BH111" i="3"/>
  <c r="BH112" i="3"/>
  <c r="BK6" i="3"/>
  <c r="BL6" i="3" s="1"/>
  <c r="BM6" i="3" s="1"/>
  <c r="BN6" i="3" s="1"/>
  <c r="BK7" i="3"/>
  <c r="BL7" i="3" s="1"/>
  <c r="BM7" i="3" s="1"/>
  <c r="BN7" i="3" s="1"/>
  <c r="BK8" i="3"/>
  <c r="BL8" i="3" s="1"/>
  <c r="BM8" i="3" s="1"/>
  <c r="BN8" i="3" s="1"/>
  <c r="BK9" i="3"/>
  <c r="BL9" i="3" s="1"/>
  <c r="BM9" i="3" s="1"/>
  <c r="BN9" i="3" s="1"/>
  <c r="BK10" i="3"/>
  <c r="BL10" i="3" s="1"/>
  <c r="BM10" i="3" s="1"/>
  <c r="BN10" i="3" s="1"/>
  <c r="BK11" i="3"/>
  <c r="BL11" i="3" s="1"/>
  <c r="BM11" i="3" s="1"/>
  <c r="BN11" i="3" s="1"/>
  <c r="BK12" i="3"/>
  <c r="BL12" i="3" s="1"/>
  <c r="BM12" i="3" s="1"/>
  <c r="BN12" i="3" s="1"/>
  <c r="BK13" i="3"/>
  <c r="BL13" i="3" s="1"/>
  <c r="BM13" i="3" s="1"/>
  <c r="BN13" i="3" s="1"/>
  <c r="BK14" i="3"/>
  <c r="BL14" i="3"/>
  <c r="BM14" i="3" s="1"/>
  <c r="BN14" i="3" s="1"/>
  <c r="BK15" i="3"/>
  <c r="BL15" i="3" s="1"/>
  <c r="BM15" i="3" s="1"/>
  <c r="BN15" i="3" s="1"/>
  <c r="BK16" i="3"/>
  <c r="BL16" i="3" s="1"/>
  <c r="BM16" i="3" s="1"/>
  <c r="BN16" i="3" s="1"/>
  <c r="BK17" i="3"/>
  <c r="BL17" i="3" s="1"/>
  <c r="BM17" i="3" s="1"/>
  <c r="BN17" i="3" s="1"/>
  <c r="BK18" i="3"/>
  <c r="BL18" i="3" s="1"/>
  <c r="BM18" i="3" s="1"/>
  <c r="BN18" i="3" s="1"/>
  <c r="BK19" i="3"/>
  <c r="BL19" i="3" s="1"/>
  <c r="BM19" i="3" s="1"/>
  <c r="BN19" i="3" s="1"/>
  <c r="BK20" i="3"/>
  <c r="BL20" i="3"/>
  <c r="BM20" i="3" s="1"/>
  <c r="BN20" i="3" s="1"/>
  <c r="BK21" i="3"/>
  <c r="BL21" i="3" s="1"/>
  <c r="BM21" i="3" s="1"/>
  <c r="BN21" i="3" s="1"/>
  <c r="BK22" i="3"/>
  <c r="BL22" i="3" s="1"/>
  <c r="BM22" i="3" s="1"/>
  <c r="BN22" i="3" s="1"/>
  <c r="BK23" i="3"/>
  <c r="BL23" i="3" s="1"/>
  <c r="BM23" i="3" s="1"/>
  <c r="BN23" i="3" s="1"/>
  <c r="BK24" i="3"/>
  <c r="BL24" i="3" s="1"/>
  <c r="BM24" i="3" s="1"/>
  <c r="BN24" i="3" s="1"/>
  <c r="BK25" i="3"/>
  <c r="BL25" i="3" s="1"/>
  <c r="BM25" i="3" s="1"/>
  <c r="BN25" i="3" s="1"/>
  <c r="BK26" i="3"/>
  <c r="BL26" i="3" s="1"/>
  <c r="BM26" i="3" s="1"/>
  <c r="BN26" i="3" s="1"/>
  <c r="BK27" i="3"/>
  <c r="BL27" i="3" s="1"/>
  <c r="BM27" i="3" s="1"/>
  <c r="BN27" i="3" s="1"/>
  <c r="BK28" i="3"/>
  <c r="BL28" i="3" s="1"/>
  <c r="BM28" i="3" s="1"/>
  <c r="BN28" i="3" s="1"/>
  <c r="BK29" i="3"/>
  <c r="BL29" i="3" s="1"/>
  <c r="BM29" i="3" s="1"/>
  <c r="BN29" i="3" s="1"/>
  <c r="BK30" i="3"/>
  <c r="BL30" i="3" s="1"/>
  <c r="BM30" i="3" s="1"/>
  <c r="BN30" i="3" s="1"/>
  <c r="BK31" i="3"/>
  <c r="BL31" i="3" s="1"/>
  <c r="BM31" i="3" s="1"/>
  <c r="BN31" i="3" s="1"/>
  <c r="BK32" i="3"/>
  <c r="BL32" i="3" s="1"/>
  <c r="BM32" i="3" s="1"/>
  <c r="BN32" i="3" s="1"/>
  <c r="BK33" i="3"/>
  <c r="BL33" i="3" s="1"/>
  <c r="BM33" i="3" s="1"/>
  <c r="BN33" i="3" s="1"/>
  <c r="BK34" i="3"/>
  <c r="BL34" i="3" s="1"/>
  <c r="BM34" i="3" s="1"/>
  <c r="BN34" i="3" s="1"/>
  <c r="BK35" i="3"/>
  <c r="BL35" i="3" s="1"/>
  <c r="BM35" i="3" s="1"/>
  <c r="BN35" i="3" s="1"/>
  <c r="BK36" i="3"/>
  <c r="BL36" i="3" s="1"/>
  <c r="BM36" i="3" s="1"/>
  <c r="BN36" i="3" s="1"/>
  <c r="BK37" i="3"/>
  <c r="BL37" i="3" s="1"/>
  <c r="BM37" i="3" s="1"/>
  <c r="BN37" i="3" s="1"/>
  <c r="BK38" i="3"/>
  <c r="BL38" i="3" s="1"/>
  <c r="BM38" i="3" s="1"/>
  <c r="BN38" i="3" s="1"/>
  <c r="BK39" i="3"/>
  <c r="BL39" i="3" s="1"/>
  <c r="BM39" i="3" s="1"/>
  <c r="BN39" i="3" s="1"/>
  <c r="BK40" i="3"/>
  <c r="BL40" i="3" s="1"/>
  <c r="BM40" i="3" s="1"/>
  <c r="BN40" i="3" s="1"/>
  <c r="BK41" i="3"/>
  <c r="BL41" i="3" s="1"/>
  <c r="BM41" i="3" s="1"/>
  <c r="BN41" i="3" s="1"/>
  <c r="BK42" i="3"/>
  <c r="BL42" i="3" s="1"/>
  <c r="BM42" i="3" s="1"/>
  <c r="BN42" i="3" s="1"/>
  <c r="BK43" i="3"/>
  <c r="BL43" i="3" s="1"/>
  <c r="BM43" i="3" s="1"/>
  <c r="BN43" i="3" s="1"/>
  <c r="BK44" i="3"/>
  <c r="BL44" i="3" s="1"/>
  <c r="BM44" i="3" s="1"/>
  <c r="BN44" i="3" s="1"/>
  <c r="BK45" i="3"/>
  <c r="BL45" i="3" s="1"/>
  <c r="BM45" i="3" s="1"/>
  <c r="BN45" i="3" s="1"/>
  <c r="BK46" i="3"/>
  <c r="BL46" i="3" s="1"/>
  <c r="BM46" i="3" s="1"/>
  <c r="BN46" i="3" s="1"/>
  <c r="BK47" i="3"/>
  <c r="BL47" i="3" s="1"/>
  <c r="BM47" i="3" s="1"/>
  <c r="BN47" i="3" s="1"/>
  <c r="BK48" i="3"/>
  <c r="BL48" i="3" s="1"/>
  <c r="BM48" i="3" s="1"/>
  <c r="BN48" i="3" s="1"/>
  <c r="BK49" i="3"/>
  <c r="BL49" i="3" s="1"/>
  <c r="BM49" i="3" s="1"/>
  <c r="BN49" i="3" s="1"/>
  <c r="BK50" i="3"/>
  <c r="BL50" i="3" s="1"/>
  <c r="BM50" i="3" s="1"/>
  <c r="BN50" i="3" s="1"/>
  <c r="BK51" i="3"/>
  <c r="BL51" i="3" s="1"/>
  <c r="BM51" i="3" s="1"/>
  <c r="BN51" i="3" s="1"/>
  <c r="BK52" i="3"/>
  <c r="BL52" i="3" s="1"/>
  <c r="BM52" i="3" s="1"/>
  <c r="BN52" i="3" s="1"/>
  <c r="BK53" i="3"/>
  <c r="BL53" i="3" s="1"/>
  <c r="BM53" i="3" s="1"/>
  <c r="BN53" i="3" s="1"/>
  <c r="BK54" i="3"/>
  <c r="BL54" i="3" s="1"/>
  <c r="BM54" i="3" s="1"/>
  <c r="BN54" i="3" s="1"/>
  <c r="BK55" i="3"/>
  <c r="BL55" i="3" s="1"/>
  <c r="BM55" i="3" s="1"/>
  <c r="BN55" i="3" s="1"/>
  <c r="BK56" i="3"/>
  <c r="BL56" i="3" s="1"/>
  <c r="BM56" i="3" s="1"/>
  <c r="BN56" i="3" s="1"/>
  <c r="BK57" i="3"/>
  <c r="BL57" i="3" s="1"/>
  <c r="BM57" i="3" s="1"/>
  <c r="BN57" i="3" s="1"/>
  <c r="BK58" i="3"/>
  <c r="BL58" i="3" s="1"/>
  <c r="BM58" i="3" s="1"/>
  <c r="BN58" i="3" s="1"/>
  <c r="BK59" i="3"/>
  <c r="BL59" i="3" s="1"/>
  <c r="BM59" i="3" s="1"/>
  <c r="BN59" i="3" s="1"/>
  <c r="BK60" i="3"/>
  <c r="BL60" i="3" s="1"/>
  <c r="BM60" i="3" s="1"/>
  <c r="BN60" i="3" s="1"/>
  <c r="BK61" i="3"/>
  <c r="BL61" i="3" s="1"/>
  <c r="BM61" i="3" s="1"/>
  <c r="BN61" i="3" s="1"/>
  <c r="BK62" i="3"/>
  <c r="BL62" i="3" s="1"/>
  <c r="BM62" i="3" s="1"/>
  <c r="BN62" i="3" s="1"/>
  <c r="BK63" i="3"/>
  <c r="BL63" i="3" s="1"/>
  <c r="BM63" i="3" s="1"/>
  <c r="BN63" i="3" s="1"/>
  <c r="BK64" i="3"/>
  <c r="BL64" i="3" s="1"/>
  <c r="BM64" i="3" s="1"/>
  <c r="BN64" i="3" s="1"/>
  <c r="BK65" i="3"/>
  <c r="BL65" i="3" s="1"/>
  <c r="BM65" i="3" s="1"/>
  <c r="BN65" i="3" s="1"/>
  <c r="BK66" i="3"/>
  <c r="BL66" i="3" s="1"/>
  <c r="BM66" i="3" s="1"/>
  <c r="BN66" i="3" s="1"/>
  <c r="BK67" i="3"/>
  <c r="BL67" i="3" s="1"/>
  <c r="BM67" i="3" s="1"/>
  <c r="BN67" i="3" s="1"/>
  <c r="BK68" i="3"/>
  <c r="BL68" i="3" s="1"/>
  <c r="BM68" i="3" s="1"/>
  <c r="BN68" i="3" s="1"/>
  <c r="BK69" i="3"/>
  <c r="BL69" i="3" s="1"/>
  <c r="BM69" i="3" s="1"/>
  <c r="BN69" i="3" s="1"/>
  <c r="BK70" i="3"/>
  <c r="BL70" i="3" s="1"/>
  <c r="BM70" i="3" s="1"/>
  <c r="BN70" i="3" s="1"/>
  <c r="BK71" i="3"/>
  <c r="BL71" i="3" s="1"/>
  <c r="BM71" i="3" s="1"/>
  <c r="BN71" i="3" s="1"/>
  <c r="BK72" i="3"/>
  <c r="BL72" i="3" s="1"/>
  <c r="BM72" i="3" s="1"/>
  <c r="BN72" i="3" s="1"/>
  <c r="BK73" i="3"/>
  <c r="BL73" i="3" s="1"/>
  <c r="BM73" i="3" s="1"/>
  <c r="BN73" i="3" s="1"/>
  <c r="BK74" i="3"/>
  <c r="BL74" i="3" s="1"/>
  <c r="BM74" i="3" s="1"/>
  <c r="BN74" i="3" s="1"/>
  <c r="BK75" i="3"/>
  <c r="BL75" i="3" s="1"/>
  <c r="BM75" i="3" s="1"/>
  <c r="BN75" i="3" s="1"/>
  <c r="BK76" i="3"/>
  <c r="BL76" i="3" s="1"/>
  <c r="BM76" i="3" s="1"/>
  <c r="BN76" i="3" s="1"/>
  <c r="BK77" i="3"/>
  <c r="BL77" i="3" s="1"/>
  <c r="BM77" i="3" s="1"/>
  <c r="BN77" i="3" s="1"/>
  <c r="BK78" i="3"/>
  <c r="BL78" i="3" s="1"/>
  <c r="BM78" i="3" s="1"/>
  <c r="BN78" i="3" s="1"/>
  <c r="BK79" i="3"/>
  <c r="BL79" i="3" s="1"/>
  <c r="BM79" i="3" s="1"/>
  <c r="BN79" i="3" s="1"/>
  <c r="BK80" i="3"/>
  <c r="BL80" i="3" s="1"/>
  <c r="BM80" i="3" s="1"/>
  <c r="BN80" i="3" s="1"/>
  <c r="BK81" i="3"/>
  <c r="BL81" i="3" s="1"/>
  <c r="BM81" i="3" s="1"/>
  <c r="BN81" i="3" s="1"/>
  <c r="BK82" i="3"/>
  <c r="BL82" i="3" s="1"/>
  <c r="BM82" i="3" s="1"/>
  <c r="BN82" i="3" s="1"/>
  <c r="BK83" i="3"/>
  <c r="BL83" i="3" s="1"/>
  <c r="BM83" i="3" s="1"/>
  <c r="BN83" i="3" s="1"/>
  <c r="BK84" i="3"/>
  <c r="BL84" i="3" s="1"/>
  <c r="BM84" i="3" s="1"/>
  <c r="BN84" i="3" s="1"/>
  <c r="BK85" i="3"/>
  <c r="BL85" i="3" s="1"/>
  <c r="BM85" i="3" s="1"/>
  <c r="BN85" i="3" s="1"/>
  <c r="BK86" i="3"/>
  <c r="BL86" i="3" s="1"/>
  <c r="BM86" i="3" s="1"/>
  <c r="BN86" i="3" s="1"/>
  <c r="BK87" i="3"/>
  <c r="BL87" i="3" s="1"/>
  <c r="BM87" i="3" s="1"/>
  <c r="BN87" i="3" s="1"/>
  <c r="BK88" i="3"/>
  <c r="BL88" i="3" s="1"/>
  <c r="BM88" i="3" s="1"/>
  <c r="BN88" i="3" s="1"/>
  <c r="BK89" i="3"/>
  <c r="BL89" i="3" s="1"/>
  <c r="BM89" i="3" s="1"/>
  <c r="BN89" i="3" s="1"/>
  <c r="BK90" i="3"/>
  <c r="BL90" i="3" s="1"/>
  <c r="BM90" i="3" s="1"/>
  <c r="BN90" i="3" s="1"/>
  <c r="BK91" i="3"/>
  <c r="BL91" i="3" s="1"/>
  <c r="BM91" i="3" s="1"/>
  <c r="BN91" i="3" s="1"/>
  <c r="BK92" i="3"/>
  <c r="BL92" i="3" s="1"/>
  <c r="BM92" i="3" s="1"/>
  <c r="BN92" i="3" s="1"/>
  <c r="BK93" i="3"/>
  <c r="BL93" i="3" s="1"/>
  <c r="BM93" i="3" s="1"/>
  <c r="BN93" i="3" s="1"/>
  <c r="BK94" i="3"/>
  <c r="BL94" i="3" s="1"/>
  <c r="BM94" i="3" s="1"/>
  <c r="BN94" i="3" s="1"/>
  <c r="BK95" i="3"/>
  <c r="BL95" i="3" s="1"/>
  <c r="BM95" i="3" s="1"/>
  <c r="BN95" i="3" s="1"/>
  <c r="BK96" i="3"/>
  <c r="BL96" i="3" s="1"/>
  <c r="BM96" i="3" s="1"/>
  <c r="BN96" i="3" s="1"/>
  <c r="BK97" i="3"/>
  <c r="BL97" i="3" s="1"/>
  <c r="BM97" i="3" s="1"/>
  <c r="BN97" i="3" s="1"/>
  <c r="BK98" i="3"/>
  <c r="BL98" i="3" s="1"/>
  <c r="BM98" i="3" s="1"/>
  <c r="BN98" i="3" s="1"/>
  <c r="BK99" i="3"/>
  <c r="BL99" i="3" s="1"/>
  <c r="BM99" i="3" s="1"/>
  <c r="BN99" i="3" s="1"/>
  <c r="BK100" i="3"/>
  <c r="BL100" i="3"/>
  <c r="BM100" i="3" s="1"/>
  <c r="BN100" i="3" s="1"/>
  <c r="BK101" i="3"/>
  <c r="BL101" i="3" s="1"/>
  <c r="BM101" i="3" s="1"/>
  <c r="BN101" i="3" s="1"/>
  <c r="BK102" i="3"/>
  <c r="BL102" i="3" s="1"/>
  <c r="BM102" i="3" s="1"/>
  <c r="BN102" i="3" s="1"/>
  <c r="BK103" i="3"/>
  <c r="BL103" i="3" s="1"/>
  <c r="BM103" i="3" s="1"/>
  <c r="BN103" i="3" s="1"/>
  <c r="BK104" i="3"/>
  <c r="BL104" i="3" s="1"/>
  <c r="BM104" i="3" s="1"/>
  <c r="BN104" i="3" s="1"/>
  <c r="BK105" i="3"/>
  <c r="BK106" i="3"/>
  <c r="BL106" i="3" s="1"/>
  <c r="BM106" i="3" s="1"/>
  <c r="BN106" i="3" s="1"/>
  <c r="BK107" i="3"/>
  <c r="BL107" i="3" s="1"/>
  <c r="BM107" i="3" s="1"/>
  <c r="BN107" i="3" s="1"/>
  <c r="BK108" i="3"/>
  <c r="BL108" i="3" s="1"/>
  <c r="BM108" i="3" s="1"/>
  <c r="BN108" i="3" s="1"/>
  <c r="BK109" i="3"/>
  <c r="BL109" i="3" s="1"/>
  <c r="BM109" i="3" s="1"/>
  <c r="BN109" i="3" s="1"/>
  <c r="BK110" i="3"/>
  <c r="BL110" i="3" s="1"/>
  <c r="BM110" i="3" s="1"/>
  <c r="BN110" i="3" s="1"/>
  <c r="BK111" i="3"/>
  <c r="BL111" i="3" s="1"/>
  <c r="BM111" i="3" s="1"/>
  <c r="BN111" i="3" s="1"/>
  <c r="BK112" i="3"/>
  <c r="BM112" i="3" s="1"/>
  <c r="BN112" i="3" s="1"/>
  <c r="BP6" i="3"/>
  <c r="BT6" i="3" s="1"/>
  <c r="BP7" i="3"/>
  <c r="BT7" i="3" s="1"/>
  <c r="BP8" i="3"/>
  <c r="BT8" i="3" s="1"/>
  <c r="BP9" i="3"/>
  <c r="BP10" i="3"/>
  <c r="BT10" i="3" s="1"/>
  <c r="BP11" i="3"/>
  <c r="BT11" i="3" s="1"/>
  <c r="BP12" i="3"/>
  <c r="BP13" i="3"/>
  <c r="BP14" i="3"/>
  <c r="BP15" i="3"/>
  <c r="BT15" i="3" s="1"/>
  <c r="BP16" i="3"/>
  <c r="BP17" i="3"/>
  <c r="BP18" i="3"/>
  <c r="BP19" i="3"/>
  <c r="BT19" i="3" s="1"/>
  <c r="BP20" i="3"/>
  <c r="BP21" i="3"/>
  <c r="BT21" i="3" s="1"/>
  <c r="BP22" i="3"/>
  <c r="BP23" i="3"/>
  <c r="BT23" i="3" s="1"/>
  <c r="BP24" i="3"/>
  <c r="BP25" i="3"/>
  <c r="BP26" i="3"/>
  <c r="BT26" i="3"/>
  <c r="BP27" i="3"/>
  <c r="BT27" i="3" s="1"/>
  <c r="BP28" i="3"/>
  <c r="BP29" i="3"/>
  <c r="BT29" i="3" s="1"/>
  <c r="BP30" i="3"/>
  <c r="BT30" i="3" s="1"/>
  <c r="BP31" i="3"/>
  <c r="BT31" i="3" s="1"/>
  <c r="BP32" i="3"/>
  <c r="BP33" i="3"/>
  <c r="BP34" i="3"/>
  <c r="BP35" i="3"/>
  <c r="BT35" i="3" s="1"/>
  <c r="BP36" i="3"/>
  <c r="BP37" i="3"/>
  <c r="BP38" i="3"/>
  <c r="BT38" i="3" s="1"/>
  <c r="BP39" i="3"/>
  <c r="BT39" i="3" s="1"/>
  <c r="BP40" i="3"/>
  <c r="BP41" i="3"/>
  <c r="BP42" i="3"/>
  <c r="BT42" i="3"/>
  <c r="BP43" i="3"/>
  <c r="BT43" i="3" s="1"/>
  <c r="BP44" i="3"/>
  <c r="BT44" i="3" s="1"/>
  <c r="BP45" i="3"/>
  <c r="BP46" i="3"/>
  <c r="BP47" i="3"/>
  <c r="BT47" i="3" s="1"/>
  <c r="BP48" i="3"/>
  <c r="BP49" i="3"/>
  <c r="BP50" i="3"/>
  <c r="BP51" i="3"/>
  <c r="BT51" i="3" s="1"/>
  <c r="BP52" i="3"/>
  <c r="BT52" i="3" s="1"/>
  <c r="BP53" i="3"/>
  <c r="BP54" i="3"/>
  <c r="BP55" i="3"/>
  <c r="BT55" i="3" s="1"/>
  <c r="BP56" i="3"/>
  <c r="BP57" i="3"/>
  <c r="BP58" i="3"/>
  <c r="BT58" i="3"/>
  <c r="BP59" i="3"/>
  <c r="BT59" i="3" s="1"/>
  <c r="BP60" i="3"/>
  <c r="BP61" i="3"/>
  <c r="BT61" i="3" s="1"/>
  <c r="BP62" i="3"/>
  <c r="BP63" i="3"/>
  <c r="BT63" i="3" s="1"/>
  <c r="BP64" i="3"/>
  <c r="BP65" i="3"/>
  <c r="BP66" i="3"/>
  <c r="BP67" i="3"/>
  <c r="BT67" i="3" s="1"/>
  <c r="BP68" i="3"/>
  <c r="BP69" i="3"/>
  <c r="BT69" i="3" s="1"/>
  <c r="BP70" i="3"/>
  <c r="BT70" i="3"/>
  <c r="BP71" i="3"/>
  <c r="BT71" i="3" s="1"/>
  <c r="BP72" i="3"/>
  <c r="BP73" i="3"/>
  <c r="BP74" i="3"/>
  <c r="BT74" i="3" s="1"/>
  <c r="BP75" i="3"/>
  <c r="BT75" i="3" s="1"/>
  <c r="BP76" i="3"/>
  <c r="BP77" i="3"/>
  <c r="BT77" i="3" s="1"/>
  <c r="BP78" i="3"/>
  <c r="BP79" i="3"/>
  <c r="BT79" i="3" s="1"/>
  <c r="BP80" i="3"/>
  <c r="BP81" i="3"/>
  <c r="BT81" i="3" s="1"/>
  <c r="BP82" i="3"/>
  <c r="BP83" i="3"/>
  <c r="BT83" i="3" s="1"/>
  <c r="BP84" i="3"/>
  <c r="BP85" i="3"/>
  <c r="BP86" i="3"/>
  <c r="BP87" i="3"/>
  <c r="BP88" i="3"/>
  <c r="BP89" i="3"/>
  <c r="BT89" i="3" s="1"/>
  <c r="BP90" i="3"/>
  <c r="BT90" i="3"/>
  <c r="BP91" i="3"/>
  <c r="BP92" i="3"/>
  <c r="BP93" i="3"/>
  <c r="BT93" i="3" s="1"/>
  <c r="BP94" i="3"/>
  <c r="BP95" i="3"/>
  <c r="BT95" i="3" s="1"/>
  <c r="BP96" i="3"/>
  <c r="BT96" i="3" s="1"/>
  <c r="BP97" i="3"/>
  <c r="BP98" i="3"/>
  <c r="BP99" i="3"/>
  <c r="BT99" i="3" s="1"/>
  <c r="BP100" i="3"/>
  <c r="BP101" i="3"/>
  <c r="BP102" i="3"/>
  <c r="BT102" i="3"/>
  <c r="BP103" i="3"/>
  <c r="BT103" i="3" s="1"/>
  <c r="BP104" i="3"/>
  <c r="BP105" i="3"/>
  <c r="BP106" i="3"/>
  <c r="BT106" i="3"/>
  <c r="BP107" i="3"/>
  <c r="BT107" i="3" s="1"/>
  <c r="BP108" i="3"/>
  <c r="BP109" i="3"/>
  <c r="BP110" i="3"/>
  <c r="BT110" i="3" s="1"/>
  <c r="BP111" i="3"/>
  <c r="BT111" i="3" s="1"/>
  <c r="BP112" i="3"/>
  <c r="BT9" i="3"/>
  <c r="BT12" i="3"/>
  <c r="BT13" i="3"/>
  <c r="BT14" i="3"/>
  <c r="BT16" i="3"/>
  <c r="BT17" i="3"/>
  <c r="BT18" i="3"/>
  <c r="BT20" i="3"/>
  <c r="BT22" i="3"/>
  <c r="BT24" i="3"/>
  <c r="BT25" i="3"/>
  <c r="BT28" i="3"/>
  <c r="BT32" i="3"/>
  <c r="BT33" i="3"/>
  <c r="BT34" i="3"/>
  <c r="BT36" i="3"/>
  <c r="BT37" i="3"/>
  <c r="BT40" i="3"/>
  <c r="BT41" i="3"/>
  <c r="BT45" i="3"/>
  <c r="BT46" i="3"/>
  <c r="BT48" i="3"/>
  <c r="BT49" i="3"/>
  <c r="BT50" i="3"/>
  <c r="BT53" i="3"/>
  <c r="BT54" i="3"/>
  <c r="BT56" i="3"/>
  <c r="BT57" i="3"/>
  <c r="BT60" i="3"/>
  <c r="BT62" i="3"/>
  <c r="BT64" i="3"/>
  <c r="BT65" i="3"/>
  <c r="BT66" i="3"/>
  <c r="BT68" i="3"/>
  <c r="BT72" i="3"/>
  <c r="BT73" i="3"/>
  <c r="BT76" i="3"/>
  <c r="BT78" i="3"/>
  <c r="BT80" i="3"/>
  <c r="BT82" i="3"/>
  <c r="BT84" i="3"/>
  <c r="BT85" i="3"/>
  <c r="BT86" i="3"/>
  <c r="BT87" i="3"/>
  <c r="BT88" i="3"/>
  <c r="BT91" i="3"/>
  <c r="BT92" i="3"/>
  <c r="BT94" i="3"/>
  <c r="BT97" i="3"/>
  <c r="BT98" i="3"/>
  <c r="BT100" i="3"/>
  <c r="BT101" i="3"/>
  <c r="BT104" i="3"/>
  <c r="BT105" i="3"/>
  <c r="BT108" i="3"/>
  <c r="BT109" i="3"/>
  <c r="BT112" i="3"/>
  <c r="BX6" i="3"/>
  <c r="BX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21" i="3"/>
  <c r="BX22" i="3"/>
  <c r="BX23" i="3"/>
  <c r="BX24" i="3"/>
  <c r="BX25" i="3"/>
  <c r="BX26" i="3"/>
  <c r="BX27" i="3"/>
  <c r="BX28" i="3"/>
  <c r="BX29" i="3"/>
  <c r="BX30" i="3"/>
  <c r="BX31" i="3"/>
  <c r="BX32" i="3"/>
  <c r="BX33" i="3"/>
  <c r="BX34" i="3"/>
  <c r="BX35" i="3"/>
  <c r="BX36" i="3"/>
  <c r="BX37" i="3"/>
  <c r="BX38" i="3"/>
  <c r="BX39" i="3"/>
  <c r="BX40" i="3"/>
  <c r="BX41" i="3"/>
  <c r="BX42" i="3"/>
  <c r="BX43" i="3"/>
  <c r="BX44" i="3"/>
  <c r="BX45" i="3"/>
  <c r="BX46" i="3"/>
  <c r="BX47" i="3"/>
  <c r="BX48" i="3"/>
  <c r="BX49" i="3"/>
  <c r="BX50" i="3"/>
  <c r="BX51" i="3"/>
  <c r="BX52" i="3"/>
  <c r="BX53" i="3"/>
  <c r="BX54" i="3"/>
  <c r="BX55" i="3"/>
  <c r="BX56" i="3"/>
  <c r="BX57" i="3"/>
  <c r="BX58" i="3"/>
  <c r="BX59" i="3"/>
  <c r="BX60" i="3"/>
  <c r="BX61" i="3"/>
  <c r="BX62" i="3"/>
  <c r="BX63" i="3"/>
  <c r="BX64" i="3"/>
  <c r="BX65" i="3"/>
  <c r="BX66" i="3"/>
  <c r="BX67" i="3"/>
  <c r="BX68" i="3"/>
  <c r="BX69" i="3"/>
  <c r="BX70" i="3"/>
  <c r="BX71" i="3"/>
  <c r="BX72" i="3"/>
  <c r="BX73" i="3"/>
  <c r="BX74" i="3"/>
  <c r="BX75" i="3"/>
  <c r="BX76" i="3"/>
  <c r="BX77" i="3"/>
  <c r="BX78" i="3"/>
  <c r="BX79" i="3"/>
  <c r="BX80" i="3"/>
  <c r="BX81" i="3"/>
  <c r="BX82" i="3"/>
  <c r="BX83" i="3"/>
  <c r="BX84" i="3"/>
  <c r="BX85" i="3"/>
  <c r="BX86" i="3"/>
  <c r="BX87" i="3"/>
  <c r="BX88" i="3"/>
  <c r="BX89" i="3"/>
  <c r="BX90" i="3"/>
  <c r="BX91" i="3"/>
  <c r="BX92" i="3"/>
  <c r="BX93" i="3"/>
  <c r="BX94" i="3"/>
  <c r="BX95" i="3"/>
  <c r="BX96" i="3"/>
  <c r="BX97" i="3"/>
  <c r="BX98" i="3"/>
  <c r="BX99" i="3"/>
  <c r="BX100" i="3"/>
  <c r="BX101" i="3"/>
  <c r="BX103" i="3"/>
  <c r="BX104" i="3"/>
  <c r="BX105" i="3"/>
  <c r="BX106" i="3"/>
  <c r="BX107" i="3"/>
  <c r="BX108" i="3"/>
  <c r="BX109" i="3"/>
  <c r="BX110" i="3"/>
  <c r="BX111" i="3"/>
  <c r="BX112" i="3"/>
  <c r="BH5" i="3"/>
  <c r="BD5" i="3"/>
  <c r="AV5" i="3"/>
  <c r="AP5" i="3"/>
  <c r="AK5" i="3"/>
  <c r="AF5" i="3"/>
  <c r="AA5" i="3"/>
  <c r="V5" i="3"/>
  <c r="AZ5" i="3"/>
  <c r="BP5" i="3"/>
  <c r="BK5" i="3"/>
  <c r="BL5" i="3" s="1"/>
  <c r="BM5" i="3" s="1"/>
  <c r="Q5" i="3"/>
  <c r="BT5" i="3"/>
</calcChain>
</file>

<file path=xl/sharedStrings.xml><?xml version="1.0" encoding="utf-8"?>
<sst xmlns="http://schemas.openxmlformats.org/spreadsheetml/2006/main" count="2562" uniqueCount="267">
  <si>
    <t>2022 Maximizing Feed Barley Yield While Minimizing Lodging (2022F028R)</t>
  </si>
  <si>
    <t>Locations:</t>
  </si>
  <si>
    <t>Vermillion (LC), Falher (SARDA), Lethbridge irrigated (FS)</t>
  </si>
  <si>
    <t>Years:</t>
  </si>
  <si>
    <t>2022-2024</t>
  </si>
  <si>
    <t>Design:</t>
  </si>
  <si>
    <t>Split plot.  Main plot = cultivar (3); Subplot = PGR treatment (9)</t>
  </si>
  <si>
    <t>Replicates:</t>
  </si>
  <si>
    <t>Treatments</t>
  </si>
  <si>
    <t>Note: at GS 21-24 and GS 37 PGR application timings, these are tank-mixed with a supplied herbicide (Axial iPak Xtreme @ GS 21-24) and fungicide (Miravis Neo @ GS 37). The treatments that do not receive a PGR during these application timings MUST receive the supplied herbicide (GS 21-24) and fungicide (GS 37) on the same date. Please see protocol</t>
  </si>
  <si>
    <t>Overall Trt #</t>
  </si>
  <si>
    <t>Cultivar</t>
  </si>
  <si>
    <t>PGR trt #</t>
  </si>
  <si>
    <t>PGR Trt Name</t>
  </si>
  <si>
    <t>PGR treatment descriptions</t>
  </si>
  <si>
    <t>CDC_Austenson</t>
  </si>
  <si>
    <t>No_PGR</t>
  </si>
  <si>
    <t>M62.5_21-24</t>
  </si>
  <si>
    <t>M62.5_30-32</t>
  </si>
  <si>
    <t>M62.5_37</t>
  </si>
  <si>
    <t>M125_30-32</t>
  </si>
  <si>
    <t>M125_37</t>
  </si>
  <si>
    <t>M62.5_21-24 + M62.5_37</t>
  </si>
  <si>
    <t>M62.5_21-24 + M62.5_30-32</t>
  </si>
  <si>
    <t>M62.5_30-32 + M62.5_37</t>
  </si>
  <si>
    <t>TR18647</t>
  </si>
  <si>
    <t>Sub-plot treatments that do not require Moddus at either GS 21-24 or GS 37 (ie sub-plot treatments 1,2,3,4,5,6, 8, and 9) will receive the same herbicide (Axial Xtreme iPak) and/or fungicide (Miravis Neo) application as other plots on the respective application day in order to eliminate any confounding effects.</t>
  </si>
  <si>
    <t>Esma</t>
  </si>
  <si>
    <t>Maintenance herbicide application timing at standard (~3 leaf stage). Product choice up to the individual site according to weed spectrum</t>
  </si>
  <si>
    <t>BBCH 21= first tiller detectable (first PGR application timing- tank mixed with the Axial Xtreme iPak herbicide)</t>
  </si>
  <si>
    <t>BBCH 30-32= stem elongation (2nd PGR application timing)</t>
  </si>
  <si>
    <t>BBCH 37= 3rd PGR application timing (tank-mixed with Miravis Neo fungicide)</t>
  </si>
  <si>
    <t xml:space="preserve">Maintenance fungicide application (Prosaro) when </t>
  </si>
  <si>
    <t>"For suppression of Fusarium Head Blight, apply PROSARO XTR Fungicide as a preventative spray within the time period from when at least 75% of the wheat heads on the main stem are fully emerged to when 50% of the heads on the main stem are in flower."</t>
  </si>
  <si>
    <t>Trt# 24</t>
  </si>
  <si>
    <t>Trt# 21</t>
  </si>
  <si>
    <t>Trt# 23</t>
  </si>
  <si>
    <t>Trt# 25</t>
  </si>
  <si>
    <t>Trt# 27</t>
  </si>
  <si>
    <t>Trt# 20</t>
  </si>
  <si>
    <t>Trt# 26</t>
  </si>
  <si>
    <t>Trt# 19</t>
  </si>
  <si>
    <t>Trt# 22</t>
  </si>
  <si>
    <t>Trt# 8</t>
  </si>
  <si>
    <t>Trt# 6</t>
  </si>
  <si>
    <t>Trt# 2</t>
  </si>
  <si>
    <t>Trt# 4</t>
  </si>
  <si>
    <t>Trt# 3</t>
  </si>
  <si>
    <t>Trt# 5</t>
  </si>
  <si>
    <t>Trt# 7</t>
  </si>
  <si>
    <t>Trt# 9</t>
  </si>
  <si>
    <t>Trt# 1</t>
  </si>
  <si>
    <t>Trt# 13</t>
  </si>
  <si>
    <t>Trt# 12</t>
  </si>
  <si>
    <t>Trt# 11</t>
  </si>
  <si>
    <t>Trt# 10</t>
  </si>
  <si>
    <t>Trt# 16</t>
  </si>
  <si>
    <t>Trt# 18</t>
  </si>
  <si>
    <t>Trt# 15</t>
  </si>
  <si>
    <t>Trt# 14</t>
  </si>
  <si>
    <t>Trt# 17</t>
  </si>
  <si>
    <t>PGR treatment #</t>
  </si>
  <si>
    <t>PGR treatment</t>
  </si>
  <si>
    <t>Plot number</t>
  </si>
  <si>
    <t>Seeding date:</t>
  </si>
  <si>
    <t xml:space="preserve">Row spacing (m): </t>
  </si>
  <si>
    <t>Date: Wednesday, June 22</t>
  </si>
  <si>
    <t>Date: Monday, June 27</t>
  </si>
  <si>
    <t>Date: Wednesday, July 6</t>
  </si>
  <si>
    <t>Date: Monday, July 11</t>
  </si>
  <si>
    <t>Date:</t>
  </si>
  <si>
    <t>Head collection date:</t>
  </si>
  <si>
    <t>Plot width (m)</t>
  </si>
  <si>
    <t>~21 days after seeding</t>
  </si>
  <si>
    <t>Weekly plant heights beginning 14 days after GS 21-24 Moddus application until anthesis</t>
  </si>
  <si>
    <t>Height at physiological maturity</t>
  </si>
  <si>
    <t>Weekly rating 1 (rate weekly from soft dough stage to physiological maturity)</t>
  </si>
  <si>
    <t>Weekly rating 2 (rate weekly from soft dough stage to physiological maturity)</t>
  </si>
  <si>
    <t>Weekly rating 3 (rate weekly from soft dough stage to physiological maturity)</t>
  </si>
  <si>
    <t>Days to Maturity (collect heads at 30-40% grain moisture)</t>
  </si>
  <si>
    <t>kg/ha</t>
  </si>
  <si>
    <t>bu/ac</t>
  </si>
  <si>
    <t>g</t>
  </si>
  <si>
    <t>Year</t>
  </si>
  <si>
    <t>Location</t>
  </si>
  <si>
    <t>Plot</t>
  </si>
  <si>
    <t>Block</t>
  </si>
  <si>
    <t>PGR trt Name</t>
  </si>
  <si>
    <t>Emergence row A  (plants/1m row)</t>
  </si>
  <si>
    <t>Emergence row B (plants/1m row)</t>
  </si>
  <si>
    <t>Emerge Avg (plants/m2)</t>
  </si>
  <si>
    <t>Height 1</t>
  </si>
  <si>
    <t>Height 2</t>
  </si>
  <si>
    <t>Height 3</t>
  </si>
  <si>
    <t>Height 4</t>
  </si>
  <si>
    <t>Week 1 Height</t>
  </si>
  <si>
    <t>Week 2 Height</t>
  </si>
  <si>
    <t>Week 3 Height</t>
  </si>
  <si>
    <t>Week 4 Height</t>
  </si>
  <si>
    <t>Week 5 Height</t>
  </si>
  <si>
    <t>Week 6 Height</t>
  </si>
  <si>
    <t>Booting date of plot</t>
  </si>
  <si>
    <t>Avg Height at Phys Maturity</t>
  </si>
  <si>
    <r>
      <t>Lodging Index (% of area leaning 5-45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)</t>
    </r>
  </si>
  <si>
    <r>
      <t>Lodging Index (% of area leaning 45-85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)</t>
    </r>
  </si>
  <si>
    <r>
      <t>Lodging Index (% of area leaning 85-90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)</t>
    </r>
  </si>
  <si>
    <t>Lodging Index 1</t>
  </si>
  <si>
    <t>Lodging Index 2</t>
  </si>
  <si>
    <t>Lodging Index 3</t>
  </si>
  <si>
    <t>Wet weight 10 heads (g)</t>
  </si>
  <si>
    <t>Dry Weight 10 heads (g)</t>
  </si>
  <si>
    <t>% moisture</t>
  </si>
  <si>
    <t>Remaining days to reach maturity</t>
  </si>
  <si>
    <t>Calendar maturity date</t>
  </si>
  <si>
    <t>DTM</t>
  </si>
  <si>
    <t>Harvested plot length (m)</t>
  </si>
  <si>
    <t>Harvested plot area (m2)</t>
  </si>
  <si>
    <t>Wet Yield (g/plot)</t>
  </si>
  <si>
    <t>Grain moisture (%)</t>
  </si>
  <si>
    <t>Yield adj to 13.5%</t>
  </si>
  <si>
    <t>Yield adj to 13.5% bu</t>
  </si>
  <si>
    <t>Test weight (kg/hL)</t>
  </si>
  <si>
    <t>TKW 1- 100 kernels</t>
  </si>
  <si>
    <t>TKW 2 -100 kernels</t>
  </si>
  <si>
    <t>TKW - Avg (adjusted to 13.5% moisture)</t>
  </si>
  <si>
    <t>Lethbridge</t>
  </si>
  <si>
    <t>2022F028R Maximizing Feed Barley Yield While Minimizing Lodging- Field Notes- 2022</t>
  </si>
  <si>
    <t>Event</t>
  </si>
  <si>
    <t>Date</t>
  </si>
  <si>
    <t>Growth Stage</t>
  </si>
  <si>
    <t>Details</t>
  </si>
  <si>
    <t>Pre-seed composite soil test 0-6" and 12-24" (macro, CEC, OM, pH, soil texture)</t>
  </si>
  <si>
    <t>n/a</t>
  </si>
  <si>
    <t>Pre-seed burn-off</t>
  </si>
  <si>
    <t>Soil moisture and temperature at seeding</t>
  </si>
  <si>
    <t>Seeding Date</t>
  </si>
  <si>
    <t>Notes:</t>
  </si>
  <si>
    <t>Emergence Counts (21 days after seeding)</t>
  </si>
  <si>
    <t>Maintenance herbicide application</t>
  </si>
  <si>
    <t>GS 21-24 PGR/Herbicide treatment application (trts 2, 7 and 8)</t>
  </si>
  <si>
    <t>Weekly plant heights beginning 14 days after GS 21-24 Moddus application until Anthesis</t>
  </si>
  <si>
    <t>GS 30-32 PGR application (trts 3, 5, 8, 9)</t>
  </si>
  <si>
    <t>GS 37 PGR/Fungicide trt application (trts 4, 6, 7, 9)</t>
  </si>
  <si>
    <t>Maintenance fungicide application (Prosaro)</t>
  </si>
  <si>
    <t>Days to Maturity head collection date</t>
  </si>
  <si>
    <t>Lodging ratings</t>
  </si>
  <si>
    <t>Please record dates of weekly ratings</t>
  </si>
  <si>
    <t>Plot Lengths</t>
  </si>
  <si>
    <t>Please measure harvested plot lengths</t>
  </si>
  <si>
    <t>Harvest</t>
  </si>
  <si>
    <t>NIR</t>
  </si>
  <si>
    <t>Please ship NIR samples to Lori Oatway at Olds College (notify Lori Oatway and Lakeland College that samples have been submitted)</t>
  </si>
  <si>
    <t>Growing season rainfall distribution (daily if possible- minimum Monthly)</t>
  </si>
  <si>
    <t>Lethbridge- Irrigation distribution</t>
  </si>
  <si>
    <t>Date: August 5</t>
  </si>
  <si>
    <t>Products: Glyphosate + Aim</t>
  </si>
  <si>
    <t>Products: Infinity + Axial</t>
  </si>
  <si>
    <t>N/A</t>
  </si>
  <si>
    <t>6m</t>
  </si>
  <si>
    <t>185 mm rainfall total. Daily Weather Data Attached</t>
  </si>
  <si>
    <t>200 mm of Irrigation</t>
  </si>
  <si>
    <t>Station Name</t>
  </si>
  <si>
    <t>Date (Local Standard Time)</t>
  </si>
  <si>
    <t>Air Temp. Min. (°C)</t>
  </si>
  <si>
    <t>Air Temp. Min. Source Flag</t>
  </si>
  <si>
    <t>Air Temp. Min. Record Completeness (%)</t>
  </si>
  <si>
    <t>Air Temp. Max. (°C)</t>
  </si>
  <si>
    <t>Air Temp. Max. Source Flag</t>
  </si>
  <si>
    <t>Air Temp. Max. Record Completeness (%)</t>
  </si>
  <si>
    <t>Air Temp. Avg. (°C)</t>
  </si>
  <si>
    <t>Air Temp. Avg. Source Flag</t>
  </si>
  <si>
    <t>Air Temp. Avg. Record Completeness (%)</t>
  </si>
  <si>
    <t>Precip. Accumulated (mm)</t>
  </si>
  <si>
    <t>Precip. Accumulated Source Flag</t>
  </si>
  <si>
    <t>Precip. Accumulated Comment</t>
  </si>
  <si>
    <t>Precip. (mm)</t>
  </si>
  <si>
    <t>Lethbridge Demo Farm IMCIN</t>
  </si>
  <si>
    <t>ACTUAL</t>
  </si>
  <si>
    <t>AGGREGATED</t>
  </si>
  <si>
    <t>using element [Precip. Weighing]</t>
  </si>
  <si>
    <t>GS 32</t>
  </si>
  <si>
    <t>GS 37</t>
  </si>
  <si>
    <t>GS 21</t>
  </si>
  <si>
    <t>GS 35</t>
  </si>
  <si>
    <t>End May</t>
  </si>
  <si>
    <t>Soil Moisture on May 25 is 24.4% GWC</t>
  </si>
  <si>
    <t>Soil Moisture on June 22 is 12.7% GWC</t>
  </si>
  <si>
    <t>Soil temperature: 17.9 C</t>
  </si>
  <si>
    <t xml:space="preserve">Soil moisture: 35.7% GWC </t>
  </si>
  <si>
    <t>Soil moisture:__18%___________   Soil temperature: 10 degrees C</t>
  </si>
  <si>
    <t>matured too quickly</t>
  </si>
  <si>
    <t>na</t>
  </si>
  <si>
    <t>Harvest Date</t>
  </si>
  <si>
    <t>irr</t>
  </si>
  <si>
    <t>2 in on irr and progene mid season</t>
  </si>
  <si>
    <t>dry</t>
  </si>
  <si>
    <t>1 in for dry and irr (including Progene) in fall and spring</t>
  </si>
  <si>
    <t>Wai</t>
  </si>
  <si>
    <t>WAI NOTES</t>
  </si>
  <si>
    <t>10 inch</t>
  </si>
  <si>
    <t>Enchant Irr</t>
  </si>
  <si>
    <t>8.75 inch</t>
  </si>
  <si>
    <t>Poppy Farm</t>
  </si>
  <si>
    <t>1 inch</t>
  </si>
  <si>
    <t>Demo Farm Wheels</t>
  </si>
  <si>
    <t>5 inch</t>
  </si>
  <si>
    <t>DF linear</t>
  </si>
  <si>
    <t>2 inch</t>
  </si>
  <si>
    <t>College</t>
  </si>
  <si>
    <t>Biostim</t>
  </si>
  <si>
    <t>6 inch</t>
  </si>
  <si>
    <t>Church South</t>
  </si>
  <si>
    <t>WAI</t>
  </si>
  <si>
    <t>4 inch</t>
  </si>
  <si>
    <t>Church North</t>
  </si>
  <si>
    <t>Brooks Irr</t>
  </si>
  <si>
    <t>Brooks Dry</t>
  </si>
  <si>
    <t>+ 1 inch</t>
  </si>
  <si>
    <t>Bow Island Corn</t>
  </si>
  <si>
    <t>7 inch</t>
  </si>
  <si>
    <t>Bow Island irr</t>
  </si>
  <si>
    <t>Bow Island Dry</t>
  </si>
  <si>
    <t>+ 5 inch</t>
  </si>
  <si>
    <t>NASA Rice</t>
  </si>
  <si>
    <t>+ 2.5 inch</t>
  </si>
  <si>
    <t>NASA Corn</t>
  </si>
  <si>
    <t>8 inch</t>
  </si>
  <si>
    <t>NASA</t>
  </si>
  <si>
    <t>8 inches</t>
  </si>
  <si>
    <t>LB Rain</t>
  </si>
  <si>
    <t>NASA;Church;College;Demo Farm Linear;Poppy Farm;</t>
  </si>
  <si>
    <t>Rain </t>
  </si>
  <si>
    <t>Carlo Van Herk</t>
  </si>
  <si>
    <t>carlo@farmingsmarter.com</t>
  </si>
  <si>
    <t>NASA;Church;College;Demo Farm Linear;Demo Farm Wheels;Poppy Farm;</t>
  </si>
  <si>
    <t>Only corn</t>
  </si>
  <si>
    <t>Bow Island;</t>
  </si>
  <si>
    <t>Irrigation</t>
  </si>
  <si>
    <t>Irrigated from the replenish trial to the end all the corn (western corn herbicide and dicamba included)</t>
  </si>
  <si>
    <t>Trevor Deering</t>
  </si>
  <si>
    <t>trevor@farmingsmarter.com</t>
  </si>
  <si>
    <t>NASA;Church;College;Demo Farm Linear;Poppy Farm;Demo Farm Wheels;</t>
  </si>
  <si>
    <t>Demo Farm Linear;</t>
  </si>
  <si>
    <t xml:space="preserve">Just biostim and earth renew </t>
  </si>
  <si>
    <t>Church;</t>
  </si>
  <si>
    <t>NASA;Church;College;Demo Farm Linear;Demo Farm Wheels;</t>
  </si>
  <si>
    <t>Corn</t>
  </si>
  <si>
    <t>NASA;</t>
  </si>
  <si>
    <t xml:space="preserve">Corn and rice </t>
  </si>
  <si>
    <t>Corn block</t>
  </si>
  <si>
    <t>Brooks;</t>
  </si>
  <si>
    <t>Just biostim and earth renew</t>
  </si>
  <si>
    <t>Just on North NASA</t>
  </si>
  <si>
    <t>Poppy Farm;</t>
  </si>
  <si>
    <t>Demo Farm Linear;Demo Farm Wheels;</t>
  </si>
  <si>
    <t>Church;College;</t>
  </si>
  <si>
    <t>College;</t>
  </si>
  <si>
    <t>WAI + Belchim only</t>
  </si>
  <si>
    <t>Notes</t>
  </si>
  <si>
    <t>Amount of Water in Inches</t>
  </si>
  <si>
    <t>Day of Event</t>
  </si>
  <si>
    <t>Type of Application</t>
  </si>
  <si>
    <t>Name</t>
  </si>
  <si>
    <t>Email</t>
  </si>
  <si>
    <t>Completion time</t>
  </si>
  <si>
    <t>Start time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</si>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</sst>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1009]d/mmm/yy;@"/>
    <numFmt numFmtId="166" formatCode="m/d/yy\ h:mm:ss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338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" fillId="0" borderId="0"/>
  </cellStyleXfs>
  <cellXfs count="133">
    <xf numFmtId="0" fontId="0" fillId="0" borderId="0" xfId="0"/>
    <xf numFmtId="0" fontId="0" fillId="0" borderId="0" xfId="0" applyAlignment="1">
      <alignment horizontal="center" wrapText="1"/>
    </xf>
    <xf numFmtId="0" fontId="10" fillId="0" borderId="0" xfId="0" applyFont="1"/>
    <xf numFmtId="0" fontId="0" fillId="0" borderId="0" xfId="0" applyAlignment="1">
      <alignment horizontal="center"/>
    </xf>
    <xf numFmtId="0" fontId="14" fillId="0" borderId="0" xfId="0" applyFont="1"/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16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15" fillId="0" borderId="1" xfId="0" applyFont="1" applyBorder="1" applyAlignment="1">
      <alignment horizontal="left" vertical="center" wrapText="1"/>
    </xf>
    <xf numFmtId="0" fontId="15" fillId="0" borderId="0" xfId="0" applyFont="1"/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5" fillId="0" borderId="4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4" fontId="10" fillId="0" borderId="0" xfId="0" applyNumberFormat="1" applyFont="1"/>
    <xf numFmtId="165" fontId="10" fillId="0" borderId="0" xfId="0" applyNumberFormat="1" applyFont="1"/>
    <xf numFmtId="0" fontId="15" fillId="0" borderId="2" xfId="0" applyFont="1" applyBorder="1" applyAlignment="1">
      <alignment horizontal="left" wrapText="1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9" fillId="0" borderId="2" xfId="0" applyFont="1" applyBorder="1" applyAlignment="1">
      <alignment horizontal="left" wrapText="1"/>
    </xf>
    <xf numFmtId="0" fontId="18" fillId="0" borderId="0" xfId="0" applyFont="1"/>
    <xf numFmtId="0" fontId="18" fillId="0" borderId="0" xfId="0" applyFont="1" applyAlignment="1">
      <alignment horizontal="left" vertical="center" indent="8"/>
    </xf>
    <xf numFmtId="0" fontId="9" fillId="0" borderId="1" xfId="0" applyFont="1" applyBorder="1" applyAlignment="1">
      <alignment horizontal="left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3" xfId="0" applyBorder="1"/>
    <xf numFmtId="0" fontId="18" fillId="0" borderId="3" xfId="0" applyFont="1" applyBorder="1" applyAlignment="1">
      <alignment horizontal="left" vertical="center" indent="8"/>
    </xf>
    <xf numFmtId="0" fontId="0" fillId="0" borderId="4" xfId="0" applyBorder="1"/>
    <xf numFmtId="0" fontId="10" fillId="0" borderId="0" xfId="0" applyFont="1" applyAlignment="1">
      <alignment horizontal="left"/>
    </xf>
    <xf numFmtId="0" fontId="15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20" fillId="0" borderId="0" xfId="0" applyFont="1"/>
    <xf numFmtId="0" fontId="10" fillId="5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15" fillId="0" borderId="3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16" fontId="0" fillId="5" borderId="1" xfId="0" applyNumberFormat="1" applyFill="1" applyBorder="1"/>
    <xf numFmtId="0" fontId="0" fillId="0" borderId="6" xfId="0" applyBorder="1"/>
    <xf numFmtId="16" fontId="0" fillId="5" borderId="6" xfId="0" applyNumberFormat="1" applyFill="1" applyBorder="1"/>
    <xf numFmtId="0" fontId="0" fillId="5" borderId="1" xfId="0" applyFill="1" applyBorder="1"/>
    <xf numFmtId="0" fontId="9" fillId="0" borderId="4" xfId="0" applyFont="1" applyBorder="1" applyAlignment="1">
      <alignment horizontal="center" wrapText="1"/>
    </xf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15" fillId="0" borderId="0" xfId="0" applyFont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0" fillId="2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9" fillId="0" borderId="14" xfId="0" applyFont="1" applyBorder="1" applyAlignment="1">
      <alignment horizontal="center" wrapText="1"/>
    </xf>
    <xf numFmtId="0" fontId="9" fillId="0" borderId="11" xfId="0" applyFont="1" applyBorder="1" applyAlignment="1">
      <alignment horizontal="center"/>
    </xf>
    <xf numFmtId="16" fontId="0" fillId="0" borderId="4" xfId="0" applyNumberFormat="1" applyBorder="1"/>
    <xf numFmtId="0" fontId="7" fillId="0" borderId="1" xfId="0" applyFont="1" applyBorder="1" applyAlignment="1">
      <alignment wrapText="1"/>
    </xf>
    <xf numFmtId="15" fontId="0" fillId="0" borderId="0" xfId="0" applyNumberFormat="1"/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5" fillId="5" borderId="4" xfId="0" applyFont="1" applyFill="1" applyBorder="1" applyAlignment="1">
      <alignment horizontal="left" wrapText="1"/>
    </xf>
    <xf numFmtId="164" fontId="0" fillId="5" borderId="0" xfId="0" applyNumberFormat="1" applyFill="1"/>
    <xf numFmtId="0" fontId="4" fillId="0" borderId="0" xfId="337"/>
    <xf numFmtId="14" fontId="4" fillId="0" borderId="0" xfId="337" applyNumberFormat="1"/>
    <xf numFmtId="0" fontId="4" fillId="0" borderId="15" xfId="337" applyBorder="1"/>
    <xf numFmtId="0" fontId="4" fillId="0" borderId="16" xfId="337" applyBorder="1"/>
    <xf numFmtId="0" fontId="4" fillId="0" borderId="17" xfId="337" applyBorder="1"/>
    <xf numFmtId="0" fontId="4" fillId="0" borderId="18" xfId="337" applyBorder="1"/>
    <xf numFmtId="0" fontId="4" fillId="0" borderId="19" xfId="337" applyBorder="1"/>
    <xf numFmtId="0" fontId="4" fillId="0" borderId="20" xfId="337" applyBorder="1"/>
    <xf numFmtId="0" fontId="4" fillId="0" borderId="19" xfId="337" quotePrefix="1" applyBorder="1"/>
    <xf numFmtId="0" fontId="4" fillId="0" borderId="17" xfId="337" quotePrefix="1" applyBorder="1"/>
    <xf numFmtId="0" fontId="4" fillId="5" borderId="21" xfId="337" applyFill="1" applyBorder="1"/>
    <xf numFmtId="0" fontId="4" fillId="5" borderId="22" xfId="337" applyFill="1" applyBorder="1"/>
    <xf numFmtId="0" fontId="4" fillId="5" borderId="0" xfId="337" applyFill="1"/>
    <xf numFmtId="0" fontId="4" fillId="5" borderId="23" xfId="337" applyFill="1" applyBorder="1"/>
    <xf numFmtId="0" fontId="4" fillId="5" borderId="9" xfId="337" applyFill="1" applyBorder="1"/>
    <xf numFmtId="2" fontId="4" fillId="0" borderId="0" xfId="337" applyNumberFormat="1"/>
    <xf numFmtId="166" fontId="4" fillId="0" borderId="0" xfId="337" applyNumberFormat="1"/>
    <xf numFmtId="0" fontId="4" fillId="0" borderId="0" xfId="337" quotePrefix="1"/>
    <xf numFmtId="0" fontId="4" fillId="5" borderId="0" xfId="337" quotePrefix="1" applyFill="1"/>
    <xf numFmtId="14" fontId="4" fillId="5" borderId="0" xfId="337" applyNumberFormat="1" applyFill="1"/>
    <xf numFmtId="0" fontId="21" fillId="0" borderId="0" xfId="0" applyFont="1"/>
    <xf numFmtId="0" fontId="22" fillId="0" borderId="0" xfId="0" applyFont="1"/>
    <xf numFmtId="0" fontId="0" fillId="5" borderId="0" xfId="0" applyFill="1" applyAlignment="1">
      <alignment wrapText="1"/>
    </xf>
    <xf numFmtId="0" fontId="3" fillId="0" borderId="0" xfId="0" applyFont="1"/>
    <xf numFmtId="166" fontId="3" fillId="0" borderId="0" xfId="0" applyNumberFormat="1" applyFont="1"/>
    <xf numFmtId="14" fontId="3" fillId="0" borderId="0" xfId="0" applyNumberFormat="1" applyFont="1"/>
    <xf numFmtId="0" fontId="23" fillId="8" borderId="24" xfId="337" applyFont="1" applyFill="1" applyBorder="1"/>
    <xf numFmtId="0" fontId="23" fillId="8" borderId="25" xfId="337" applyFont="1" applyFill="1" applyBorder="1"/>
    <xf numFmtId="14" fontId="23" fillId="8" borderId="25" xfId="337" applyNumberFormat="1" applyFont="1" applyFill="1" applyBorder="1"/>
    <xf numFmtId="0" fontId="23" fillId="8" borderId="26" xfId="337" applyFont="1" applyFill="1" applyBorder="1"/>
    <xf numFmtId="0" fontId="2" fillId="7" borderId="24" xfId="337" applyFont="1" applyFill="1" applyBorder="1"/>
    <xf numFmtId="166" fontId="2" fillId="7" borderId="25" xfId="337" applyNumberFormat="1" applyFont="1" applyFill="1" applyBorder="1"/>
    <xf numFmtId="0" fontId="2" fillId="7" borderId="25" xfId="337" applyFont="1" applyFill="1" applyBorder="1"/>
    <xf numFmtId="14" fontId="2" fillId="7" borderId="25" xfId="337" applyNumberFormat="1" applyFont="1" applyFill="1" applyBorder="1"/>
    <xf numFmtId="0" fontId="2" fillId="7" borderId="25" xfId="337" quotePrefix="1" applyFont="1" applyFill="1" applyBorder="1"/>
    <xf numFmtId="0" fontId="2" fillId="7" borderId="26" xfId="337" applyFont="1" applyFill="1" applyBorder="1"/>
    <xf numFmtId="0" fontId="2" fillId="0" borderId="24" xfId="337" applyFont="1" applyBorder="1"/>
    <xf numFmtId="166" fontId="2" fillId="0" borderId="25" xfId="337" applyNumberFormat="1" applyFont="1" applyBorder="1"/>
    <xf numFmtId="0" fontId="2" fillId="0" borderId="25" xfId="337" applyFont="1" applyBorder="1"/>
    <xf numFmtId="14" fontId="2" fillId="0" borderId="25" xfId="337" applyNumberFormat="1" applyFont="1" applyBorder="1"/>
    <xf numFmtId="0" fontId="2" fillId="0" borderId="25" xfId="337" quotePrefix="1" applyFont="1" applyBorder="1"/>
    <xf numFmtId="0" fontId="2" fillId="0" borderId="26" xfId="337" applyFont="1" applyBorder="1"/>
    <xf numFmtId="0" fontId="2" fillId="5" borderId="25" xfId="337" applyFont="1" applyFill="1" applyBorder="1"/>
    <xf numFmtId="14" fontId="2" fillId="5" borderId="25" xfId="337" applyNumberFormat="1" applyFont="1" applyFill="1" applyBorder="1"/>
    <xf numFmtId="0" fontId="2" fillId="5" borderId="25" xfId="337" quotePrefix="1" applyFont="1" applyFill="1" applyBorder="1"/>
    <xf numFmtId="0" fontId="15" fillId="0" borderId="27" xfId="0" applyFont="1" applyBorder="1"/>
    <xf numFmtId="166" fontId="15" fillId="0" borderId="28" xfId="0" applyNumberFormat="1" applyFont="1" applyBorder="1"/>
    <xf numFmtId="0" fontId="15" fillId="0" borderId="28" xfId="0" applyFont="1" applyBorder="1"/>
    <xf numFmtId="14" fontId="15" fillId="0" borderId="28" xfId="0" applyNumberFormat="1" applyFont="1" applyBorder="1"/>
    <xf numFmtId="0" fontId="15" fillId="0" borderId="29" xfId="0" applyFont="1" applyBorder="1"/>
    <xf numFmtId="0" fontId="1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5" borderId="25" xfId="337" quotePrefix="1" applyNumberFormat="1" applyFont="1" applyFill="1" applyBorder="1" applyAlignment="1"/>
  </cellXfs>
  <cellStyles count="338">
    <cellStyle name="Followed Hyperlink" xfId="298" builtinId="9" hidden="1"/>
    <cellStyle name="Followed Hyperlink" xfId="64" builtinId="9" hidden="1"/>
    <cellStyle name="Followed Hyperlink" xfId="238" builtinId="9" hidden="1"/>
    <cellStyle name="Followed Hyperlink" xfId="256" builtinId="9" hidden="1"/>
    <cellStyle name="Followed Hyperlink" xfId="10" builtinId="9" hidden="1"/>
    <cellStyle name="Followed Hyperlink" xfId="154" builtinId="9" hidden="1"/>
    <cellStyle name="Followed Hyperlink" xfId="306" builtinId="9" hidden="1"/>
    <cellStyle name="Followed Hyperlink" xfId="172" builtinId="9" hidden="1"/>
    <cellStyle name="Followed Hyperlink" xfId="126" builtinId="9" hidden="1"/>
    <cellStyle name="Followed Hyperlink" xfId="138" builtinId="9" hidden="1"/>
    <cellStyle name="Followed Hyperlink" xfId="324" builtinId="9" hidden="1"/>
    <cellStyle name="Followed Hyperlink" xfId="140" builtinId="9" hidden="1"/>
    <cellStyle name="Followed Hyperlink" xfId="148" builtinId="9" hidden="1"/>
    <cellStyle name="Followed Hyperlink" xfId="282" builtinId="9" hidden="1"/>
    <cellStyle name="Followed Hyperlink" xfId="254" builtinId="9" hidden="1"/>
    <cellStyle name="Followed Hyperlink" xfId="264" builtinId="9" hidden="1"/>
    <cellStyle name="Followed Hyperlink" xfId="290" builtinId="9" hidden="1"/>
    <cellStyle name="Followed Hyperlink" xfId="310" builtinId="9" hidden="1"/>
    <cellStyle name="Followed Hyperlink" xfId="74" builtinId="9" hidden="1"/>
    <cellStyle name="Followed Hyperlink" xfId="122" builtinId="9" hidden="1"/>
    <cellStyle name="Followed Hyperlink" xfId="76" builtinId="9" hidden="1"/>
    <cellStyle name="Followed Hyperlink" xfId="272" builtinId="9" hidden="1"/>
    <cellStyle name="Followed Hyperlink" xfId="26" builtinId="9" hidden="1"/>
    <cellStyle name="Followed Hyperlink" xfId="326" builtinId="9" hidden="1"/>
    <cellStyle name="Followed Hyperlink" xfId="292" builtinId="9" hidden="1"/>
    <cellStyle name="Followed Hyperlink" xfId="124" builtinId="9" hidden="1"/>
    <cellStyle name="Followed Hyperlink" xfId="206" builtinId="9" hidden="1"/>
    <cellStyle name="Followed Hyperlink" xfId="52" builtinId="9" hidden="1"/>
    <cellStyle name="Followed Hyperlink" xfId="200" builtinId="9" hidden="1"/>
    <cellStyle name="Followed Hyperlink" xfId="320" builtinId="9" hidden="1"/>
    <cellStyle name="Followed Hyperlink" xfId="218" builtinId="9" hidden="1"/>
    <cellStyle name="Followed Hyperlink" xfId="328" builtinId="9" hidden="1"/>
    <cellStyle name="Followed Hyperlink" xfId="72" builtinId="9" hidden="1"/>
    <cellStyle name="Followed Hyperlink" xfId="56" builtinId="9" hidden="1"/>
    <cellStyle name="Followed Hyperlink" xfId="58" builtinId="9" hidden="1"/>
    <cellStyle name="Followed Hyperlink" xfId="192" builtinId="9" hidden="1"/>
    <cellStyle name="Followed Hyperlink" xfId="286" builtinId="9" hidden="1"/>
    <cellStyle name="Followed Hyperlink" xfId="134" builtinId="9" hidden="1"/>
    <cellStyle name="Followed Hyperlink" xfId="182" builtinId="9" hidden="1"/>
    <cellStyle name="Followed Hyperlink" xfId="98" builtinId="9" hidden="1"/>
    <cellStyle name="Followed Hyperlink" xfId="108" builtinId="9" hidden="1"/>
    <cellStyle name="Followed Hyperlink" xfId="84" builtinId="9" hidden="1"/>
    <cellStyle name="Followed Hyperlink" xfId="278" builtinId="9" hidden="1"/>
    <cellStyle name="Followed Hyperlink" xfId="302" builtinId="9" hidden="1"/>
    <cellStyle name="Followed Hyperlink" xfId="270" builtinId="9" hidden="1"/>
    <cellStyle name="Followed Hyperlink" xfId="62" builtinId="9" hidden="1"/>
    <cellStyle name="Followed Hyperlink" xfId="24" builtinId="9" hidden="1"/>
    <cellStyle name="Followed Hyperlink" xfId="266" builtinId="9" hidden="1"/>
    <cellStyle name="Followed Hyperlink" xfId="220" builtinId="9" hidden="1"/>
    <cellStyle name="Followed Hyperlink" xfId="316" builtinId="9" hidden="1"/>
    <cellStyle name="Followed Hyperlink" xfId="224" builtinId="9" hidden="1"/>
    <cellStyle name="Followed Hyperlink" xfId="334" builtinId="9" hidden="1"/>
    <cellStyle name="Followed Hyperlink" xfId="288" builtinId="9" hidden="1"/>
    <cellStyle name="Followed Hyperlink" xfId="18" builtinId="9" hidden="1"/>
    <cellStyle name="Followed Hyperlink" xfId="230" builtinId="9" hidden="1"/>
    <cellStyle name="Followed Hyperlink" xfId="330" builtinId="9" hidden="1"/>
    <cellStyle name="Followed Hyperlink" xfId="234" builtinId="9" hidden="1"/>
    <cellStyle name="Followed Hyperlink" xfId="314" builtinId="9" hidden="1"/>
    <cellStyle name="Followed Hyperlink" xfId="2" builtinId="9" hidden="1"/>
    <cellStyle name="Followed Hyperlink" xfId="34" builtinId="9" hidden="1"/>
    <cellStyle name="Followed Hyperlink" xfId="204" builtinId="9" hidden="1"/>
    <cellStyle name="Followed Hyperlink" xfId="102" builtinId="9" hidden="1"/>
    <cellStyle name="Followed Hyperlink" xfId="240" builtinId="9" hidden="1"/>
    <cellStyle name="Followed Hyperlink" xfId="82" builtinId="9" hidden="1"/>
    <cellStyle name="Followed Hyperlink" xfId="184" builtinId="9" hidden="1"/>
    <cellStyle name="Followed Hyperlink" xfId="44" builtinId="9" hidden="1"/>
    <cellStyle name="Followed Hyperlink" xfId="16" builtinId="9" hidden="1"/>
    <cellStyle name="Followed Hyperlink" xfId="46" builtinId="9" hidden="1"/>
    <cellStyle name="Followed Hyperlink" xfId="120" builtinId="9" hidden="1"/>
    <cellStyle name="Followed Hyperlink" xfId="212" builtinId="9" hidden="1"/>
    <cellStyle name="Followed Hyperlink" xfId="86" builtinId="9" hidden="1"/>
    <cellStyle name="Followed Hyperlink" xfId="308" builtinId="9" hidden="1"/>
    <cellStyle name="Followed Hyperlink" xfId="146" builtinId="9" hidden="1"/>
    <cellStyle name="Followed Hyperlink" xfId="216" builtinId="9" hidden="1"/>
    <cellStyle name="Followed Hyperlink" xfId="106" builtinId="9" hidden="1"/>
    <cellStyle name="Followed Hyperlink" xfId="66" builtinId="9" hidden="1"/>
    <cellStyle name="Followed Hyperlink" xfId="32" builtinId="9" hidden="1"/>
    <cellStyle name="Followed Hyperlink" xfId="116" builtinId="9" hidden="1"/>
    <cellStyle name="Followed Hyperlink" xfId="248" builtinId="9" hidden="1"/>
    <cellStyle name="Followed Hyperlink" xfId="20" builtinId="9" hidden="1"/>
    <cellStyle name="Followed Hyperlink" xfId="90" builtinId="9" hidden="1"/>
    <cellStyle name="Followed Hyperlink" xfId="48" builtinId="9" hidden="1"/>
    <cellStyle name="Followed Hyperlink" xfId="50" builtinId="9" hidden="1"/>
    <cellStyle name="Followed Hyperlink" xfId="312" builtinId="9" hidden="1"/>
    <cellStyle name="Followed Hyperlink" xfId="118" builtinId="9" hidden="1"/>
    <cellStyle name="Followed Hyperlink" xfId="198" builtinId="9" hidden="1"/>
    <cellStyle name="Followed Hyperlink" xfId="222" builtinId="9" hidden="1"/>
    <cellStyle name="Followed Hyperlink" xfId="168" builtinId="9" hidden="1"/>
    <cellStyle name="Followed Hyperlink" xfId="8" builtinId="9" hidden="1"/>
    <cellStyle name="Followed Hyperlink" xfId="210" builtinId="9" hidden="1"/>
    <cellStyle name="Followed Hyperlink" xfId="136" builtinId="9" hidden="1"/>
    <cellStyle name="Followed Hyperlink" xfId="12" builtinId="9" hidden="1"/>
    <cellStyle name="Followed Hyperlink" xfId="144" builtinId="9" hidden="1"/>
    <cellStyle name="Followed Hyperlink" xfId="174" builtinId="9" hidden="1"/>
    <cellStyle name="Followed Hyperlink" xfId="94" builtinId="9" hidden="1"/>
    <cellStyle name="Followed Hyperlink" xfId="14" builtinId="9" hidden="1"/>
    <cellStyle name="Followed Hyperlink" xfId="158" builtinId="9" hidden="1"/>
    <cellStyle name="Followed Hyperlink" xfId="208" builtinId="9" hidden="1"/>
    <cellStyle name="Followed Hyperlink" xfId="284" builtinId="9" hidden="1"/>
    <cellStyle name="Followed Hyperlink" xfId="176" builtinId="9" hidden="1"/>
    <cellStyle name="Followed Hyperlink" xfId="250" builtinId="9" hidden="1"/>
    <cellStyle name="Followed Hyperlink" xfId="180" builtinId="9" hidden="1"/>
    <cellStyle name="Followed Hyperlink" xfId="110" builtinId="9" hidden="1"/>
    <cellStyle name="Followed Hyperlink" xfId="226" builtinId="9" hidden="1"/>
    <cellStyle name="Followed Hyperlink" xfId="258" builtinId="9" hidden="1"/>
    <cellStyle name="Followed Hyperlink" xfId="40" builtinId="9" hidden="1"/>
    <cellStyle name="Followed Hyperlink" xfId="36" builtinId="9" hidden="1"/>
    <cellStyle name="Followed Hyperlink" xfId="332" builtinId="9" hidden="1"/>
    <cellStyle name="Followed Hyperlink" xfId="194" builtinId="9" hidden="1"/>
    <cellStyle name="Followed Hyperlink" xfId="246" builtinId="9" hidden="1"/>
    <cellStyle name="Followed Hyperlink" xfId="294" builtinId="9" hidden="1"/>
    <cellStyle name="Followed Hyperlink" xfId="260" builtinId="9" hidden="1"/>
    <cellStyle name="Followed Hyperlink" xfId="92" builtinId="9" hidden="1"/>
    <cellStyle name="Followed Hyperlink" xfId="280" builtinId="9" hidden="1"/>
    <cellStyle name="Followed Hyperlink" xfId="252" builtinId="9" hidden="1"/>
    <cellStyle name="Followed Hyperlink" xfId="232" builtinId="9" hidden="1"/>
    <cellStyle name="Followed Hyperlink" xfId="262" builtinId="9" hidden="1"/>
    <cellStyle name="Followed Hyperlink" xfId="28" builtinId="9" hidden="1"/>
    <cellStyle name="Followed Hyperlink" xfId="322" builtinId="9" hidden="1"/>
    <cellStyle name="Followed Hyperlink" xfId="60" builtinId="9" hidden="1"/>
    <cellStyle name="Followed Hyperlink" xfId="88" builtinId="9" hidden="1"/>
    <cellStyle name="Followed Hyperlink" xfId="70" builtinId="9" hidden="1"/>
    <cellStyle name="Followed Hyperlink" xfId="336" builtinId="9" hidden="1"/>
    <cellStyle name="Followed Hyperlink" xfId="188" builtinId="9" hidden="1"/>
    <cellStyle name="Followed Hyperlink" xfId="190" builtinId="9" hidden="1"/>
    <cellStyle name="Followed Hyperlink" xfId="112" builtinId="9" hidden="1"/>
    <cellStyle name="Followed Hyperlink" xfId="80" builtinId="9" hidden="1"/>
    <cellStyle name="Followed Hyperlink" xfId="78" builtinId="9" hidden="1"/>
    <cellStyle name="Followed Hyperlink" xfId="274" builtinId="9" hidden="1"/>
    <cellStyle name="Followed Hyperlink" xfId="170" builtinId="9" hidden="1"/>
    <cellStyle name="Followed Hyperlink" xfId="166" builtinId="9" hidden="1"/>
    <cellStyle name="Followed Hyperlink" xfId="22" builtinId="9" hidden="1"/>
    <cellStyle name="Followed Hyperlink" xfId="214" builtinId="9" hidden="1"/>
    <cellStyle name="Followed Hyperlink" xfId="162" builtinId="9" hidden="1"/>
    <cellStyle name="Followed Hyperlink" xfId="300" builtinId="9" hidden="1"/>
    <cellStyle name="Followed Hyperlink" xfId="4" builtinId="9" hidden="1"/>
    <cellStyle name="Followed Hyperlink" xfId="38" builtinId="9" hidden="1"/>
    <cellStyle name="Followed Hyperlink" xfId="42" builtinId="9" hidden="1"/>
    <cellStyle name="Followed Hyperlink" xfId="164" builtinId="9" hidden="1"/>
    <cellStyle name="Followed Hyperlink" xfId="100" builtinId="9" hidden="1"/>
    <cellStyle name="Followed Hyperlink" xfId="160" builtinId="9" hidden="1"/>
    <cellStyle name="Followed Hyperlink" xfId="150" builtinId="9" hidden="1"/>
    <cellStyle name="Followed Hyperlink" xfId="244" builtinId="9" hidden="1"/>
    <cellStyle name="Followed Hyperlink" xfId="6" builtinId="9" hidden="1"/>
    <cellStyle name="Followed Hyperlink" xfId="104" builtinId="9" hidden="1"/>
    <cellStyle name="Followed Hyperlink" xfId="142" builtinId="9" hidden="1"/>
    <cellStyle name="Followed Hyperlink" xfId="114" builtinId="9" hidden="1"/>
    <cellStyle name="Followed Hyperlink" xfId="30" builtinId="9" hidden="1"/>
    <cellStyle name="Followed Hyperlink" xfId="296" builtinId="9" hidden="1"/>
    <cellStyle name="Followed Hyperlink" xfId="68" builtinId="9" hidden="1"/>
    <cellStyle name="Followed Hyperlink" xfId="128" builtinId="9" hidden="1"/>
    <cellStyle name="Followed Hyperlink" xfId="132" builtinId="9" hidden="1"/>
    <cellStyle name="Followed Hyperlink" xfId="196" builtinId="9" hidden="1"/>
    <cellStyle name="Followed Hyperlink" xfId="202" builtinId="9" hidden="1"/>
    <cellStyle name="Followed Hyperlink" xfId="276" builtinId="9" hidden="1"/>
    <cellStyle name="Followed Hyperlink" xfId="268" builtinId="9" hidden="1"/>
    <cellStyle name="Followed Hyperlink" xfId="178" builtinId="9" hidden="1"/>
    <cellStyle name="Followed Hyperlink" xfId="130" builtinId="9" hidden="1"/>
    <cellStyle name="Followed Hyperlink" xfId="318" builtinId="9" hidden="1"/>
    <cellStyle name="Followed Hyperlink" xfId="228" builtinId="9" hidden="1"/>
    <cellStyle name="Followed Hyperlink" xfId="54" builtinId="9" hidden="1"/>
    <cellStyle name="Followed Hyperlink" xfId="242" builtinId="9" hidden="1"/>
    <cellStyle name="Followed Hyperlink" xfId="236" builtinId="9" hidden="1"/>
    <cellStyle name="Followed Hyperlink" xfId="152" builtinId="9" hidden="1"/>
    <cellStyle name="Followed Hyperlink" xfId="186" builtinId="9" hidden="1"/>
    <cellStyle name="Followed Hyperlink" xfId="96" builtinId="9" hidden="1"/>
    <cellStyle name="Followed Hyperlink" xfId="304" builtinId="9" hidden="1"/>
    <cellStyle name="Followed Hyperlink" xfId="156" builtinId="9" hidden="1"/>
    <cellStyle name="Hyperlink" xfId="155" builtinId="8" hidden="1"/>
    <cellStyle name="Hyperlink" xfId="149" builtinId="8" hidden="1"/>
    <cellStyle name="Hyperlink" xfId="169" builtinId="8" hidden="1"/>
    <cellStyle name="Hyperlink" xfId="137" builtinId="8" hidden="1"/>
    <cellStyle name="Hyperlink" xfId="313" builtinId="8" hidden="1"/>
    <cellStyle name="Hyperlink" xfId="145" builtinId="8" hidden="1"/>
    <cellStyle name="Hyperlink" xfId="97" builtinId="8" hidden="1"/>
    <cellStyle name="Hyperlink" xfId="305" builtinId="8" hidden="1"/>
    <cellStyle name="Hyperlink" xfId="113" builtinId="8" hidden="1"/>
    <cellStyle name="Hyperlink" xfId="35" builtinId="8" hidden="1"/>
    <cellStyle name="Hyperlink" xfId="29" builtinId="8" hidden="1"/>
    <cellStyle name="Hyperlink" xfId="139" builtinId="8" hidden="1"/>
    <cellStyle name="Hyperlink" xfId="301" builtinId="8" hidden="1"/>
    <cellStyle name="Hyperlink" xfId="297" builtinId="8" hidden="1"/>
    <cellStyle name="Hyperlink" xfId="69" builtinId="8" hidden="1"/>
    <cellStyle name="Hyperlink" xfId="281" builtinId="8" hidden="1"/>
    <cellStyle name="Hyperlink" xfId="207" builtinId="8" hidden="1"/>
    <cellStyle name="Hyperlink" xfId="287" builtinId="8" hidden="1"/>
    <cellStyle name="Hyperlink" xfId="123" builtinId="8" hidden="1"/>
    <cellStyle name="Hyperlink" xfId="147" builtinId="8" hidden="1"/>
    <cellStyle name="Hyperlink" xfId="81" builtinId="8" hidden="1"/>
    <cellStyle name="Hyperlink" xfId="159" builtinId="8" hidden="1"/>
    <cellStyle name="Hyperlink" xfId="5" builtinId="8" hidden="1"/>
    <cellStyle name="Hyperlink" xfId="317" builtinId="8" hidden="1"/>
    <cellStyle name="Hyperlink" xfId="85" builtinId="8" hidden="1"/>
    <cellStyle name="Hyperlink" xfId="203" builtinId="8" hidden="1"/>
    <cellStyle name="Hyperlink" xfId="61" builtinId="8" hidden="1"/>
    <cellStyle name="Hyperlink" xfId="73" builtinId="8" hidden="1"/>
    <cellStyle name="Hyperlink" xfId="211" builtinId="8" hidden="1"/>
    <cellStyle name="Hyperlink" xfId="187" builtinId="8" hidden="1"/>
    <cellStyle name="Hyperlink" xfId="277" builtinId="8" hidden="1"/>
    <cellStyle name="Hyperlink" xfId="215" builtinId="8" hidden="1"/>
    <cellStyle name="Hyperlink" xfId="23" builtinId="8" hidden="1"/>
    <cellStyle name="Hyperlink" xfId="21" builtinId="8" hidden="1"/>
    <cellStyle name="Hyperlink" xfId="89" builtinId="8" hidden="1"/>
    <cellStyle name="Hyperlink" xfId="93" builtinId="8" hidden="1"/>
    <cellStyle name="Hyperlink" xfId="229" builtinId="8" hidden="1"/>
    <cellStyle name="Hyperlink" xfId="163" builtinId="8" hidden="1"/>
    <cellStyle name="Hyperlink" xfId="219" builtinId="8" hidden="1"/>
    <cellStyle name="Hyperlink" xfId="223" builtinId="8" hidden="1"/>
    <cellStyle name="Hyperlink" xfId="295" builtinId="8" hidden="1"/>
    <cellStyle name="Hyperlink" xfId="237" builtinId="8" hidden="1"/>
    <cellStyle name="Hyperlink" xfId="179" builtinId="8" hidden="1"/>
    <cellStyle name="Hyperlink" xfId="325" builtinId="8" hidden="1"/>
    <cellStyle name="Hyperlink" xfId="101" builtinId="8" hidden="1"/>
    <cellStyle name="Hyperlink" xfId="121" builtinId="8" hidden="1"/>
    <cellStyle name="Hyperlink" xfId="131" builtinId="8" hidden="1"/>
    <cellStyle name="Hyperlink" xfId="133" builtinId="8" hidden="1"/>
    <cellStyle name="Hyperlink" xfId="227" builtinId="8" hidden="1"/>
    <cellStyle name="Hyperlink" xfId="257" builtinId="8" hidden="1"/>
    <cellStyle name="Hyperlink" xfId="189" builtinId="8" hidden="1"/>
    <cellStyle name="Hyperlink" xfId="263" builtinId="8" hidden="1"/>
    <cellStyle name="Hyperlink" xfId="171" builtinId="8" hidden="1"/>
    <cellStyle name="Hyperlink" xfId="249" builtinId="8" hidden="1"/>
    <cellStyle name="Hyperlink" xfId="245" builtinId="8" hidden="1"/>
    <cellStyle name="Hyperlink" xfId="271" builtinId="8" hidden="1"/>
    <cellStyle name="Hyperlink" xfId="267" builtinId="8" hidden="1"/>
    <cellStyle name="Hyperlink" xfId="65" builtinId="8" hidden="1"/>
    <cellStyle name="Hyperlink" xfId="289" builtinId="8" hidden="1"/>
    <cellStyle name="Hyperlink" xfId="151" builtinId="8" hidden="1"/>
    <cellStyle name="Hyperlink" xfId="83" builtinId="8" hidden="1"/>
    <cellStyle name="Hyperlink" xfId="33" builtinId="8" hidden="1"/>
    <cellStyle name="Hyperlink" xfId="45" builtinId="8" hidden="1"/>
    <cellStyle name="Hyperlink" xfId="13" builtinId="8" hidden="1"/>
    <cellStyle name="Hyperlink" xfId="303" builtinId="8" hidden="1"/>
    <cellStyle name="Hyperlink" xfId="71" builtinId="8" hidden="1"/>
    <cellStyle name="Hyperlink" xfId="165" builtinId="8" hidden="1"/>
    <cellStyle name="Hyperlink" xfId="129" builtinId="8" hidden="1"/>
    <cellStyle name="Hyperlink" xfId="181" builtinId="8" hidden="1"/>
    <cellStyle name="Hyperlink" xfId="195" builtinId="8" hidden="1"/>
    <cellStyle name="Hyperlink" xfId="335" builtinId="8" hidden="1"/>
    <cellStyle name="Hyperlink" xfId="251" builtinId="8" hidden="1"/>
    <cellStyle name="Hyperlink" xfId="327" builtinId="8" hidden="1"/>
    <cellStyle name="Hyperlink" xfId="321" builtinId="8" hidden="1"/>
    <cellStyle name="Hyperlink" xfId="41" builtinId="8" hidden="1"/>
    <cellStyle name="Hyperlink" xfId="331" builtinId="8" hidden="1"/>
    <cellStyle name="Hyperlink" xfId="47" builtinId="8" hidden="1"/>
    <cellStyle name="Hyperlink" xfId="261" builtinId="8" hidden="1"/>
    <cellStyle name="Hyperlink" xfId="57" builtinId="8" hidden="1"/>
    <cellStyle name="Hyperlink" xfId="265" builtinId="8" hidden="1"/>
    <cellStyle name="Hyperlink" xfId="49" builtinId="8" hidden="1"/>
    <cellStyle name="Hyperlink" xfId="153" builtinId="8" hidden="1"/>
    <cellStyle name="Hyperlink" xfId="175" builtinId="8" hidden="1"/>
    <cellStyle name="Hyperlink" xfId="319" builtinId="8" hidden="1"/>
    <cellStyle name="Hyperlink" xfId="111" builtinId="8" hidden="1"/>
    <cellStyle name="Hyperlink" xfId="51" builtinId="8" hidden="1"/>
    <cellStyle name="Hyperlink" xfId="43" builtinId="8" hidden="1"/>
    <cellStyle name="Hyperlink" xfId="157" builtinId="8" hidden="1"/>
    <cellStyle name="Hyperlink" xfId="3" builtinId="8" hidden="1"/>
    <cellStyle name="Hyperlink" xfId="19" builtinId="8" hidden="1"/>
    <cellStyle name="Hyperlink" xfId="63" builtinId="8" hidden="1"/>
    <cellStyle name="Hyperlink" xfId="37" builtinId="8" hidden="1"/>
    <cellStyle name="Hyperlink" xfId="119" builtinId="8" hidden="1"/>
    <cellStyle name="Hyperlink" xfId="253" builtinId="8" hidden="1"/>
    <cellStyle name="Hyperlink" xfId="329" builtinId="8" hidden="1"/>
    <cellStyle name="Hyperlink" xfId="247" builtinId="8" hidden="1"/>
    <cellStyle name="Hyperlink" xfId="273" builtinId="8" hidden="1"/>
    <cellStyle name="Hyperlink" xfId="283" builtinId="8" hidden="1"/>
    <cellStyle name="Hyperlink" xfId="143" builtinId="8" hidden="1"/>
    <cellStyle name="Hyperlink" xfId="31" builtinId="8" hidden="1"/>
    <cellStyle name="Hyperlink" xfId="185" builtinId="8" hidden="1"/>
    <cellStyle name="Hyperlink" xfId="105" builtinId="8" hidden="1"/>
    <cellStyle name="Hyperlink" xfId="59" builtinId="8" hidden="1"/>
    <cellStyle name="Hyperlink" xfId="217" builtinId="8" hidden="1"/>
    <cellStyle name="Hyperlink" xfId="225" builtinId="8" hidden="1"/>
    <cellStyle name="Hyperlink" xfId="233" builtinId="8" hidden="1"/>
    <cellStyle name="Hyperlink" xfId="15" builtinId="8" hidden="1"/>
    <cellStyle name="Hyperlink" xfId="259" builtinId="8" hidden="1"/>
    <cellStyle name="Hyperlink" xfId="183" builtinId="8" hidden="1"/>
    <cellStyle name="Hyperlink" xfId="67" builtinId="8" hidden="1"/>
    <cellStyle name="Hyperlink" xfId="91" builtinId="8" hidden="1"/>
    <cellStyle name="Hyperlink" xfId="167" builtinId="8" hidden="1"/>
    <cellStyle name="Hyperlink" xfId="141" builtinId="8" hidden="1"/>
    <cellStyle name="Hyperlink" xfId="241" builtinId="8" hidden="1"/>
    <cellStyle name="Hyperlink" xfId="255" builtinId="8" hidden="1"/>
    <cellStyle name="Hyperlink" xfId="269" builtinId="8" hidden="1"/>
    <cellStyle name="Hyperlink" xfId="307" builtinId="8" hidden="1"/>
    <cellStyle name="Hyperlink" xfId="75" builtinId="8" hidden="1"/>
    <cellStyle name="Hyperlink" xfId="291" builtinId="8" hidden="1"/>
    <cellStyle name="Hyperlink" xfId="77" builtinId="8" hidden="1"/>
    <cellStyle name="Hyperlink" xfId="193" builtinId="8" hidden="1"/>
    <cellStyle name="Hyperlink" xfId="243" builtinId="8" hidden="1"/>
    <cellStyle name="Hyperlink" xfId="27" builtinId="8" hidden="1"/>
    <cellStyle name="Hyperlink" xfId="107" builtinId="8" hidden="1"/>
    <cellStyle name="Hyperlink" xfId="191" builtinId="8" hidden="1"/>
    <cellStyle name="Hyperlink" xfId="55" builtinId="8" hidden="1"/>
    <cellStyle name="Hyperlink" xfId="9" builtinId="8" hidden="1"/>
    <cellStyle name="Hyperlink" xfId="279" builtinId="8" hidden="1"/>
    <cellStyle name="Hyperlink" xfId="285" builtinId="8" hidden="1"/>
    <cellStyle name="Hyperlink" xfId="293" builtinId="8" hidden="1"/>
    <cellStyle name="Hyperlink" xfId="309" builtinId="8" hidden="1"/>
    <cellStyle name="Hyperlink" xfId="199" builtinId="8" hidden="1"/>
    <cellStyle name="Hyperlink" xfId="79" builtinId="8" hidden="1"/>
    <cellStyle name="Hyperlink" xfId="239" builtinId="8" hidden="1"/>
    <cellStyle name="Hyperlink" xfId="127" builtinId="8" hidden="1"/>
    <cellStyle name="Hyperlink" xfId="39" builtinId="8" hidden="1"/>
    <cellStyle name="Hyperlink" xfId="235" builtinId="8" hidden="1"/>
    <cellStyle name="Hyperlink" xfId="103" builtinId="8" hidden="1"/>
    <cellStyle name="Hyperlink" xfId="323" builtinId="8" hidden="1"/>
    <cellStyle name="Hyperlink" xfId="117" builtinId="8" hidden="1"/>
    <cellStyle name="Hyperlink" xfId="315" builtinId="8" hidden="1"/>
    <cellStyle name="Hyperlink" xfId="109" builtinId="8" hidden="1"/>
    <cellStyle name="Hyperlink" xfId="115" builtinId="8" hidden="1"/>
    <cellStyle name="Hyperlink" xfId="95" builtinId="8" hidden="1"/>
    <cellStyle name="Hyperlink" xfId="197" builtinId="8" hidden="1"/>
    <cellStyle name="Hyperlink" xfId="221" builtinId="8" hidden="1"/>
    <cellStyle name="Hyperlink" xfId="17" builtinId="8" hidden="1"/>
    <cellStyle name="Hyperlink" xfId="333" builtinId="8" hidden="1"/>
    <cellStyle name="Hyperlink" xfId="135" builtinId="8" hidden="1"/>
    <cellStyle name="Hyperlink" xfId="173" builtinId="8" hidden="1"/>
    <cellStyle name="Hyperlink" xfId="177" builtinId="8" hidden="1"/>
    <cellStyle name="Hyperlink" xfId="201" builtinId="8" hidden="1"/>
    <cellStyle name="Hyperlink" xfId="213" builtinId="8" hidden="1"/>
    <cellStyle name="Hyperlink" xfId="161" builtinId="8" hidden="1"/>
    <cellStyle name="Hyperlink" xfId="53" builtinId="8" hidden="1"/>
    <cellStyle name="Hyperlink" xfId="231" builtinId="8" hidden="1"/>
    <cellStyle name="Hyperlink" xfId="125" builtinId="8" hidden="1"/>
    <cellStyle name="Hyperlink" xfId="275" builtinId="8" hidden="1"/>
    <cellStyle name="Hyperlink" xfId="311" builtinId="8" hidden="1"/>
    <cellStyle name="Hyperlink" xfId="299" builtinId="8" hidden="1"/>
    <cellStyle name="Hyperlink" xfId="209" builtinId="8" hidden="1"/>
    <cellStyle name="Hyperlink" xfId="87" builtinId="8" hidden="1"/>
    <cellStyle name="Hyperlink" xfId="1" builtinId="8" hidden="1"/>
    <cellStyle name="Hyperlink" xfId="99" builtinId="8" hidden="1"/>
    <cellStyle name="Hyperlink" xfId="11" builtinId="8" hidden="1"/>
    <cellStyle name="Hyperlink" xfId="7" builtinId="8" hidden="1"/>
    <cellStyle name="Hyperlink" xfId="25" builtinId="8" hidden="1"/>
    <cellStyle name="Hyperlink" xfId="205" builtinId="8" hidden="1"/>
    <cellStyle name="Normal" xfId="0" builtinId="0"/>
    <cellStyle name="Normal 3" xfId="337" xr:uid="{6A82AEA3-F71F-4306-967E-327874582D67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m/d/yy\ 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m/d/yy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m/d/yy\ 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m/d/yy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109542</xdr:colOff>
      <xdr:row>11</xdr:row>
      <xdr:rowOff>60961</xdr:rowOff>
    </xdr:from>
    <xdr:to>
      <xdr:col>10</xdr:col>
      <xdr:colOff>585664</xdr:colOff>
      <xdr:row>25</xdr:row>
      <xdr:rowOff>129541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BEE5A-9F70-4C38-B29B-59FA89B7FD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32" t="1000"/>
        <a:stretch/>
      </xdr:blipFill>
      <xdr:spPr>
        <a:xfrm>
          <a:off x="6937062" y="2567941"/>
          <a:ext cx="5253862" cy="28422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2</xdr:row>
      <xdr:rowOff>0</xdr:rowOff>
    </xdr:from>
    <xdr:to>
      <xdr:col>6</xdr:col>
      <xdr:colOff>668142</xdr:colOff>
      <xdr:row>33</xdr:row>
      <xdr:rowOff>58280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6A18C0-FBAB-412A-B233-26EC0CD4E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396240"/>
          <a:ext cx="4104762" cy="6200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10F9D-F35E-4FF6-B24E-FF8119810A58}" name="Table1" displayName="Table1" ref="A1:J49" totalsRowCount="1">
  <autoFilter ref="A1:J48" xr:uid="{00000000-0009-0000-0100-000001000000}">
    <filterColumn colId="8">
      <filters>
        <filter val="NASA;"/>
        <filter val="NASA;Church;College;Demo Farm Linear;Demo Farm Wheels;"/>
        <filter val="NASA;Church;College;Demo Farm Linear;Demo Farm Wheels;Poppy Farm;"/>
        <filter val="NASA;Church;College;Demo Farm Linear;Poppy Farm;"/>
        <filter val="NASA;Church;College;Demo Farm Linear;Poppy Farm;Demo Farm Wheels;"/>
      </filters>
    </filterColumn>
  </autoFilter>
  <sortState xmlns:xlrd2="http://schemas.microsoft.com/office/spreadsheetml/2017/richdata2" ref="A2:J48">
    <sortCondition ref="F1:F48"/>
  </sortState>
  <tableColumns count="10">
    <tableColumn id="1" xr3:uid="{D641CA53-C262-4750-B082-B095A7532EA8}" name="ID" dataDxfId="19" totalsRowDxfId="18"/>
    <tableColumn id="2" xr3:uid="{467775F4-D438-4220-B636-97DF083E48C6}" name="Start time" dataDxfId="17" totalsRowDxfId="16"/>
    <tableColumn id="3" xr3:uid="{27D00448-BB36-4C1F-AF2E-3128CE1A6A69}" name="Completion time" dataDxfId="15" totalsRowDxfId="14"/>
    <tableColumn id="4" xr3:uid="{48D935AA-6359-4F7F-AAAF-97F903C303BE}" name="Email" dataDxfId="13" totalsRowDxfId="12"/>
    <tableColumn id="5" xr3:uid="{BC82448E-C79D-4448-8FEF-538476264FE6}" name="Name" dataDxfId="11" totalsRowDxfId="10"/>
    <tableColumn id="6" xr3:uid="{174222BF-9F73-45BC-BE63-DEE098178254}" name="Type of Application" dataDxfId="9" totalsRowDxfId="8"/>
    <tableColumn id="7" xr3:uid="{B4D90C5C-7608-43D4-ACFE-613A82294215}" name="Day of Event" dataDxfId="7" totalsRowDxfId="6"/>
    <tableColumn id="8" xr3:uid="{C8A1050C-907D-433F-B44B-2FCF80D7FA38}" name="Amount of Water in Inches" dataDxfId="5" totalsRowDxfId="4"/>
    <tableColumn id="9" xr3:uid="{27942047-8DB3-48B2-B383-17D9E38FA778}" name="Location" dataDxfId="3" totalsRowDxfId="2"/>
    <tableColumn id="10" xr3:uid="{36CA044B-4304-41FA-A2C2-ABD9967FC3EA}" name="Note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selection activeCell="D21" sqref="D21"/>
    </sheetView>
  </sheetViews>
  <sheetFormatPr defaultColWidth="11" defaultRowHeight="15.6" x14ac:dyDescent="0.3"/>
  <cols>
    <col min="3" max="3" width="20.19921875" customWidth="1"/>
    <col min="5" max="5" width="36.19921875" customWidth="1"/>
    <col min="6" max="6" width="18.69921875" customWidth="1"/>
  </cols>
  <sheetData>
    <row r="1" spans="1:11" ht="25.8" x14ac:dyDescent="0.5">
      <c r="B1" s="4" t="s">
        <v>0</v>
      </c>
    </row>
    <row r="3" spans="1:11" x14ac:dyDescent="0.3">
      <c r="B3" s="2" t="s">
        <v>1</v>
      </c>
      <c r="C3" s="2" t="s">
        <v>2</v>
      </c>
    </row>
    <row r="4" spans="1:11" x14ac:dyDescent="0.3">
      <c r="B4" s="2" t="s">
        <v>3</v>
      </c>
      <c r="C4" s="2" t="s">
        <v>4</v>
      </c>
    </row>
    <row r="5" spans="1:11" x14ac:dyDescent="0.3">
      <c r="B5" s="2" t="s">
        <v>5</v>
      </c>
      <c r="C5" s="2" t="s">
        <v>6</v>
      </c>
    </row>
    <row r="6" spans="1:11" x14ac:dyDescent="0.3">
      <c r="B6" s="2" t="s">
        <v>7</v>
      </c>
      <c r="C6" s="34">
        <v>4</v>
      </c>
    </row>
    <row r="7" spans="1:11" x14ac:dyDescent="0.3">
      <c r="B7" s="2" t="s">
        <v>8</v>
      </c>
      <c r="C7" s="24">
        <v>27</v>
      </c>
    </row>
    <row r="8" spans="1:11" x14ac:dyDescent="0.3">
      <c r="B8" s="2"/>
      <c r="C8" s="24"/>
    </row>
    <row r="9" spans="1:11" s="42" customFormat="1" x14ac:dyDescent="0.3">
      <c r="A9"/>
      <c r="B9" s="40" t="s">
        <v>9</v>
      </c>
      <c r="C9" s="41"/>
    </row>
    <row r="11" spans="1:11" ht="42.6" customHeight="1" x14ac:dyDescent="0.3">
      <c r="B11" s="28" t="s">
        <v>10</v>
      </c>
      <c r="C11" s="28" t="s">
        <v>11</v>
      </c>
      <c r="D11" s="28" t="s">
        <v>12</v>
      </c>
      <c r="E11" s="25" t="s">
        <v>13</v>
      </c>
      <c r="F11" s="25" t="s">
        <v>14</v>
      </c>
      <c r="G11" s="31"/>
      <c r="H11" s="31"/>
      <c r="I11" s="32"/>
      <c r="J11" s="31"/>
      <c r="K11" s="33"/>
    </row>
    <row r="12" spans="1:11" x14ac:dyDescent="0.3">
      <c r="B12">
        <v>1</v>
      </c>
      <c r="C12" t="s">
        <v>15</v>
      </c>
      <c r="D12">
        <v>1</v>
      </c>
      <c r="E12" t="s">
        <v>16</v>
      </c>
      <c r="I12" s="27"/>
    </row>
    <row r="13" spans="1:11" x14ac:dyDescent="0.3">
      <c r="B13">
        <v>2</v>
      </c>
      <c r="C13" t="s">
        <v>15</v>
      </c>
      <c r="D13">
        <v>2</v>
      </c>
      <c r="E13" t="s">
        <v>17</v>
      </c>
      <c r="I13" s="27"/>
    </row>
    <row r="14" spans="1:11" x14ac:dyDescent="0.3">
      <c r="B14">
        <v>3</v>
      </c>
      <c r="C14" t="s">
        <v>15</v>
      </c>
      <c r="D14">
        <v>3</v>
      </c>
      <c r="E14" t="s">
        <v>18</v>
      </c>
      <c r="I14" s="26"/>
    </row>
    <row r="15" spans="1:11" x14ac:dyDescent="0.3">
      <c r="B15">
        <v>4</v>
      </c>
      <c r="C15" t="s">
        <v>15</v>
      </c>
      <c r="D15">
        <v>4</v>
      </c>
      <c r="E15" t="s">
        <v>19</v>
      </c>
    </row>
    <row r="16" spans="1:11" x14ac:dyDescent="0.3">
      <c r="B16">
        <v>5</v>
      </c>
      <c r="C16" t="s">
        <v>15</v>
      </c>
      <c r="D16">
        <v>5</v>
      </c>
      <c r="E16" t="s">
        <v>20</v>
      </c>
    </row>
    <row r="17" spans="2:6" x14ac:dyDescent="0.3">
      <c r="B17">
        <v>6</v>
      </c>
      <c r="C17" t="s">
        <v>15</v>
      </c>
      <c r="D17">
        <v>6</v>
      </c>
      <c r="E17" t="s">
        <v>21</v>
      </c>
    </row>
    <row r="18" spans="2:6" x14ac:dyDescent="0.3">
      <c r="B18">
        <v>7</v>
      </c>
      <c r="C18" t="s">
        <v>15</v>
      </c>
      <c r="D18">
        <v>7</v>
      </c>
      <c r="E18" t="s">
        <v>22</v>
      </c>
    </row>
    <row r="19" spans="2:6" x14ac:dyDescent="0.3">
      <c r="B19">
        <v>8</v>
      </c>
      <c r="C19" t="s">
        <v>15</v>
      </c>
      <c r="D19">
        <v>8</v>
      </c>
      <c r="E19" t="s">
        <v>23</v>
      </c>
    </row>
    <row r="20" spans="2:6" x14ac:dyDescent="0.3">
      <c r="B20">
        <v>9</v>
      </c>
      <c r="C20" t="s">
        <v>15</v>
      </c>
      <c r="D20">
        <v>9</v>
      </c>
      <c r="E20" t="s">
        <v>24</v>
      </c>
    </row>
    <row r="21" spans="2:6" x14ac:dyDescent="0.3">
      <c r="B21">
        <v>10</v>
      </c>
      <c r="C21" t="s">
        <v>25</v>
      </c>
      <c r="D21">
        <v>1</v>
      </c>
      <c r="E21" t="s">
        <v>16</v>
      </c>
    </row>
    <row r="22" spans="2:6" x14ac:dyDescent="0.3">
      <c r="B22">
        <v>11</v>
      </c>
      <c r="C22" t="s">
        <v>25</v>
      </c>
      <c r="D22">
        <v>2</v>
      </c>
      <c r="E22" t="s">
        <v>17</v>
      </c>
    </row>
    <row r="23" spans="2:6" x14ac:dyDescent="0.3">
      <c r="B23">
        <v>12</v>
      </c>
      <c r="C23" t="s">
        <v>25</v>
      </c>
      <c r="D23">
        <v>3</v>
      </c>
      <c r="E23" t="s">
        <v>18</v>
      </c>
    </row>
    <row r="24" spans="2:6" x14ac:dyDescent="0.3">
      <c r="B24">
        <v>13</v>
      </c>
      <c r="C24" t="s">
        <v>25</v>
      </c>
      <c r="D24">
        <v>4</v>
      </c>
      <c r="E24" t="s">
        <v>19</v>
      </c>
    </row>
    <row r="25" spans="2:6" x14ac:dyDescent="0.3">
      <c r="B25">
        <v>14</v>
      </c>
      <c r="C25" t="s">
        <v>25</v>
      </c>
      <c r="D25">
        <v>5</v>
      </c>
      <c r="E25" t="s">
        <v>20</v>
      </c>
    </row>
    <row r="26" spans="2:6" x14ac:dyDescent="0.3">
      <c r="B26">
        <v>15</v>
      </c>
      <c r="C26" t="s">
        <v>25</v>
      </c>
      <c r="D26">
        <v>6</v>
      </c>
      <c r="E26" t="s">
        <v>21</v>
      </c>
    </row>
    <row r="27" spans="2:6" x14ac:dyDescent="0.3">
      <c r="B27">
        <v>16</v>
      </c>
      <c r="C27" t="s">
        <v>25</v>
      </c>
      <c r="D27">
        <v>7</v>
      </c>
      <c r="E27" t="s">
        <v>22</v>
      </c>
      <c r="F27" s="30" t="s">
        <v>26</v>
      </c>
    </row>
    <row r="28" spans="2:6" x14ac:dyDescent="0.3">
      <c r="B28">
        <v>17</v>
      </c>
      <c r="C28" t="s">
        <v>25</v>
      </c>
      <c r="D28">
        <v>8</v>
      </c>
      <c r="E28" t="s">
        <v>23</v>
      </c>
      <c r="F28" s="29"/>
    </row>
    <row r="29" spans="2:6" x14ac:dyDescent="0.3">
      <c r="B29">
        <v>18</v>
      </c>
      <c r="C29" t="s">
        <v>25</v>
      </c>
      <c r="D29">
        <v>9</v>
      </c>
      <c r="E29" t="s">
        <v>24</v>
      </c>
    </row>
    <row r="30" spans="2:6" x14ac:dyDescent="0.3">
      <c r="B30">
        <v>19</v>
      </c>
      <c r="C30" t="s">
        <v>27</v>
      </c>
      <c r="D30">
        <v>1</v>
      </c>
      <c r="E30" t="s">
        <v>16</v>
      </c>
    </row>
    <row r="31" spans="2:6" x14ac:dyDescent="0.3">
      <c r="B31">
        <v>20</v>
      </c>
      <c r="C31" t="s">
        <v>27</v>
      </c>
      <c r="D31">
        <v>2</v>
      </c>
      <c r="E31" t="s">
        <v>17</v>
      </c>
    </row>
    <row r="32" spans="2:6" x14ac:dyDescent="0.3">
      <c r="B32">
        <v>21</v>
      </c>
      <c r="C32" t="s">
        <v>27</v>
      </c>
      <c r="D32">
        <v>3</v>
      </c>
      <c r="E32" t="s">
        <v>18</v>
      </c>
    </row>
    <row r="33" spans="2:5" x14ac:dyDescent="0.3">
      <c r="B33">
        <v>22</v>
      </c>
      <c r="C33" t="s">
        <v>27</v>
      </c>
      <c r="D33">
        <v>4</v>
      </c>
      <c r="E33" t="s">
        <v>19</v>
      </c>
    </row>
    <row r="34" spans="2:5" x14ac:dyDescent="0.3">
      <c r="B34">
        <v>23</v>
      </c>
      <c r="C34" t="s">
        <v>27</v>
      </c>
      <c r="D34">
        <v>5</v>
      </c>
      <c r="E34" t="s">
        <v>20</v>
      </c>
    </row>
    <row r="35" spans="2:5" x14ac:dyDescent="0.3">
      <c r="B35">
        <v>24</v>
      </c>
      <c r="C35" t="s">
        <v>27</v>
      </c>
      <c r="D35">
        <v>6</v>
      </c>
      <c r="E35" t="s">
        <v>21</v>
      </c>
    </row>
    <row r="36" spans="2:5" x14ac:dyDescent="0.3">
      <c r="B36">
        <v>25</v>
      </c>
      <c r="C36" t="s">
        <v>27</v>
      </c>
      <c r="D36">
        <v>7</v>
      </c>
      <c r="E36" t="s">
        <v>22</v>
      </c>
    </row>
    <row r="37" spans="2:5" x14ac:dyDescent="0.3">
      <c r="B37">
        <v>26</v>
      </c>
      <c r="C37" t="s">
        <v>27</v>
      </c>
      <c r="D37">
        <v>8</v>
      </c>
      <c r="E37" t="s">
        <v>23</v>
      </c>
    </row>
    <row r="38" spans="2:5" x14ac:dyDescent="0.3">
      <c r="B38">
        <v>27</v>
      </c>
      <c r="C38" t="s">
        <v>27</v>
      </c>
      <c r="D38">
        <v>9</v>
      </c>
      <c r="E38" t="s">
        <v>24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A1D7-13D4-407A-BFEE-28D551B527A7}">
  <dimension ref="H7:H37"/>
  <sheetViews>
    <sheetView topLeftCell="B15" workbookViewId="0">
      <selection activeCell="R35" sqref="R35"/>
    </sheetView>
  </sheetViews>
  <sheetFormatPr defaultRowHeight="15.6" x14ac:dyDescent="0.3"/>
  <sheetData>
    <row r="7" spans="8:8" x14ac:dyDescent="0.3">
      <c r="H7" t="s">
        <v>28</v>
      </c>
    </row>
    <row r="12" spans="8:8" x14ac:dyDescent="0.3">
      <c r="H12" s="39" t="s">
        <v>29</v>
      </c>
    </row>
    <row r="19" spans="8:8" x14ac:dyDescent="0.3">
      <c r="H19" t="s">
        <v>30</v>
      </c>
    </row>
    <row r="25" spans="8:8" x14ac:dyDescent="0.3">
      <c r="H25" t="s">
        <v>31</v>
      </c>
    </row>
    <row r="35" spans="8:8" x14ac:dyDescent="0.3">
      <c r="H35" t="s">
        <v>32</v>
      </c>
    </row>
    <row r="37" spans="8:8" x14ac:dyDescent="0.3">
      <c r="H37" t="s">
        <v>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09B2-5AA2-4102-8328-B854CB827E32}">
  <dimension ref="A1:AB27"/>
  <sheetViews>
    <sheetView topLeftCell="E1" zoomScale="70" zoomScaleNormal="70" workbookViewId="0">
      <selection activeCell="H39" sqref="H39"/>
    </sheetView>
  </sheetViews>
  <sheetFormatPr defaultColWidth="15.69921875" defaultRowHeight="15.6" x14ac:dyDescent="0.3"/>
  <cols>
    <col min="1" max="1" width="16.59765625" style="3" customWidth="1"/>
    <col min="2" max="16384" width="15.69921875" style="3"/>
  </cols>
  <sheetData>
    <row r="1" spans="2:28" ht="26.4" thickBot="1" x14ac:dyDescent="0.55000000000000004">
      <c r="B1" s="4" t="s">
        <v>0</v>
      </c>
    </row>
    <row r="2" spans="2:28" s="56" customFormat="1" ht="16.2" thickTop="1" x14ac:dyDescent="0.3">
      <c r="B2" s="63" t="s">
        <v>34</v>
      </c>
      <c r="C2" s="63" t="s">
        <v>35</v>
      </c>
      <c r="D2" s="63" t="s">
        <v>36</v>
      </c>
      <c r="E2" s="63" t="s">
        <v>37</v>
      </c>
      <c r="F2" s="63" t="s">
        <v>38</v>
      </c>
      <c r="G2" s="63" t="s">
        <v>39</v>
      </c>
      <c r="H2" s="63" t="s">
        <v>40</v>
      </c>
      <c r="I2" s="63" t="s">
        <v>41</v>
      </c>
      <c r="J2" s="63" t="s">
        <v>42</v>
      </c>
      <c r="K2" s="63" t="s">
        <v>43</v>
      </c>
      <c r="L2" s="63" t="s">
        <v>44</v>
      </c>
      <c r="M2" s="63" t="s">
        <v>45</v>
      </c>
      <c r="N2" s="63" t="s">
        <v>46</v>
      </c>
      <c r="O2" s="63" t="s">
        <v>47</v>
      </c>
      <c r="P2" s="63" t="s">
        <v>48</v>
      </c>
      <c r="Q2" s="63" t="s">
        <v>49</v>
      </c>
      <c r="R2" s="63" t="s">
        <v>50</v>
      </c>
      <c r="S2" s="63" t="s">
        <v>51</v>
      </c>
      <c r="T2" s="63" t="s">
        <v>52</v>
      </c>
      <c r="U2" s="63" t="s">
        <v>53</v>
      </c>
      <c r="V2" s="63" t="s">
        <v>54</v>
      </c>
      <c r="W2" s="63" t="s">
        <v>55</v>
      </c>
      <c r="X2" s="63" t="s">
        <v>56</v>
      </c>
      <c r="Y2" s="63" t="s">
        <v>57</v>
      </c>
      <c r="Z2" s="63" t="s">
        <v>58</v>
      </c>
      <c r="AA2" s="63" t="s">
        <v>59</v>
      </c>
      <c r="AB2" s="63" t="s">
        <v>60</v>
      </c>
    </row>
    <row r="3" spans="2:28" x14ac:dyDescent="0.3">
      <c r="B3" s="54">
        <v>6</v>
      </c>
      <c r="C3" s="54">
        <v>3</v>
      </c>
      <c r="D3" s="54">
        <v>5</v>
      </c>
      <c r="E3" s="54">
        <v>7</v>
      </c>
      <c r="F3" s="54">
        <v>9</v>
      </c>
      <c r="G3" s="54">
        <v>2</v>
      </c>
      <c r="H3" s="54">
        <v>8</v>
      </c>
      <c r="I3" s="54">
        <v>1</v>
      </c>
      <c r="J3" s="54">
        <v>4</v>
      </c>
      <c r="K3" s="54">
        <v>8</v>
      </c>
      <c r="L3" s="54">
        <v>6</v>
      </c>
      <c r="M3" s="54">
        <v>2</v>
      </c>
      <c r="N3" s="54">
        <v>4</v>
      </c>
      <c r="O3" s="54">
        <v>3</v>
      </c>
      <c r="P3" s="54">
        <v>5</v>
      </c>
      <c r="Q3" s="54">
        <v>7</v>
      </c>
      <c r="R3" s="54">
        <v>9</v>
      </c>
      <c r="S3" s="54">
        <v>1</v>
      </c>
      <c r="T3" s="54">
        <v>4</v>
      </c>
      <c r="U3" s="54">
        <v>3</v>
      </c>
      <c r="V3" s="54">
        <v>2</v>
      </c>
      <c r="W3" s="54">
        <v>1</v>
      </c>
      <c r="X3" s="54">
        <v>7</v>
      </c>
      <c r="Y3" s="54">
        <v>9</v>
      </c>
      <c r="Z3" s="54">
        <v>6</v>
      </c>
      <c r="AA3" s="54">
        <v>5</v>
      </c>
      <c r="AB3" s="54">
        <v>8</v>
      </c>
    </row>
    <row r="4" spans="2:28" ht="31.2" x14ac:dyDescent="0.3">
      <c r="B4" s="55" t="s">
        <v>21</v>
      </c>
      <c r="C4" s="55" t="s">
        <v>18</v>
      </c>
      <c r="D4" s="55" t="s">
        <v>20</v>
      </c>
      <c r="E4" s="55" t="s">
        <v>22</v>
      </c>
      <c r="F4" s="55" t="s">
        <v>24</v>
      </c>
      <c r="G4" s="55" t="s">
        <v>17</v>
      </c>
      <c r="H4" s="55" t="s">
        <v>23</v>
      </c>
      <c r="I4" s="55" t="s">
        <v>16</v>
      </c>
      <c r="J4" s="55" t="s">
        <v>19</v>
      </c>
      <c r="K4" s="55" t="s">
        <v>23</v>
      </c>
      <c r="L4" s="55" t="s">
        <v>21</v>
      </c>
      <c r="M4" s="55" t="s">
        <v>17</v>
      </c>
      <c r="N4" s="55" t="s">
        <v>19</v>
      </c>
      <c r="O4" s="55" t="s">
        <v>18</v>
      </c>
      <c r="P4" s="55" t="s">
        <v>20</v>
      </c>
      <c r="Q4" s="55" t="s">
        <v>22</v>
      </c>
      <c r="R4" s="55" t="s">
        <v>24</v>
      </c>
      <c r="S4" s="55" t="s">
        <v>16</v>
      </c>
      <c r="T4" s="55" t="s">
        <v>19</v>
      </c>
      <c r="U4" s="55" t="s">
        <v>18</v>
      </c>
      <c r="V4" s="55" t="s">
        <v>17</v>
      </c>
      <c r="W4" s="55" t="s">
        <v>16</v>
      </c>
      <c r="X4" s="55" t="s">
        <v>22</v>
      </c>
      <c r="Y4" s="55" t="s">
        <v>24</v>
      </c>
      <c r="Z4" s="55" t="s">
        <v>21</v>
      </c>
      <c r="AA4" s="55" t="s">
        <v>20</v>
      </c>
      <c r="AB4" s="55" t="s">
        <v>23</v>
      </c>
    </row>
    <row r="5" spans="2:28" x14ac:dyDescent="0.3">
      <c r="B5" s="61" t="s">
        <v>27</v>
      </c>
      <c r="C5" s="61" t="s">
        <v>27</v>
      </c>
      <c r="D5" s="61" t="s">
        <v>27</v>
      </c>
      <c r="E5" s="61" t="s">
        <v>27</v>
      </c>
      <c r="F5" s="61" t="s">
        <v>27</v>
      </c>
      <c r="G5" s="61" t="s">
        <v>27</v>
      </c>
      <c r="H5" s="61" t="s">
        <v>27</v>
      </c>
      <c r="I5" s="61" t="s">
        <v>27</v>
      </c>
      <c r="J5" s="61" t="s">
        <v>27</v>
      </c>
      <c r="K5" s="59" t="s">
        <v>15</v>
      </c>
      <c r="L5" s="59" t="s">
        <v>15</v>
      </c>
      <c r="M5" s="59" t="s">
        <v>15</v>
      </c>
      <c r="N5" s="59" t="s">
        <v>15</v>
      </c>
      <c r="O5" s="59" t="s">
        <v>15</v>
      </c>
      <c r="P5" s="59" t="s">
        <v>15</v>
      </c>
      <c r="Q5" s="59" t="s">
        <v>15</v>
      </c>
      <c r="R5" s="59" t="s">
        <v>15</v>
      </c>
      <c r="S5" s="59" t="s">
        <v>15</v>
      </c>
      <c r="T5" s="60" t="s">
        <v>25</v>
      </c>
      <c r="U5" s="60" t="s">
        <v>25</v>
      </c>
      <c r="V5" s="60" t="s">
        <v>25</v>
      </c>
      <c r="W5" s="60" t="s">
        <v>25</v>
      </c>
      <c r="X5" s="60" t="s">
        <v>25</v>
      </c>
      <c r="Y5" s="60" t="s">
        <v>25</v>
      </c>
      <c r="Z5" s="60" t="s">
        <v>25</v>
      </c>
      <c r="AA5" s="60" t="s">
        <v>25</v>
      </c>
      <c r="AB5" s="60" t="s">
        <v>25</v>
      </c>
    </row>
    <row r="6" spans="2:28" s="56" customFormat="1" ht="16.2" thickBot="1" x14ac:dyDescent="0.35">
      <c r="B6" s="57">
        <v>401</v>
      </c>
      <c r="C6" s="57">
        <v>402</v>
      </c>
      <c r="D6" s="57">
        <v>403</v>
      </c>
      <c r="E6" s="57">
        <v>404</v>
      </c>
      <c r="F6" s="57">
        <v>405</v>
      </c>
      <c r="G6" s="57">
        <v>406</v>
      </c>
      <c r="H6" s="57">
        <v>407</v>
      </c>
      <c r="I6" s="57">
        <v>408</v>
      </c>
      <c r="J6" s="57">
        <v>409</v>
      </c>
      <c r="K6" s="57">
        <v>410</v>
      </c>
      <c r="L6" s="57">
        <v>411</v>
      </c>
      <c r="M6" s="57">
        <v>412</v>
      </c>
      <c r="N6" s="57">
        <v>413</v>
      </c>
      <c r="O6" s="57">
        <v>414</v>
      </c>
      <c r="P6" s="57">
        <v>415</v>
      </c>
      <c r="Q6" s="57">
        <v>416</v>
      </c>
      <c r="R6" s="57">
        <v>417</v>
      </c>
      <c r="S6" s="57">
        <v>418</v>
      </c>
      <c r="T6" s="57">
        <v>419</v>
      </c>
      <c r="U6" s="57">
        <v>420</v>
      </c>
      <c r="V6" s="57">
        <v>421</v>
      </c>
      <c r="W6" s="57">
        <v>422</v>
      </c>
      <c r="X6" s="57">
        <v>423</v>
      </c>
      <c r="Y6" s="57">
        <v>424</v>
      </c>
      <c r="Z6" s="57">
        <v>425</v>
      </c>
      <c r="AA6" s="57">
        <v>426</v>
      </c>
      <c r="AB6" s="57">
        <v>427</v>
      </c>
    </row>
    <row r="7" spans="2:28" s="1" customFormat="1" ht="16.8" thickTop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2:28" s="56" customFormat="1" ht="16.2" thickTop="1" x14ac:dyDescent="0.3">
      <c r="B8" s="63" t="s">
        <v>48</v>
      </c>
      <c r="C8" s="63" t="s">
        <v>49</v>
      </c>
      <c r="D8" s="63" t="s">
        <v>46</v>
      </c>
      <c r="E8" s="63" t="s">
        <v>47</v>
      </c>
      <c r="F8" s="63" t="s">
        <v>50</v>
      </c>
      <c r="G8" s="63" t="s">
        <v>45</v>
      </c>
      <c r="H8" s="63" t="s">
        <v>51</v>
      </c>
      <c r="I8" s="63" t="s">
        <v>43</v>
      </c>
      <c r="J8" s="63" t="s">
        <v>44</v>
      </c>
      <c r="K8" s="63" t="s">
        <v>42</v>
      </c>
      <c r="L8" s="63" t="s">
        <v>39</v>
      </c>
      <c r="M8" s="63" t="s">
        <v>41</v>
      </c>
      <c r="N8" s="63" t="s">
        <v>36</v>
      </c>
      <c r="O8" s="63" t="s">
        <v>34</v>
      </c>
      <c r="P8" s="63" t="s">
        <v>37</v>
      </c>
      <c r="Q8" s="63" t="s">
        <v>35</v>
      </c>
      <c r="R8" s="63" t="s">
        <v>40</v>
      </c>
      <c r="S8" s="63" t="s">
        <v>38</v>
      </c>
      <c r="T8" s="63" t="s">
        <v>55</v>
      </c>
      <c r="U8" s="63" t="s">
        <v>60</v>
      </c>
      <c r="V8" s="63" t="s">
        <v>56</v>
      </c>
      <c r="W8" s="63" t="s">
        <v>57</v>
      </c>
      <c r="X8" s="63" t="s">
        <v>52</v>
      </c>
      <c r="Y8" s="63" t="s">
        <v>54</v>
      </c>
      <c r="Z8" s="63" t="s">
        <v>53</v>
      </c>
      <c r="AA8" s="63" t="s">
        <v>58</v>
      </c>
      <c r="AB8" s="63" t="s">
        <v>59</v>
      </c>
    </row>
    <row r="9" spans="2:28" x14ac:dyDescent="0.3">
      <c r="B9" s="54">
        <v>5</v>
      </c>
      <c r="C9" s="54">
        <v>7</v>
      </c>
      <c r="D9" s="54">
        <v>4</v>
      </c>
      <c r="E9" s="54">
        <v>3</v>
      </c>
      <c r="F9" s="54">
        <v>9</v>
      </c>
      <c r="G9" s="54">
        <v>2</v>
      </c>
      <c r="H9" s="54">
        <v>1</v>
      </c>
      <c r="I9" s="54">
        <v>8</v>
      </c>
      <c r="J9" s="54">
        <v>6</v>
      </c>
      <c r="K9" s="54">
        <v>4</v>
      </c>
      <c r="L9" s="54">
        <v>2</v>
      </c>
      <c r="M9" s="54">
        <v>1</v>
      </c>
      <c r="N9" s="54">
        <v>5</v>
      </c>
      <c r="O9" s="54">
        <v>6</v>
      </c>
      <c r="P9" s="54">
        <v>7</v>
      </c>
      <c r="Q9" s="54">
        <v>3</v>
      </c>
      <c r="R9" s="54">
        <v>8</v>
      </c>
      <c r="S9" s="54">
        <v>9</v>
      </c>
      <c r="T9" s="54">
        <v>1</v>
      </c>
      <c r="U9" s="54">
        <v>8</v>
      </c>
      <c r="V9" s="54">
        <v>7</v>
      </c>
      <c r="W9" s="54">
        <v>9</v>
      </c>
      <c r="X9" s="54">
        <v>4</v>
      </c>
      <c r="Y9" s="54">
        <v>2</v>
      </c>
      <c r="Z9" s="54">
        <v>3</v>
      </c>
      <c r="AA9" s="54">
        <v>6</v>
      </c>
      <c r="AB9" s="54">
        <v>5</v>
      </c>
    </row>
    <row r="10" spans="2:28" ht="31.2" x14ac:dyDescent="0.3">
      <c r="B10" s="55" t="s">
        <v>20</v>
      </c>
      <c r="C10" s="55" t="s">
        <v>22</v>
      </c>
      <c r="D10" s="55" t="s">
        <v>19</v>
      </c>
      <c r="E10" s="55" t="s">
        <v>18</v>
      </c>
      <c r="F10" s="55" t="s">
        <v>24</v>
      </c>
      <c r="G10" s="55" t="s">
        <v>17</v>
      </c>
      <c r="H10" s="55" t="s">
        <v>16</v>
      </c>
      <c r="I10" s="55" t="s">
        <v>23</v>
      </c>
      <c r="J10" s="55" t="s">
        <v>21</v>
      </c>
      <c r="K10" s="55" t="s">
        <v>19</v>
      </c>
      <c r="L10" s="55" t="s">
        <v>17</v>
      </c>
      <c r="M10" s="55" t="s">
        <v>16</v>
      </c>
      <c r="N10" s="55" t="s">
        <v>20</v>
      </c>
      <c r="O10" s="55" t="s">
        <v>21</v>
      </c>
      <c r="P10" s="55" t="s">
        <v>22</v>
      </c>
      <c r="Q10" s="55" t="s">
        <v>18</v>
      </c>
      <c r="R10" s="55" t="s">
        <v>23</v>
      </c>
      <c r="S10" s="55" t="s">
        <v>24</v>
      </c>
      <c r="T10" s="55" t="s">
        <v>16</v>
      </c>
      <c r="U10" s="55" t="s">
        <v>23</v>
      </c>
      <c r="V10" s="55" t="s">
        <v>22</v>
      </c>
      <c r="W10" s="55" t="s">
        <v>24</v>
      </c>
      <c r="X10" s="55" t="s">
        <v>19</v>
      </c>
      <c r="Y10" s="55" t="s">
        <v>17</v>
      </c>
      <c r="Z10" s="55" t="s">
        <v>18</v>
      </c>
      <c r="AA10" s="55" t="s">
        <v>21</v>
      </c>
      <c r="AB10" s="55" t="s">
        <v>20</v>
      </c>
    </row>
    <row r="11" spans="2:28" x14ac:dyDescent="0.3">
      <c r="B11" s="59" t="s">
        <v>15</v>
      </c>
      <c r="C11" s="59" t="s">
        <v>15</v>
      </c>
      <c r="D11" s="59" t="s">
        <v>15</v>
      </c>
      <c r="E11" s="59" t="s">
        <v>15</v>
      </c>
      <c r="F11" s="59" t="s">
        <v>15</v>
      </c>
      <c r="G11" s="59" t="s">
        <v>15</v>
      </c>
      <c r="H11" s="59" t="s">
        <v>15</v>
      </c>
      <c r="I11" s="59" t="s">
        <v>15</v>
      </c>
      <c r="J11" s="59" t="s">
        <v>15</v>
      </c>
      <c r="K11" s="61" t="s">
        <v>27</v>
      </c>
      <c r="L11" s="61" t="s">
        <v>27</v>
      </c>
      <c r="M11" s="61" t="s">
        <v>27</v>
      </c>
      <c r="N11" s="61" t="s">
        <v>27</v>
      </c>
      <c r="O11" s="61" t="s">
        <v>27</v>
      </c>
      <c r="P11" s="61" t="s">
        <v>27</v>
      </c>
      <c r="Q11" s="61" t="s">
        <v>27</v>
      </c>
      <c r="R11" s="61" t="s">
        <v>27</v>
      </c>
      <c r="S11" s="61" t="s">
        <v>27</v>
      </c>
      <c r="T11" s="60" t="s">
        <v>25</v>
      </c>
      <c r="U11" s="60" t="s">
        <v>25</v>
      </c>
      <c r="V11" s="60" t="s">
        <v>25</v>
      </c>
      <c r="W11" s="60" t="s">
        <v>25</v>
      </c>
      <c r="X11" s="60" t="s">
        <v>25</v>
      </c>
      <c r="Y11" s="60" t="s">
        <v>25</v>
      </c>
      <c r="Z11" s="60" t="s">
        <v>25</v>
      </c>
      <c r="AA11" s="60" t="s">
        <v>25</v>
      </c>
      <c r="AB11" s="60" t="s">
        <v>25</v>
      </c>
    </row>
    <row r="12" spans="2:28" s="56" customFormat="1" ht="16.2" thickBot="1" x14ac:dyDescent="0.35">
      <c r="B12" s="57">
        <v>301</v>
      </c>
      <c r="C12" s="57">
        <v>302</v>
      </c>
      <c r="D12" s="57">
        <v>303</v>
      </c>
      <c r="E12" s="57">
        <v>304</v>
      </c>
      <c r="F12" s="57">
        <v>305</v>
      </c>
      <c r="G12" s="57">
        <v>306</v>
      </c>
      <c r="H12" s="57">
        <v>307</v>
      </c>
      <c r="I12" s="57">
        <v>308</v>
      </c>
      <c r="J12" s="57">
        <v>309</v>
      </c>
      <c r="K12" s="57">
        <v>310</v>
      </c>
      <c r="L12" s="57">
        <v>311</v>
      </c>
      <c r="M12" s="57">
        <v>312</v>
      </c>
      <c r="N12" s="57">
        <v>313</v>
      </c>
      <c r="O12" s="57">
        <v>314</v>
      </c>
      <c r="P12" s="57">
        <v>315</v>
      </c>
      <c r="Q12" s="57">
        <v>316</v>
      </c>
      <c r="R12" s="57">
        <v>317</v>
      </c>
      <c r="S12" s="57">
        <v>318</v>
      </c>
      <c r="T12" s="57">
        <v>319</v>
      </c>
      <c r="U12" s="57">
        <v>320</v>
      </c>
      <c r="V12" s="57">
        <v>321</v>
      </c>
      <c r="W12" s="57">
        <v>322</v>
      </c>
      <c r="X12" s="57">
        <v>323</v>
      </c>
      <c r="Y12" s="57">
        <v>324</v>
      </c>
      <c r="Z12" s="57">
        <v>325</v>
      </c>
      <c r="AA12" s="57">
        <v>326</v>
      </c>
      <c r="AB12" s="57">
        <v>327</v>
      </c>
    </row>
    <row r="13" spans="2:28" s="1" customFormat="1" ht="16.8" thickTop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2:28" s="56" customFormat="1" ht="16.2" thickTop="1" x14ac:dyDescent="0.3">
      <c r="B14" s="63" t="s">
        <v>60</v>
      </c>
      <c r="C14" s="63" t="s">
        <v>57</v>
      </c>
      <c r="D14" s="63" t="s">
        <v>59</v>
      </c>
      <c r="E14" s="63" t="s">
        <v>53</v>
      </c>
      <c r="F14" s="63" t="s">
        <v>55</v>
      </c>
      <c r="G14" s="63" t="s">
        <v>52</v>
      </c>
      <c r="H14" s="63" t="s">
        <v>54</v>
      </c>
      <c r="I14" s="63" t="s">
        <v>56</v>
      </c>
      <c r="J14" s="63" t="s">
        <v>58</v>
      </c>
      <c r="K14" s="63" t="s">
        <v>36</v>
      </c>
      <c r="L14" s="63" t="s">
        <v>39</v>
      </c>
      <c r="M14" s="63" t="s">
        <v>38</v>
      </c>
      <c r="N14" s="63" t="s">
        <v>37</v>
      </c>
      <c r="O14" s="63" t="s">
        <v>40</v>
      </c>
      <c r="P14" s="63" t="s">
        <v>42</v>
      </c>
      <c r="Q14" s="63" t="s">
        <v>34</v>
      </c>
      <c r="R14" s="63" t="s">
        <v>35</v>
      </c>
      <c r="S14" s="63" t="s">
        <v>41</v>
      </c>
      <c r="T14" s="63" t="s">
        <v>50</v>
      </c>
      <c r="U14" s="63" t="s">
        <v>47</v>
      </c>
      <c r="V14" s="63" t="s">
        <v>45</v>
      </c>
      <c r="W14" s="63" t="s">
        <v>49</v>
      </c>
      <c r="X14" s="63" t="s">
        <v>48</v>
      </c>
      <c r="Y14" s="63" t="s">
        <v>43</v>
      </c>
      <c r="Z14" s="63" t="s">
        <v>46</v>
      </c>
      <c r="AA14" s="63" t="s">
        <v>44</v>
      </c>
      <c r="AB14" s="63" t="s">
        <v>51</v>
      </c>
    </row>
    <row r="15" spans="2:28" x14ac:dyDescent="0.3">
      <c r="B15" s="54">
        <v>8</v>
      </c>
      <c r="C15" s="54">
        <v>9</v>
      </c>
      <c r="D15" s="54">
        <v>5</v>
      </c>
      <c r="E15" s="54">
        <v>3</v>
      </c>
      <c r="F15" s="54">
        <v>1</v>
      </c>
      <c r="G15" s="54">
        <v>4</v>
      </c>
      <c r="H15" s="54">
        <v>2</v>
      </c>
      <c r="I15" s="54">
        <v>7</v>
      </c>
      <c r="J15" s="54">
        <v>6</v>
      </c>
      <c r="K15" s="54">
        <v>5</v>
      </c>
      <c r="L15" s="54">
        <v>2</v>
      </c>
      <c r="M15" s="54">
        <v>9</v>
      </c>
      <c r="N15" s="54">
        <v>7</v>
      </c>
      <c r="O15" s="54">
        <v>8</v>
      </c>
      <c r="P15" s="54">
        <v>4</v>
      </c>
      <c r="Q15" s="54">
        <v>6</v>
      </c>
      <c r="R15" s="54">
        <v>3</v>
      </c>
      <c r="S15" s="54">
        <v>1</v>
      </c>
      <c r="T15" s="54">
        <v>9</v>
      </c>
      <c r="U15" s="54">
        <v>3</v>
      </c>
      <c r="V15" s="54">
        <v>2</v>
      </c>
      <c r="W15" s="54">
        <v>7</v>
      </c>
      <c r="X15" s="54">
        <v>5</v>
      </c>
      <c r="Y15" s="54">
        <v>8</v>
      </c>
      <c r="Z15" s="54">
        <v>4</v>
      </c>
      <c r="AA15" s="54">
        <v>6</v>
      </c>
      <c r="AB15" s="54">
        <v>1</v>
      </c>
    </row>
    <row r="16" spans="2:28" ht="31.2" x14ac:dyDescent="0.3">
      <c r="B16" s="55" t="s">
        <v>23</v>
      </c>
      <c r="C16" s="55" t="s">
        <v>24</v>
      </c>
      <c r="D16" s="55" t="s">
        <v>20</v>
      </c>
      <c r="E16" s="55" t="s">
        <v>18</v>
      </c>
      <c r="F16" s="55" t="s">
        <v>16</v>
      </c>
      <c r="G16" s="55" t="s">
        <v>19</v>
      </c>
      <c r="H16" s="55" t="s">
        <v>17</v>
      </c>
      <c r="I16" s="55" t="s">
        <v>22</v>
      </c>
      <c r="J16" s="55" t="s">
        <v>21</v>
      </c>
      <c r="K16" s="55" t="s">
        <v>20</v>
      </c>
      <c r="L16" s="55" t="s">
        <v>17</v>
      </c>
      <c r="M16" s="55" t="s">
        <v>24</v>
      </c>
      <c r="N16" s="55" t="s">
        <v>22</v>
      </c>
      <c r="O16" s="55" t="s">
        <v>23</v>
      </c>
      <c r="P16" s="55" t="s">
        <v>19</v>
      </c>
      <c r="Q16" s="55" t="s">
        <v>21</v>
      </c>
      <c r="R16" s="55" t="s">
        <v>18</v>
      </c>
      <c r="S16" s="55" t="s">
        <v>16</v>
      </c>
      <c r="T16" s="55" t="s">
        <v>24</v>
      </c>
      <c r="U16" s="55" t="s">
        <v>18</v>
      </c>
      <c r="V16" s="55" t="s">
        <v>17</v>
      </c>
      <c r="W16" s="55" t="s">
        <v>22</v>
      </c>
      <c r="X16" s="55" t="s">
        <v>20</v>
      </c>
      <c r="Y16" s="55" t="s">
        <v>23</v>
      </c>
      <c r="Z16" s="55" t="s">
        <v>19</v>
      </c>
      <c r="AA16" s="55" t="s">
        <v>21</v>
      </c>
      <c r="AB16" s="55" t="s">
        <v>16</v>
      </c>
    </row>
    <row r="17" spans="1:28" x14ac:dyDescent="0.3">
      <c r="B17" s="60" t="s">
        <v>25</v>
      </c>
      <c r="C17" s="60" t="s">
        <v>25</v>
      </c>
      <c r="D17" s="60" t="s">
        <v>25</v>
      </c>
      <c r="E17" s="60" t="s">
        <v>25</v>
      </c>
      <c r="F17" s="60" t="s">
        <v>25</v>
      </c>
      <c r="G17" s="60" t="s">
        <v>25</v>
      </c>
      <c r="H17" s="60" t="s">
        <v>25</v>
      </c>
      <c r="I17" s="60" t="s">
        <v>25</v>
      </c>
      <c r="J17" s="60" t="s">
        <v>25</v>
      </c>
      <c r="K17" s="61" t="s">
        <v>27</v>
      </c>
      <c r="L17" s="61" t="s">
        <v>27</v>
      </c>
      <c r="M17" s="61" t="s">
        <v>27</v>
      </c>
      <c r="N17" s="61" t="s">
        <v>27</v>
      </c>
      <c r="O17" s="61" t="s">
        <v>27</v>
      </c>
      <c r="P17" s="61" t="s">
        <v>27</v>
      </c>
      <c r="Q17" s="61" t="s">
        <v>27</v>
      </c>
      <c r="R17" s="61" t="s">
        <v>27</v>
      </c>
      <c r="S17" s="61" t="s">
        <v>27</v>
      </c>
      <c r="T17" s="59" t="s">
        <v>15</v>
      </c>
      <c r="U17" s="59" t="s">
        <v>15</v>
      </c>
      <c r="V17" s="59" t="s">
        <v>15</v>
      </c>
      <c r="W17" s="59" t="s">
        <v>15</v>
      </c>
      <c r="X17" s="59" t="s">
        <v>15</v>
      </c>
      <c r="Y17" s="59" t="s">
        <v>15</v>
      </c>
      <c r="Z17" s="59" t="s">
        <v>15</v>
      </c>
      <c r="AA17" s="59" t="s">
        <v>15</v>
      </c>
      <c r="AB17" s="59" t="s">
        <v>15</v>
      </c>
    </row>
    <row r="18" spans="1:28" s="56" customFormat="1" ht="16.2" thickBot="1" x14ac:dyDescent="0.35">
      <c r="B18" s="57">
        <v>201</v>
      </c>
      <c r="C18" s="57">
        <v>202</v>
      </c>
      <c r="D18" s="57">
        <v>203</v>
      </c>
      <c r="E18" s="57">
        <v>204</v>
      </c>
      <c r="F18" s="57">
        <v>205</v>
      </c>
      <c r="G18" s="57">
        <v>206</v>
      </c>
      <c r="H18" s="57">
        <v>207</v>
      </c>
      <c r="I18" s="57">
        <v>208</v>
      </c>
      <c r="J18" s="57">
        <v>209</v>
      </c>
      <c r="K18" s="57">
        <v>210</v>
      </c>
      <c r="L18" s="57">
        <v>211</v>
      </c>
      <c r="M18" s="57">
        <v>212</v>
      </c>
      <c r="N18" s="57">
        <v>213</v>
      </c>
      <c r="O18" s="57">
        <v>214</v>
      </c>
      <c r="P18" s="57">
        <v>215</v>
      </c>
      <c r="Q18" s="57">
        <v>216</v>
      </c>
      <c r="R18" s="57">
        <v>217</v>
      </c>
      <c r="S18" s="57">
        <v>218</v>
      </c>
      <c r="T18" s="57">
        <v>219</v>
      </c>
      <c r="U18" s="57">
        <v>220</v>
      </c>
      <c r="V18" s="57">
        <v>221</v>
      </c>
      <c r="W18" s="57">
        <v>222</v>
      </c>
      <c r="X18" s="57">
        <v>223</v>
      </c>
      <c r="Y18" s="57">
        <v>224</v>
      </c>
      <c r="Z18" s="57">
        <v>225</v>
      </c>
      <c r="AA18" s="57">
        <v>226</v>
      </c>
      <c r="AB18" s="57">
        <v>227</v>
      </c>
    </row>
    <row r="19" spans="1:28" s="1" customFormat="1" ht="16.8" thickTop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s="56" customFormat="1" ht="16.2" thickTop="1" x14ac:dyDescent="0.3">
      <c r="A20" s="62" t="s">
        <v>10</v>
      </c>
      <c r="B20" s="63" t="s">
        <v>51</v>
      </c>
      <c r="C20" s="63" t="s">
        <v>45</v>
      </c>
      <c r="D20" s="63" t="s">
        <v>47</v>
      </c>
      <c r="E20" s="63" t="s">
        <v>46</v>
      </c>
      <c r="F20" s="63" t="s">
        <v>48</v>
      </c>
      <c r="G20" s="63" t="s">
        <v>44</v>
      </c>
      <c r="H20" s="63" t="s">
        <v>49</v>
      </c>
      <c r="I20" s="63" t="s">
        <v>43</v>
      </c>
      <c r="J20" s="63" t="s">
        <v>50</v>
      </c>
      <c r="K20" s="63" t="s">
        <v>55</v>
      </c>
      <c r="L20" s="63" t="s">
        <v>54</v>
      </c>
      <c r="M20" s="63" t="s">
        <v>53</v>
      </c>
      <c r="N20" s="63" t="s">
        <v>52</v>
      </c>
      <c r="O20" s="63" t="s">
        <v>59</v>
      </c>
      <c r="P20" s="63" t="s">
        <v>58</v>
      </c>
      <c r="Q20" s="63" t="s">
        <v>56</v>
      </c>
      <c r="R20" s="63" t="s">
        <v>60</v>
      </c>
      <c r="S20" s="63" t="s">
        <v>57</v>
      </c>
      <c r="T20" s="63" t="s">
        <v>41</v>
      </c>
      <c r="U20" s="63" t="s">
        <v>39</v>
      </c>
      <c r="V20" s="63" t="s">
        <v>35</v>
      </c>
      <c r="W20" s="63" t="s">
        <v>42</v>
      </c>
      <c r="X20" s="63" t="s">
        <v>36</v>
      </c>
      <c r="Y20" s="63" t="s">
        <v>34</v>
      </c>
      <c r="Z20" s="63" t="s">
        <v>37</v>
      </c>
      <c r="AA20" s="63" t="s">
        <v>40</v>
      </c>
      <c r="AB20" s="63" t="s">
        <v>38</v>
      </c>
    </row>
    <row r="21" spans="1:28" x14ac:dyDescent="0.3">
      <c r="A21" s="56" t="s">
        <v>61</v>
      </c>
      <c r="B21" s="54">
        <v>1</v>
      </c>
      <c r="C21" s="54">
        <v>2</v>
      </c>
      <c r="D21" s="54">
        <v>3</v>
      </c>
      <c r="E21" s="54">
        <v>4</v>
      </c>
      <c r="F21" s="54">
        <v>5</v>
      </c>
      <c r="G21" s="54">
        <v>6</v>
      </c>
      <c r="H21" s="54">
        <v>7</v>
      </c>
      <c r="I21" s="54">
        <v>8</v>
      </c>
      <c r="J21" s="54">
        <v>9</v>
      </c>
      <c r="K21" s="54">
        <v>1</v>
      </c>
      <c r="L21" s="54">
        <v>2</v>
      </c>
      <c r="M21" s="54">
        <v>3</v>
      </c>
      <c r="N21" s="54">
        <v>4</v>
      </c>
      <c r="O21" s="54">
        <v>5</v>
      </c>
      <c r="P21" s="54">
        <v>6</v>
      </c>
      <c r="Q21" s="54">
        <v>7</v>
      </c>
      <c r="R21" s="54">
        <v>8</v>
      </c>
      <c r="S21" s="54">
        <v>9</v>
      </c>
      <c r="T21" s="54">
        <v>1</v>
      </c>
      <c r="U21" s="54">
        <v>2</v>
      </c>
      <c r="V21" s="54">
        <v>3</v>
      </c>
      <c r="W21" s="54">
        <v>4</v>
      </c>
      <c r="X21" s="54">
        <v>5</v>
      </c>
      <c r="Y21" s="54">
        <v>6</v>
      </c>
      <c r="Z21" s="54">
        <v>7</v>
      </c>
      <c r="AA21" s="54">
        <v>8</v>
      </c>
      <c r="AB21" s="54">
        <v>9</v>
      </c>
    </row>
    <row r="22" spans="1:28" ht="31.2" x14ac:dyDescent="0.3">
      <c r="A22" s="56" t="s">
        <v>62</v>
      </c>
      <c r="B22" s="55" t="s">
        <v>16</v>
      </c>
      <c r="C22" s="55" t="s">
        <v>17</v>
      </c>
      <c r="D22" s="55" t="s">
        <v>18</v>
      </c>
      <c r="E22" s="55" t="s">
        <v>19</v>
      </c>
      <c r="F22" s="55" t="s">
        <v>20</v>
      </c>
      <c r="G22" s="55" t="s">
        <v>21</v>
      </c>
      <c r="H22" s="55" t="s">
        <v>22</v>
      </c>
      <c r="I22" s="55" t="s">
        <v>23</v>
      </c>
      <c r="J22" s="55" t="s">
        <v>24</v>
      </c>
      <c r="K22" s="55" t="s">
        <v>16</v>
      </c>
      <c r="L22" s="55" t="s">
        <v>17</v>
      </c>
      <c r="M22" s="55" t="s">
        <v>18</v>
      </c>
      <c r="N22" s="55" t="s">
        <v>19</v>
      </c>
      <c r="O22" s="55" t="s">
        <v>20</v>
      </c>
      <c r="P22" s="55" t="s">
        <v>21</v>
      </c>
      <c r="Q22" s="55" t="s">
        <v>22</v>
      </c>
      <c r="R22" s="55" t="s">
        <v>23</v>
      </c>
      <c r="S22" s="55" t="s">
        <v>24</v>
      </c>
      <c r="T22" s="55" t="s">
        <v>16</v>
      </c>
      <c r="U22" s="55" t="s">
        <v>17</v>
      </c>
      <c r="V22" s="55" t="s">
        <v>18</v>
      </c>
      <c r="W22" s="55" t="s">
        <v>19</v>
      </c>
      <c r="X22" s="55" t="s">
        <v>20</v>
      </c>
      <c r="Y22" s="55" t="s">
        <v>21</v>
      </c>
      <c r="Z22" s="55" t="s">
        <v>22</v>
      </c>
      <c r="AA22" s="55" t="s">
        <v>23</v>
      </c>
      <c r="AB22" s="55" t="s">
        <v>24</v>
      </c>
    </row>
    <row r="23" spans="1:28" x14ac:dyDescent="0.3">
      <c r="A23" s="56" t="s">
        <v>11</v>
      </c>
      <c r="B23" s="59" t="s">
        <v>15</v>
      </c>
      <c r="C23" s="59" t="s">
        <v>15</v>
      </c>
      <c r="D23" s="59" t="s">
        <v>15</v>
      </c>
      <c r="E23" s="59" t="s">
        <v>15</v>
      </c>
      <c r="F23" s="59" t="s">
        <v>15</v>
      </c>
      <c r="G23" s="59" t="s">
        <v>15</v>
      </c>
      <c r="H23" s="59" t="s">
        <v>15</v>
      </c>
      <c r="I23" s="59" t="s">
        <v>15</v>
      </c>
      <c r="J23" s="59" t="s">
        <v>15</v>
      </c>
      <c r="K23" s="60" t="s">
        <v>25</v>
      </c>
      <c r="L23" s="60" t="s">
        <v>25</v>
      </c>
      <c r="M23" s="60" t="s">
        <v>25</v>
      </c>
      <c r="N23" s="60" t="s">
        <v>25</v>
      </c>
      <c r="O23" s="60" t="s">
        <v>25</v>
      </c>
      <c r="P23" s="60" t="s">
        <v>25</v>
      </c>
      <c r="Q23" s="60" t="s">
        <v>25</v>
      </c>
      <c r="R23" s="60" t="s">
        <v>25</v>
      </c>
      <c r="S23" s="60" t="s">
        <v>25</v>
      </c>
      <c r="T23" s="61" t="s">
        <v>27</v>
      </c>
      <c r="U23" s="61" t="s">
        <v>27</v>
      </c>
      <c r="V23" s="61" t="s">
        <v>27</v>
      </c>
      <c r="W23" s="61" t="s">
        <v>27</v>
      </c>
      <c r="X23" s="61" t="s">
        <v>27</v>
      </c>
      <c r="Y23" s="61" t="s">
        <v>27</v>
      </c>
      <c r="Z23" s="61" t="s">
        <v>27</v>
      </c>
      <c r="AA23" s="61" t="s">
        <v>27</v>
      </c>
      <c r="AB23" s="61" t="s">
        <v>27</v>
      </c>
    </row>
    <row r="24" spans="1:28" s="56" customFormat="1" ht="16.2" thickBot="1" x14ac:dyDescent="0.35">
      <c r="A24" s="58" t="s">
        <v>63</v>
      </c>
      <c r="B24" s="57">
        <v>101</v>
      </c>
      <c r="C24" s="57">
        <v>102</v>
      </c>
      <c r="D24" s="57">
        <v>103</v>
      </c>
      <c r="E24" s="57">
        <v>104</v>
      </c>
      <c r="F24" s="57">
        <v>105</v>
      </c>
      <c r="G24" s="57">
        <v>106</v>
      </c>
      <c r="H24" s="57">
        <v>107</v>
      </c>
      <c r="I24" s="57">
        <v>108</v>
      </c>
      <c r="J24" s="57">
        <v>109</v>
      </c>
      <c r="K24" s="57">
        <v>110</v>
      </c>
      <c r="L24" s="57">
        <v>111</v>
      </c>
      <c r="M24" s="57">
        <v>112</v>
      </c>
      <c r="N24" s="57">
        <v>113</v>
      </c>
      <c r="O24" s="57">
        <v>114</v>
      </c>
      <c r="P24" s="57">
        <v>115</v>
      </c>
      <c r="Q24" s="57">
        <v>116</v>
      </c>
      <c r="R24" s="57">
        <v>117</v>
      </c>
      <c r="S24" s="57">
        <v>118</v>
      </c>
      <c r="T24" s="57">
        <v>119</v>
      </c>
      <c r="U24" s="57">
        <v>120</v>
      </c>
      <c r="V24" s="57">
        <v>121</v>
      </c>
      <c r="W24" s="57">
        <v>122</v>
      </c>
      <c r="X24" s="57">
        <v>123</v>
      </c>
      <c r="Y24" s="57">
        <v>124</v>
      </c>
      <c r="Z24" s="57">
        <v>125</v>
      </c>
      <c r="AA24" s="57">
        <v>126</v>
      </c>
      <c r="AB24" s="57">
        <v>127</v>
      </c>
    </row>
    <row r="25" spans="1:28" s="1" customFormat="1" ht="16.2" thickTop="1" x14ac:dyDescent="0.3"/>
    <row r="26" spans="1:28" x14ac:dyDescent="0.3">
      <c r="A26" s="1"/>
    </row>
    <row r="27" spans="1:28" x14ac:dyDescent="0.3">
      <c r="A27" s="53"/>
    </row>
  </sheetData>
  <pageMargins left="0.7" right="0.7" top="0.75" bottom="0.75" header="0.3" footer="0.3"/>
  <pageSetup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4"/>
  <sheetViews>
    <sheetView topLeftCell="A14" workbookViewId="0">
      <selection activeCell="C24" sqref="C24"/>
    </sheetView>
  </sheetViews>
  <sheetFormatPr defaultColWidth="11" defaultRowHeight="15.6" x14ac:dyDescent="0.3"/>
  <cols>
    <col min="2" max="2" width="17.5" customWidth="1"/>
    <col min="3" max="3" width="16.3984375" customWidth="1"/>
    <col min="4" max="4" width="18.19921875" customWidth="1"/>
    <col min="5" max="5" width="72.19921875" customWidth="1"/>
  </cols>
  <sheetData>
    <row r="2" spans="2:5" x14ac:dyDescent="0.3">
      <c r="B2" s="26"/>
    </row>
    <row r="4" spans="2:5" ht="21" x14ac:dyDescent="0.4">
      <c r="B4" s="122" t="s">
        <v>126</v>
      </c>
      <c r="C4" s="122"/>
      <c r="D4" s="122"/>
      <c r="E4" s="122"/>
    </row>
    <row r="6" spans="2:5" x14ac:dyDescent="0.3">
      <c r="B6" s="35" t="s">
        <v>127</v>
      </c>
      <c r="C6" s="36" t="s">
        <v>128</v>
      </c>
      <c r="D6" s="36" t="s">
        <v>129</v>
      </c>
      <c r="E6" s="37" t="s">
        <v>130</v>
      </c>
    </row>
    <row r="7" spans="2:5" ht="57.6" x14ac:dyDescent="0.3">
      <c r="B7" s="5" t="s">
        <v>131</v>
      </c>
      <c r="C7" s="6"/>
      <c r="D7" s="6" t="s">
        <v>132</v>
      </c>
      <c r="E7" s="38"/>
    </row>
    <row r="8" spans="2:5" ht="33.6" customHeight="1" x14ac:dyDescent="0.3">
      <c r="B8" s="11" t="s">
        <v>133</v>
      </c>
      <c r="C8" s="8">
        <v>44675</v>
      </c>
      <c r="D8" s="6" t="s">
        <v>132</v>
      </c>
      <c r="E8" s="65" t="s">
        <v>155</v>
      </c>
    </row>
    <row r="9" spans="2:5" ht="43.2" x14ac:dyDescent="0.3">
      <c r="B9" s="11" t="s">
        <v>134</v>
      </c>
      <c r="C9" s="6"/>
      <c r="D9" s="6" t="s">
        <v>132</v>
      </c>
      <c r="E9" s="68" t="s">
        <v>189</v>
      </c>
    </row>
    <row r="10" spans="2:5" ht="48" customHeight="1" x14ac:dyDescent="0.3">
      <c r="B10" s="7" t="s">
        <v>135</v>
      </c>
      <c r="C10" s="8">
        <v>44685</v>
      </c>
      <c r="D10" s="5" t="s">
        <v>132</v>
      </c>
      <c r="E10" s="9" t="s">
        <v>136</v>
      </c>
    </row>
    <row r="11" spans="2:5" ht="43.2" x14ac:dyDescent="0.3">
      <c r="B11" s="7" t="s">
        <v>137</v>
      </c>
      <c r="C11" s="8" t="s">
        <v>184</v>
      </c>
      <c r="D11" s="5" t="s">
        <v>132</v>
      </c>
      <c r="E11" s="9" t="s">
        <v>185</v>
      </c>
    </row>
    <row r="12" spans="2:5" ht="28.8" x14ac:dyDescent="0.3">
      <c r="B12" s="7" t="s">
        <v>138</v>
      </c>
      <c r="C12" s="8">
        <v>44712</v>
      </c>
      <c r="D12" s="6"/>
      <c r="E12" s="9" t="s">
        <v>156</v>
      </c>
    </row>
    <row r="13" spans="2:5" ht="57.6" x14ac:dyDescent="0.3">
      <c r="B13" s="7" t="s">
        <v>139</v>
      </c>
      <c r="C13" s="8">
        <v>44721</v>
      </c>
      <c r="D13" s="6" t="s">
        <v>182</v>
      </c>
      <c r="E13" s="67" t="s">
        <v>187</v>
      </c>
    </row>
    <row r="14" spans="2:5" ht="72" x14ac:dyDescent="0.3">
      <c r="B14" s="7" t="s">
        <v>140</v>
      </c>
      <c r="C14" s="8">
        <v>44734</v>
      </c>
      <c r="D14" s="6" t="s">
        <v>183</v>
      </c>
      <c r="E14" s="67" t="s">
        <v>186</v>
      </c>
    </row>
    <row r="15" spans="2:5" ht="43.2" x14ac:dyDescent="0.3">
      <c r="B15" s="7" t="s">
        <v>141</v>
      </c>
      <c r="C15" s="8">
        <v>44728</v>
      </c>
      <c r="D15" s="6" t="s">
        <v>180</v>
      </c>
      <c r="E15" s="65"/>
    </row>
    <row r="16" spans="2:5" ht="43.2" x14ac:dyDescent="0.3">
      <c r="B16" s="7" t="s">
        <v>142</v>
      </c>
      <c r="C16" s="8">
        <v>44740</v>
      </c>
      <c r="D16" s="6" t="s">
        <v>181</v>
      </c>
      <c r="E16" s="67" t="s">
        <v>188</v>
      </c>
    </row>
    <row r="17" spans="2:5" ht="43.2" x14ac:dyDescent="0.3">
      <c r="B17" s="7" t="s">
        <v>143</v>
      </c>
      <c r="C17" s="8" t="s">
        <v>157</v>
      </c>
      <c r="D17" s="8" t="s">
        <v>157</v>
      </c>
      <c r="E17" s="9"/>
    </row>
    <row r="18" spans="2:5" ht="28.8" x14ac:dyDescent="0.3">
      <c r="B18" s="7" t="s">
        <v>144</v>
      </c>
      <c r="C18" s="8">
        <v>44778</v>
      </c>
      <c r="D18" s="8" t="s">
        <v>157</v>
      </c>
      <c r="E18" s="9"/>
    </row>
    <row r="19" spans="2:5" x14ac:dyDescent="0.3">
      <c r="B19" s="7" t="s">
        <v>145</v>
      </c>
      <c r="C19" s="8">
        <v>44795</v>
      </c>
      <c r="D19" s="8" t="s">
        <v>157</v>
      </c>
      <c r="E19" s="9" t="s">
        <v>146</v>
      </c>
    </row>
    <row r="20" spans="2:5" x14ac:dyDescent="0.3">
      <c r="B20" s="7" t="s">
        <v>147</v>
      </c>
      <c r="C20" s="8" t="s">
        <v>158</v>
      </c>
      <c r="D20" s="8" t="s">
        <v>157</v>
      </c>
      <c r="E20" s="9" t="s">
        <v>148</v>
      </c>
    </row>
    <row r="21" spans="2:5" ht="44.4" customHeight="1" x14ac:dyDescent="0.3">
      <c r="B21" s="7" t="s">
        <v>149</v>
      </c>
      <c r="C21" s="8">
        <v>44795</v>
      </c>
      <c r="D21" s="8" t="s">
        <v>157</v>
      </c>
      <c r="E21" s="9"/>
    </row>
    <row r="22" spans="2:5" ht="31.2" x14ac:dyDescent="0.3">
      <c r="B22" s="7" t="s">
        <v>150</v>
      </c>
      <c r="C22" s="10"/>
      <c r="D22" s="8" t="s">
        <v>157</v>
      </c>
      <c r="E22" s="9" t="s">
        <v>151</v>
      </c>
    </row>
    <row r="23" spans="2:5" ht="57.6" x14ac:dyDescent="0.3">
      <c r="B23" s="7" t="s">
        <v>152</v>
      </c>
      <c r="C23" s="31" t="s">
        <v>159</v>
      </c>
      <c r="D23" s="31"/>
      <c r="E23" s="33"/>
    </row>
    <row r="24" spans="2:5" ht="28.8" x14ac:dyDescent="0.3">
      <c r="B24" s="7" t="s">
        <v>153</v>
      </c>
      <c r="C24" s="31" t="s">
        <v>160</v>
      </c>
      <c r="D24" s="31"/>
      <c r="E24" s="33"/>
    </row>
  </sheetData>
  <mergeCells count="1">
    <mergeCell ref="B4:E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A17B-6F01-4447-8CF5-A466113A8697}">
  <sheetPr>
    <tabColor rgb="FFFFFF00"/>
  </sheetPr>
  <dimension ref="A1:P112"/>
  <sheetViews>
    <sheetView topLeftCell="A56" workbookViewId="0">
      <selection activeCell="O1" sqref="O1:O1048576"/>
    </sheetView>
  </sheetViews>
  <sheetFormatPr defaultRowHeight="15.6" x14ac:dyDescent="0.3"/>
  <cols>
    <col min="1" max="1" width="25.8984375" bestFit="1" customWidth="1"/>
    <col min="2" max="2" width="9.69921875" bestFit="1" customWidth="1"/>
    <col min="3" max="4" width="8.59765625" bestFit="1" customWidth="1"/>
    <col min="5" max="5" width="8.69921875" bestFit="1" customWidth="1"/>
    <col min="6" max="7" width="8.59765625" bestFit="1" customWidth="1"/>
    <col min="8" max="8" width="8.69921875" bestFit="1" customWidth="1"/>
    <col min="9" max="9" width="8.59765625" bestFit="1" customWidth="1"/>
    <col min="10" max="10" width="12.5" bestFit="1" customWidth="1"/>
    <col min="11" max="12" width="8.69921875" bestFit="1" customWidth="1"/>
    <col min="13" max="13" width="12.5" bestFit="1" customWidth="1"/>
    <col min="14" max="14" width="28.69921875" bestFit="1" customWidth="1"/>
    <col min="15" max="15" width="6.5" bestFit="1" customWidth="1"/>
  </cols>
  <sheetData>
    <row r="1" spans="1:16" ht="93.6" x14ac:dyDescent="0.3">
      <c r="A1" s="69" t="s">
        <v>161</v>
      </c>
      <c r="B1" s="69" t="s">
        <v>162</v>
      </c>
      <c r="C1" s="94" t="s">
        <v>163</v>
      </c>
      <c r="D1" s="69" t="s">
        <v>164</v>
      </c>
      <c r="E1" s="69" t="s">
        <v>165</v>
      </c>
      <c r="F1" s="94" t="s">
        <v>166</v>
      </c>
      <c r="G1" s="69" t="s">
        <v>167</v>
      </c>
      <c r="H1" s="69" t="s">
        <v>168</v>
      </c>
      <c r="I1" s="69" t="s">
        <v>169</v>
      </c>
      <c r="J1" s="69" t="s">
        <v>170</v>
      </c>
      <c r="K1" s="69" t="s">
        <v>171</v>
      </c>
      <c r="L1" s="69" t="s">
        <v>172</v>
      </c>
      <c r="M1" s="69" t="s">
        <v>173</v>
      </c>
      <c r="N1" s="69" t="s">
        <v>174</v>
      </c>
      <c r="O1" s="94" t="s">
        <v>175</v>
      </c>
      <c r="P1" s="69"/>
    </row>
    <row r="2" spans="1:16" x14ac:dyDescent="0.3">
      <c r="A2" t="s">
        <v>176</v>
      </c>
      <c r="B2" s="66">
        <v>44685</v>
      </c>
      <c r="C2">
        <v>7.4</v>
      </c>
      <c r="D2" t="s">
        <v>177</v>
      </c>
      <c r="E2">
        <v>100</v>
      </c>
      <c r="F2">
        <v>19.7</v>
      </c>
      <c r="G2" t="s">
        <v>177</v>
      </c>
      <c r="H2">
        <v>100</v>
      </c>
      <c r="I2">
        <v>14.5</v>
      </c>
      <c r="J2" t="s">
        <v>178</v>
      </c>
      <c r="K2">
        <v>100</v>
      </c>
      <c r="L2">
        <v>0</v>
      </c>
      <c r="M2" t="s">
        <v>178</v>
      </c>
      <c r="N2" t="s">
        <v>179</v>
      </c>
      <c r="O2">
        <v>0</v>
      </c>
    </row>
    <row r="3" spans="1:16" x14ac:dyDescent="0.3">
      <c r="A3" t="s">
        <v>176</v>
      </c>
      <c r="B3" s="66">
        <v>44686</v>
      </c>
      <c r="C3">
        <v>7.5</v>
      </c>
      <c r="D3" t="s">
        <v>177</v>
      </c>
      <c r="E3">
        <v>100</v>
      </c>
      <c r="F3">
        <v>25</v>
      </c>
      <c r="G3" t="s">
        <v>177</v>
      </c>
      <c r="H3">
        <v>100</v>
      </c>
      <c r="I3">
        <v>15.3</v>
      </c>
      <c r="J3" t="s">
        <v>178</v>
      </c>
      <c r="K3">
        <v>100</v>
      </c>
      <c r="L3">
        <v>0</v>
      </c>
      <c r="M3" t="s">
        <v>178</v>
      </c>
      <c r="N3" t="s">
        <v>179</v>
      </c>
      <c r="O3">
        <v>0</v>
      </c>
    </row>
    <row r="4" spans="1:16" x14ac:dyDescent="0.3">
      <c r="A4" t="s">
        <v>176</v>
      </c>
      <c r="B4" s="66">
        <v>44687</v>
      </c>
      <c r="C4">
        <v>5.8</v>
      </c>
      <c r="D4" t="s">
        <v>177</v>
      </c>
      <c r="E4">
        <v>100</v>
      </c>
      <c r="F4">
        <v>18.399999999999999</v>
      </c>
      <c r="G4" t="s">
        <v>177</v>
      </c>
      <c r="H4">
        <v>100</v>
      </c>
      <c r="I4">
        <v>12.9</v>
      </c>
      <c r="J4" t="s">
        <v>178</v>
      </c>
      <c r="K4">
        <v>100</v>
      </c>
      <c r="L4">
        <v>0</v>
      </c>
      <c r="M4" t="s">
        <v>178</v>
      </c>
      <c r="N4" t="s">
        <v>179</v>
      </c>
      <c r="O4">
        <v>0</v>
      </c>
    </row>
    <row r="5" spans="1:16" x14ac:dyDescent="0.3">
      <c r="A5" t="s">
        <v>176</v>
      </c>
      <c r="B5" s="66">
        <v>44688</v>
      </c>
      <c r="C5">
        <v>2.6</v>
      </c>
      <c r="D5" t="s">
        <v>177</v>
      </c>
      <c r="E5">
        <v>100</v>
      </c>
      <c r="F5">
        <v>16.7</v>
      </c>
      <c r="G5" t="s">
        <v>177</v>
      </c>
      <c r="H5">
        <v>100</v>
      </c>
      <c r="I5">
        <v>10.5</v>
      </c>
      <c r="J5" t="s">
        <v>178</v>
      </c>
      <c r="K5">
        <v>100</v>
      </c>
      <c r="L5">
        <v>0</v>
      </c>
      <c r="M5" t="s">
        <v>178</v>
      </c>
      <c r="N5" t="s">
        <v>179</v>
      </c>
      <c r="O5">
        <v>0</v>
      </c>
    </row>
    <row r="6" spans="1:16" x14ac:dyDescent="0.3">
      <c r="A6" t="s">
        <v>176</v>
      </c>
      <c r="B6" s="66">
        <v>44689</v>
      </c>
      <c r="C6">
        <v>0</v>
      </c>
      <c r="D6" t="s">
        <v>177</v>
      </c>
      <c r="E6">
        <v>100</v>
      </c>
      <c r="F6">
        <v>14.1</v>
      </c>
      <c r="G6" t="s">
        <v>177</v>
      </c>
      <c r="H6">
        <v>100</v>
      </c>
      <c r="I6">
        <v>7.3</v>
      </c>
      <c r="J6" t="s">
        <v>178</v>
      </c>
      <c r="K6">
        <v>100</v>
      </c>
      <c r="L6">
        <v>0</v>
      </c>
      <c r="M6" t="s">
        <v>178</v>
      </c>
      <c r="N6" t="s">
        <v>179</v>
      </c>
      <c r="O6">
        <v>0</v>
      </c>
    </row>
    <row r="7" spans="1:16" x14ac:dyDescent="0.3">
      <c r="A7" t="s">
        <v>176</v>
      </c>
      <c r="B7" s="66">
        <v>44690</v>
      </c>
      <c r="C7" s="42">
        <v>-4.0999999999999996</v>
      </c>
      <c r="D7" t="s">
        <v>177</v>
      </c>
      <c r="E7">
        <v>100</v>
      </c>
      <c r="F7">
        <v>10.8</v>
      </c>
      <c r="G7" t="s">
        <v>177</v>
      </c>
      <c r="H7">
        <v>100</v>
      </c>
      <c r="I7">
        <v>4.0999999999999996</v>
      </c>
      <c r="J7" t="s">
        <v>178</v>
      </c>
      <c r="K7">
        <v>100</v>
      </c>
      <c r="L7">
        <v>0</v>
      </c>
      <c r="M7" t="s">
        <v>178</v>
      </c>
      <c r="N7" t="s">
        <v>179</v>
      </c>
      <c r="O7">
        <v>0</v>
      </c>
    </row>
    <row r="8" spans="1:16" x14ac:dyDescent="0.3">
      <c r="A8" t="s">
        <v>176</v>
      </c>
      <c r="B8" s="66">
        <v>44691</v>
      </c>
      <c r="C8">
        <v>3.9</v>
      </c>
      <c r="D8" t="s">
        <v>177</v>
      </c>
      <c r="E8">
        <v>100</v>
      </c>
      <c r="F8">
        <v>15.9</v>
      </c>
      <c r="G8" t="s">
        <v>177</v>
      </c>
      <c r="H8">
        <v>100</v>
      </c>
      <c r="I8">
        <v>9.8000000000000007</v>
      </c>
      <c r="J8" t="s">
        <v>178</v>
      </c>
      <c r="K8">
        <v>100</v>
      </c>
      <c r="L8">
        <v>0</v>
      </c>
      <c r="M8" t="s">
        <v>178</v>
      </c>
      <c r="N8" t="s">
        <v>179</v>
      </c>
      <c r="O8">
        <v>0</v>
      </c>
    </row>
    <row r="9" spans="1:16" x14ac:dyDescent="0.3">
      <c r="A9" t="s">
        <v>176</v>
      </c>
      <c r="B9" s="66">
        <v>44692</v>
      </c>
      <c r="C9">
        <v>0.4</v>
      </c>
      <c r="D9" t="s">
        <v>177</v>
      </c>
      <c r="E9">
        <v>100</v>
      </c>
      <c r="F9">
        <v>17.899999999999999</v>
      </c>
      <c r="G9" t="s">
        <v>177</v>
      </c>
      <c r="H9">
        <v>100</v>
      </c>
      <c r="I9">
        <v>9.9</v>
      </c>
      <c r="J9" t="s">
        <v>178</v>
      </c>
      <c r="K9">
        <v>100</v>
      </c>
      <c r="L9">
        <v>0</v>
      </c>
      <c r="M9" t="s">
        <v>178</v>
      </c>
      <c r="N9" t="s">
        <v>179</v>
      </c>
      <c r="O9">
        <v>0</v>
      </c>
    </row>
    <row r="10" spans="1:16" x14ac:dyDescent="0.3">
      <c r="A10" t="s">
        <v>176</v>
      </c>
      <c r="B10" s="66">
        <v>44693</v>
      </c>
      <c r="C10">
        <v>-0.9</v>
      </c>
      <c r="D10" t="s">
        <v>177</v>
      </c>
      <c r="E10">
        <v>100</v>
      </c>
      <c r="F10">
        <v>16.100000000000001</v>
      </c>
      <c r="G10" t="s">
        <v>177</v>
      </c>
      <c r="H10">
        <v>100</v>
      </c>
      <c r="I10">
        <v>8.4</v>
      </c>
      <c r="J10" t="s">
        <v>178</v>
      </c>
      <c r="K10">
        <v>100</v>
      </c>
      <c r="L10">
        <v>0</v>
      </c>
      <c r="M10" t="s">
        <v>178</v>
      </c>
      <c r="N10" t="s">
        <v>179</v>
      </c>
      <c r="O10">
        <v>0</v>
      </c>
    </row>
    <row r="11" spans="1:16" x14ac:dyDescent="0.3">
      <c r="A11" t="s">
        <v>176</v>
      </c>
      <c r="B11" s="66">
        <v>44694</v>
      </c>
      <c r="C11">
        <v>-0.8</v>
      </c>
      <c r="D11" t="s">
        <v>177</v>
      </c>
      <c r="E11">
        <v>100</v>
      </c>
      <c r="F11">
        <v>13.8</v>
      </c>
      <c r="G11" t="s">
        <v>177</v>
      </c>
      <c r="H11">
        <v>100</v>
      </c>
      <c r="I11">
        <v>7.8</v>
      </c>
      <c r="J11" t="s">
        <v>178</v>
      </c>
      <c r="K11">
        <v>100</v>
      </c>
      <c r="L11">
        <v>0</v>
      </c>
      <c r="M11" t="s">
        <v>178</v>
      </c>
      <c r="N11" t="s">
        <v>179</v>
      </c>
      <c r="O11">
        <v>0</v>
      </c>
    </row>
    <row r="12" spans="1:16" x14ac:dyDescent="0.3">
      <c r="A12" t="s">
        <v>176</v>
      </c>
      <c r="B12" s="66">
        <v>44695</v>
      </c>
      <c r="C12">
        <v>3.9</v>
      </c>
      <c r="D12" t="s">
        <v>177</v>
      </c>
      <c r="E12">
        <v>100</v>
      </c>
      <c r="F12">
        <v>17.600000000000001</v>
      </c>
      <c r="G12" t="s">
        <v>177</v>
      </c>
      <c r="H12">
        <v>100</v>
      </c>
      <c r="I12">
        <v>10.6</v>
      </c>
      <c r="J12" t="s">
        <v>178</v>
      </c>
      <c r="K12">
        <v>100</v>
      </c>
      <c r="L12">
        <v>0</v>
      </c>
      <c r="M12" t="s">
        <v>178</v>
      </c>
      <c r="N12" t="s">
        <v>179</v>
      </c>
      <c r="O12">
        <v>0</v>
      </c>
    </row>
    <row r="13" spans="1:16" x14ac:dyDescent="0.3">
      <c r="A13" t="s">
        <v>176</v>
      </c>
      <c r="B13" s="66">
        <v>44696</v>
      </c>
      <c r="C13">
        <v>8.3000000000000007</v>
      </c>
      <c r="D13" t="s">
        <v>177</v>
      </c>
      <c r="E13">
        <v>100</v>
      </c>
      <c r="F13">
        <v>21.5</v>
      </c>
      <c r="G13" t="s">
        <v>177</v>
      </c>
      <c r="H13">
        <v>100</v>
      </c>
      <c r="I13">
        <v>14.5</v>
      </c>
      <c r="J13" t="s">
        <v>178</v>
      </c>
      <c r="K13">
        <v>100</v>
      </c>
      <c r="L13">
        <v>0</v>
      </c>
      <c r="M13" t="s">
        <v>178</v>
      </c>
      <c r="N13" t="s">
        <v>179</v>
      </c>
      <c r="O13">
        <v>0</v>
      </c>
    </row>
    <row r="14" spans="1:16" x14ac:dyDescent="0.3">
      <c r="A14" t="s">
        <v>176</v>
      </c>
      <c r="B14" s="66">
        <v>44697</v>
      </c>
      <c r="C14">
        <v>5.5</v>
      </c>
      <c r="D14" t="s">
        <v>177</v>
      </c>
      <c r="E14">
        <v>100</v>
      </c>
      <c r="F14">
        <v>22.8</v>
      </c>
      <c r="G14" t="s">
        <v>177</v>
      </c>
      <c r="H14">
        <v>100</v>
      </c>
      <c r="I14">
        <v>15.9</v>
      </c>
      <c r="J14" t="s">
        <v>178</v>
      </c>
      <c r="K14">
        <v>100</v>
      </c>
      <c r="L14">
        <v>0</v>
      </c>
      <c r="M14" t="s">
        <v>178</v>
      </c>
      <c r="N14" t="s">
        <v>179</v>
      </c>
      <c r="O14">
        <v>0</v>
      </c>
    </row>
    <row r="15" spans="1:16" x14ac:dyDescent="0.3">
      <c r="A15" t="s">
        <v>176</v>
      </c>
      <c r="B15" s="66">
        <v>44698</v>
      </c>
      <c r="C15">
        <v>4.3</v>
      </c>
      <c r="D15" t="s">
        <v>177</v>
      </c>
      <c r="E15">
        <v>100</v>
      </c>
      <c r="F15">
        <v>19.5</v>
      </c>
      <c r="G15" t="s">
        <v>177</v>
      </c>
      <c r="H15">
        <v>100</v>
      </c>
      <c r="I15">
        <v>13.4</v>
      </c>
      <c r="J15" t="s">
        <v>178</v>
      </c>
      <c r="K15">
        <v>100</v>
      </c>
      <c r="L15">
        <v>0</v>
      </c>
      <c r="M15" t="s">
        <v>178</v>
      </c>
      <c r="N15" t="s">
        <v>179</v>
      </c>
      <c r="O15">
        <v>0</v>
      </c>
    </row>
    <row r="16" spans="1:16" x14ac:dyDescent="0.3">
      <c r="A16" t="s">
        <v>176</v>
      </c>
      <c r="B16" s="66">
        <v>44699</v>
      </c>
      <c r="C16">
        <v>0.3</v>
      </c>
      <c r="D16" t="s">
        <v>177</v>
      </c>
      <c r="E16">
        <v>100</v>
      </c>
      <c r="F16">
        <v>19.600000000000001</v>
      </c>
      <c r="G16" t="s">
        <v>177</v>
      </c>
      <c r="H16">
        <v>100</v>
      </c>
      <c r="I16">
        <v>10</v>
      </c>
      <c r="J16" t="s">
        <v>178</v>
      </c>
      <c r="K16">
        <v>100</v>
      </c>
      <c r="L16">
        <v>0</v>
      </c>
      <c r="M16" t="s">
        <v>178</v>
      </c>
      <c r="N16" t="s">
        <v>179</v>
      </c>
      <c r="O16">
        <v>0</v>
      </c>
    </row>
    <row r="17" spans="1:15" x14ac:dyDescent="0.3">
      <c r="A17" t="s">
        <v>176</v>
      </c>
      <c r="B17" s="66">
        <v>44700</v>
      </c>
      <c r="C17">
        <v>3.5</v>
      </c>
      <c r="D17" t="s">
        <v>177</v>
      </c>
      <c r="E17">
        <v>100</v>
      </c>
      <c r="F17">
        <v>10.1</v>
      </c>
      <c r="G17" t="s">
        <v>177</v>
      </c>
      <c r="H17">
        <v>100</v>
      </c>
      <c r="I17">
        <v>6.8</v>
      </c>
      <c r="J17" t="s">
        <v>178</v>
      </c>
      <c r="K17">
        <v>100</v>
      </c>
      <c r="L17">
        <v>2</v>
      </c>
      <c r="M17" t="s">
        <v>178</v>
      </c>
      <c r="N17" t="s">
        <v>179</v>
      </c>
      <c r="O17">
        <v>2</v>
      </c>
    </row>
    <row r="18" spans="1:15" x14ac:dyDescent="0.3">
      <c r="A18" t="s">
        <v>176</v>
      </c>
      <c r="B18" s="66">
        <v>44701</v>
      </c>
      <c r="C18">
        <v>1.3</v>
      </c>
      <c r="D18" t="s">
        <v>177</v>
      </c>
      <c r="E18">
        <v>100</v>
      </c>
      <c r="F18">
        <v>10.199999999999999</v>
      </c>
      <c r="G18" t="s">
        <v>177</v>
      </c>
      <c r="H18">
        <v>100</v>
      </c>
      <c r="I18">
        <v>5.4</v>
      </c>
      <c r="J18" t="s">
        <v>178</v>
      </c>
      <c r="K18">
        <v>100</v>
      </c>
      <c r="L18">
        <v>4.2</v>
      </c>
      <c r="M18" t="s">
        <v>178</v>
      </c>
      <c r="N18" t="s">
        <v>179</v>
      </c>
      <c r="O18">
        <v>2.2000000000000002</v>
      </c>
    </row>
    <row r="19" spans="1:15" x14ac:dyDescent="0.3">
      <c r="A19" t="s">
        <v>176</v>
      </c>
      <c r="B19" s="66">
        <v>44702</v>
      </c>
      <c r="C19">
        <v>0.8</v>
      </c>
      <c r="D19" t="s">
        <v>177</v>
      </c>
      <c r="E19">
        <v>100</v>
      </c>
      <c r="F19">
        <v>11.5</v>
      </c>
      <c r="G19" t="s">
        <v>177</v>
      </c>
      <c r="H19">
        <v>100</v>
      </c>
      <c r="I19">
        <v>6.1</v>
      </c>
      <c r="J19" t="s">
        <v>178</v>
      </c>
      <c r="K19">
        <v>100</v>
      </c>
      <c r="L19">
        <v>4.2</v>
      </c>
      <c r="M19" t="s">
        <v>178</v>
      </c>
      <c r="N19" t="s">
        <v>179</v>
      </c>
      <c r="O19">
        <v>0</v>
      </c>
    </row>
    <row r="20" spans="1:15" x14ac:dyDescent="0.3">
      <c r="A20" t="s">
        <v>176</v>
      </c>
      <c r="B20" s="66">
        <v>44703</v>
      </c>
      <c r="C20">
        <v>-1.9</v>
      </c>
      <c r="D20" t="s">
        <v>177</v>
      </c>
      <c r="E20">
        <v>100</v>
      </c>
      <c r="F20">
        <v>17.8</v>
      </c>
      <c r="G20" t="s">
        <v>177</v>
      </c>
      <c r="H20">
        <v>100</v>
      </c>
      <c r="I20">
        <v>8.8000000000000007</v>
      </c>
      <c r="J20" t="s">
        <v>178</v>
      </c>
      <c r="K20">
        <v>100</v>
      </c>
      <c r="L20">
        <v>4.2</v>
      </c>
      <c r="M20" t="s">
        <v>178</v>
      </c>
      <c r="N20" t="s">
        <v>179</v>
      </c>
      <c r="O20">
        <v>0</v>
      </c>
    </row>
    <row r="21" spans="1:15" x14ac:dyDescent="0.3">
      <c r="A21" t="s">
        <v>176</v>
      </c>
      <c r="B21" s="66">
        <v>44704</v>
      </c>
      <c r="C21">
        <v>1.6</v>
      </c>
      <c r="D21" t="s">
        <v>177</v>
      </c>
      <c r="E21">
        <v>100</v>
      </c>
      <c r="F21">
        <v>21</v>
      </c>
      <c r="G21" t="s">
        <v>177</v>
      </c>
      <c r="H21">
        <v>100</v>
      </c>
      <c r="I21">
        <v>13</v>
      </c>
      <c r="J21" t="s">
        <v>178</v>
      </c>
      <c r="K21">
        <v>100</v>
      </c>
      <c r="L21">
        <v>4.2</v>
      </c>
      <c r="M21" t="s">
        <v>178</v>
      </c>
      <c r="N21" t="s">
        <v>179</v>
      </c>
      <c r="O21">
        <v>0</v>
      </c>
    </row>
    <row r="22" spans="1:15" x14ac:dyDescent="0.3">
      <c r="A22" t="s">
        <v>176</v>
      </c>
      <c r="B22" s="66">
        <v>44705</v>
      </c>
      <c r="C22">
        <v>8.1999999999999993</v>
      </c>
      <c r="D22" t="s">
        <v>177</v>
      </c>
      <c r="E22">
        <v>100</v>
      </c>
      <c r="F22">
        <v>20.7</v>
      </c>
      <c r="G22" t="s">
        <v>177</v>
      </c>
      <c r="H22">
        <v>100</v>
      </c>
      <c r="I22">
        <v>14.2</v>
      </c>
      <c r="J22" t="s">
        <v>178</v>
      </c>
      <c r="K22">
        <v>100</v>
      </c>
      <c r="L22">
        <v>4.3</v>
      </c>
      <c r="M22" t="s">
        <v>178</v>
      </c>
      <c r="N22" t="s">
        <v>179</v>
      </c>
      <c r="O22">
        <v>0.1</v>
      </c>
    </row>
    <row r="23" spans="1:15" x14ac:dyDescent="0.3">
      <c r="A23" t="s">
        <v>176</v>
      </c>
      <c r="B23" s="66">
        <v>44706</v>
      </c>
      <c r="C23">
        <v>6.6</v>
      </c>
      <c r="D23" t="s">
        <v>177</v>
      </c>
      <c r="E23">
        <v>100</v>
      </c>
      <c r="F23">
        <v>20.3</v>
      </c>
      <c r="G23" t="s">
        <v>177</v>
      </c>
      <c r="H23">
        <v>100</v>
      </c>
      <c r="I23">
        <v>14.2</v>
      </c>
      <c r="J23" t="s">
        <v>178</v>
      </c>
      <c r="K23">
        <v>100</v>
      </c>
      <c r="L23">
        <v>4.3</v>
      </c>
      <c r="M23" t="s">
        <v>178</v>
      </c>
      <c r="N23" t="s">
        <v>179</v>
      </c>
      <c r="O23">
        <v>0</v>
      </c>
    </row>
    <row r="24" spans="1:15" x14ac:dyDescent="0.3">
      <c r="A24" t="s">
        <v>176</v>
      </c>
      <c r="B24" s="66">
        <v>44707</v>
      </c>
      <c r="C24">
        <v>9.4</v>
      </c>
      <c r="D24" t="s">
        <v>177</v>
      </c>
      <c r="E24">
        <v>100</v>
      </c>
      <c r="F24">
        <v>22.6</v>
      </c>
      <c r="G24" t="s">
        <v>177</v>
      </c>
      <c r="H24">
        <v>100</v>
      </c>
      <c r="I24">
        <v>16.3</v>
      </c>
      <c r="J24" t="s">
        <v>178</v>
      </c>
      <c r="K24">
        <v>100</v>
      </c>
      <c r="L24">
        <v>4.3</v>
      </c>
      <c r="M24" t="s">
        <v>178</v>
      </c>
      <c r="N24" t="s">
        <v>179</v>
      </c>
      <c r="O24">
        <v>0</v>
      </c>
    </row>
    <row r="25" spans="1:15" x14ac:dyDescent="0.3">
      <c r="A25" t="s">
        <v>176</v>
      </c>
      <c r="B25" s="66">
        <v>44708</v>
      </c>
      <c r="C25">
        <v>11.1</v>
      </c>
      <c r="D25" t="s">
        <v>177</v>
      </c>
      <c r="E25">
        <v>100</v>
      </c>
      <c r="F25">
        <v>23.1</v>
      </c>
      <c r="G25" t="s">
        <v>177</v>
      </c>
      <c r="H25">
        <v>100</v>
      </c>
      <c r="I25">
        <v>15.8</v>
      </c>
      <c r="J25" t="s">
        <v>178</v>
      </c>
      <c r="K25">
        <v>100</v>
      </c>
      <c r="L25">
        <v>4.7</v>
      </c>
      <c r="M25" t="s">
        <v>178</v>
      </c>
      <c r="N25" t="s">
        <v>179</v>
      </c>
      <c r="O25">
        <v>0.4</v>
      </c>
    </row>
    <row r="26" spans="1:15" x14ac:dyDescent="0.3">
      <c r="A26" t="s">
        <v>176</v>
      </c>
      <c r="B26" s="66">
        <v>44709</v>
      </c>
      <c r="C26">
        <v>9.1999999999999993</v>
      </c>
      <c r="D26" t="s">
        <v>177</v>
      </c>
      <c r="E26">
        <v>100</v>
      </c>
      <c r="F26">
        <v>20.7</v>
      </c>
      <c r="G26" t="s">
        <v>177</v>
      </c>
      <c r="H26">
        <v>100</v>
      </c>
      <c r="I26">
        <v>14.7</v>
      </c>
      <c r="J26" t="s">
        <v>178</v>
      </c>
      <c r="K26">
        <v>100</v>
      </c>
      <c r="L26">
        <v>4.7</v>
      </c>
      <c r="M26" t="s">
        <v>178</v>
      </c>
      <c r="N26" t="s">
        <v>179</v>
      </c>
      <c r="O26">
        <v>0</v>
      </c>
    </row>
    <row r="27" spans="1:15" x14ac:dyDescent="0.3">
      <c r="A27" t="s">
        <v>176</v>
      </c>
      <c r="B27" s="66">
        <v>44710</v>
      </c>
      <c r="C27">
        <v>6.7</v>
      </c>
      <c r="D27" t="s">
        <v>177</v>
      </c>
      <c r="E27">
        <v>100</v>
      </c>
      <c r="F27">
        <v>16.899999999999999</v>
      </c>
      <c r="G27" t="s">
        <v>177</v>
      </c>
      <c r="H27">
        <v>100</v>
      </c>
      <c r="I27">
        <v>12.1</v>
      </c>
      <c r="J27" t="s">
        <v>178</v>
      </c>
      <c r="K27">
        <v>100</v>
      </c>
      <c r="L27">
        <v>4.7</v>
      </c>
      <c r="M27" t="s">
        <v>178</v>
      </c>
      <c r="N27" t="s">
        <v>179</v>
      </c>
      <c r="O27">
        <v>0</v>
      </c>
    </row>
    <row r="28" spans="1:15" x14ac:dyDescent="0.3">
      <c r="A28" t="s">
        <v>176</v>
      </c>
      <c r="B28" s="66">
        <v>44711</v>
      </c>
      <c r="C28">
        <v>7.3</v>
      </c>
      <c r="D28" t="s">
        <v>177</v>
      </c>
      <c r="E28">
        <v>100</v>
      </c>
      <c r="F28">
        <v>15.2</v>
      </c>
      <c r="G28" t="s">
        <v>177</v>
      </c>
      <c r="H28">
        <v>100</v>
      </c>
      <c r="I28">
        <v>10.8</v>
      </c>
      <c r="J28" t="s">
        <v>178</v>
      </c>
      <c r="K28">
        <v>100</v>
      </c>
      <c r="L28">
        <v>6.4</v>
      </c>
      <c r="M28" t="s">
        <v>178</v>
      </c>
      <c r="N28" t="s">
        <v>179</v>
      </c>
      <c r="O28">
        <v>1.7</v>
      </c>
    </row>
    <row r="29" spans="1:15" x14ac:dyDescent="0.3">
      <c r="A29" t="s">
        <v>176</v>
      </c>
      <c r="B29" s="66">
        <v>44712</v>
      </c>
      <c r="C29">
        <v>2</v>
      </c>
      <c r="D29" t="s">
        <v>177</v>
      </c>
      <c r="E29">
        <v>100</v>
      </c>
      <c r="F29">
        <v>17.899999999999999</v>
      </c>
      <c r="G29" t="s">
        <v>177</v>
      </c>
      <c r="H29">
        <v>100</v>
      </c>
      <c r="I29">
        <v>11.6</v>
      </c>
      <c r="J29" t="s">
        <v>178</v>
      </c>
      <c r="K29">
        <v>100</v>
      </c>
      <c r="L29">
        <v>6.4</v>
      </c>
      <c r="M29" t="s">
        <v>178</v>
      </c>
      <c r="N29" t="s">
        <v>179</v>
      </c>
      <c r="O29">
        <v>0</v>
      </c>
    </row>
    <row r="30" spans="1:15" x14ac:dyDescent="0.3">
      <c r="A30" t="s">
        <v>176</v>
      </c>
      <c r="B30" s="66">
        <v>44713</v>
      </c>
      <c r="C30">
        <v>4</v>
      </c>
      <c r="D30" t="s">
        <v>177</v>
      </c>
      <c r="E30">
        <v>100</v>
      </c>
      <c r="F30">
        <v>20.7</v>
      </c>
      <c r="G30" t="s">
        <v>177</v>
      </c>
      <c r="H30">
        <v>100</v>
      </c>
      <c r="I30">
        <v>13.2</v>
      </c>
      <c r="J30" t="s">
        <v>178</v>
      </c>
      <c r="K30">
        <v>100</v>
      </c>
      <c r="L30">
        <v>6.4</v>
      </c>
      <c r="M30" t="s">
        <v>178</v>
      </c>
      <c r="N30" t="s">
        <v>179</v>
      </c>
      <c r="O30">
        <v>0</v>
      </c>
    </row>
    <row r="31" spans="1:15" x14ac:dyDescent="0.3">
      <c r="A31" t="s">
        <v>176</v>
      </c>
      <c r="B31" s="66">
        <v>44714</v>
      </c>
      <c r="C31">
        <v>2.9</v>
      </c>
      <c r="D31" t="s">
        <v>177</v>
      </c>
      <c r="E31">
        <v>100</v>
      </c>
      <c r="F31">
        <v>22.3</v>
      </c>
      <c r="G31" t="s">
        <v>177</v>
      </c>
      <c r="H31">
        <v>100</v>
      </c>
      <c r="I31">
        <v>14</v>
      </c>
      <c r="J31" t="s">
        <v>178</v>
      </c>
      <c r="K31">
        <v>100</v>
      </c>
      <c r="L31">
        <v>6.4</v>
      </c>
      <c r="M31" t="s">
        <v>178</v>
      </c>
      <c r="N31" t="s">
        <v>179</v>
      </c>
      <c r="O31">
        <v>0</v>
      </c>
    </row>
    <row r="32" spans="1:15" x14ac:dyDescent="0.3">
      <c r="A32" t="s">
        <v>176</v>
      </c>
      <c r="B32" s="66">
        <v>44715</v>
      </c>
      <c r="C32">
        <v>4.5</v>
      </c>
      <c r="D32" t="s">
        <v>177</v>
      </c>
      <c r="E32">
        <v>100</v>
      </c>
      <c r="F32">
        <v>21.4</v>
      </c>
      <c r="G32" t="s">
        <v>177</v>
      </c>
      <c r="H32">
        <v>100</v>
      </c>
      <c r="I32">
        <v>14.8</v>
      </c>
      <c r="J32" t="s">
        <v>178</v>
      </c>
      <c r="K32">
        <v>100</v>
      </c>
      <c r="L32">
        <v>6.4</v>
      </c>
      <c r="M32" t="s">
        <v>178</v>
      </c>
      <c r="N32" t="s">
        <v>179</v>
      </c>
      <c r="O32">
        <v>0</v>
      </c>
    </row>
    <row r="33" spans="1:15" x14ac:dyDescent="0.3">
      <c r="A33" t="s">
        <v>176</v>
      </c>
      <c r="B33" s="66">
        <v>44716</v>
      </c>
      <c r="C33">
        <v>6.4</v>
      </c>
      <c r="D33" t="s">
        <v>177</v>
      </c>
      <c r="E33">
        <v>100</v>
      </c>
      <c r="F33">
        <v>21.4</v>
      </c>
      <c r="G33" t="s">
        <v>177</v>
      </c>
      <c r="H33">
        <v>100</v>
      </c>
      <c r="I33">
        <v>14.6</v>
      </c>
      <c r="J33" t="s">
        <v>178</v>
      </c>
      <c r="K33">
        <v>100</v>
      </c>
      <c r="L33">
        <v>6.8</v>
      </c>
      <c r="M33" t="s">
        <v>178</v>
      </c>
      <c r="N33" t="s">
        <v>179</v>
      </c>
      <c r="O33">
        <v>0.4</v>
      </c>
    </row>
    <row r="34" spans="1:15" x14ac:dyDescent="0.3">
      <c r="A34" t="s">
        <v>176</v>
      </c>
      <c r="B34" s="66">
        <v>44717</v>
      </c>
      <c r="C34">
        <v>10.4</v>
      </c>
      <c r="D34" t="s">
        <v>177</v>
      </c>
      <c r="E34">
        <v>100</v>
      </c>
      <c r="F34">
        <v>21.1</v>
      </c>
      <c r="G34" t="s">
        <v>177</v>
      </c>
      <c r="H34">
        <v>100</v>
      </c>
      <c r="I34">
        <v>15.5</v>
      </c>
      <c r="J34" t="s">
        <v>178</v>
      </c>
      <c r="K34">
        <v>100</v>
      </c>
      <c r="L34">
        <v>7.1</v>
      </c>
      <c r="M34" t="s">
        <v>178</v>
      </c>
      <c r="N34" t="s">
        <v>179</v>
      </c>
      <c r="O34">
        <v>0.3</v>
      </c>
    </row>
    <row r="35" spans="1:15" x14ac:dyDescent="0.3">
      <c r="A35" t="s">
        <v>176</v>
      </c>
      <c r="B35" s="66">
        <v>44718</v>
      </c>
      <c r="C35">
        <v>7.2</v>
      </c>
      <c r="D35" t="s">
        <v>177</v>
      </c>
      <c r="E35">
        <v>100</v>
      </c>
      <c r="F35">
        <v>21.7</v>
      </c>
      <c r="G35" t="s">
        <v>177</v>
      </c>
      <c r="H35">
        <v>100</v>
      </c>
      <c r="I35">
        <v>13.1</v>
      </c>
      <c r="J35" t="s">
        <v>178</v>
      </c>
      <c r="K35">
        <v>100</v>
      </c>
      <c r="L35">
        <v>26.6</v>
      </c>
      <c r="M35" t="s">
        <v>178</v>
      </c>
      <c r="N35" t="s">
        <v>179</v>
      </c>
      <c r="O35">
        <v>19.5</v>
      </c>
    </row>
    <row r="36" spans="1:15" x14ac:dyDescent="0.3">
      <c r="A36" t="s">
        <v>176</v>
      </c>
      <c r="B36" s="66">
        <v>44719</v>
      </c>
      <c r="C36">
        <v>9.1999999999999993</v>
      </c>
      <c r="D36" t="s">
        <v>177</v>
      </c>
      <c r="E36">
        <v>100</v>
      </c>
      <c r="F36">
        <v>16.399999999999999</v>
      </c>
      <c r="G36" t="s">
        <v>177</v>
      </c>
      <c r="H36">
        <v>100</v>
      </c>
      <c r="I36">
        <v>12</v>
      </c>
      <c r="J36" t="s">
        <v>178</v>
      </c>
      <c r="K36">
        <v>100</v>
      </c>
      <c r="L36">
        <v>36.1</v>
      </c>
      <c r="M36" t="s">
        <v>178</v>
      </c>
      <c r="N36" t="s">
        <v>179</v>
      </c>
      <c r="O36">
        <v>9.5</v>
      </c>
    </row>
    <row r="37" spans="1:15" x14ac:dyDescent="0.3">
      <c r="A37" t="s">
        <v>176</v>
      </c>
      <c r="B37" s="66">
        <v>44720</v>
      </c>
      <c r="C37">
        <v>5.6</v>
      </c>
      <c r="D37" t="s">
        <v>177</v>
      </c>
      <c r="E37">
        <v>100</v>
      </c>
      <c r="F37">
        <v>20.9</v>
      </c>
      <c r="G37" t="s">
        <v>177</v>
      </c>
      <c r="H37">
        <v>100</v>
      </c>
      <c r="I37">
        <v>14.2</v>
      </c>
      <c r="J37" t="s">
        <v>178</v>
      </c>
      <c r="K37">
        <v>100</v>
      </c>
      <c r="L37">
        <v>36.1</v>
      </c>
      <c r="M37" t="s">
        <v>178</v>
      </c>
      <c r="N37" t="s">
        <v>179</v>
      </c>
      <c r="O37">
        <v>0</v>
      </c>
    </row>
    <row r="38" spans="1:15" x14ac:dyDescent="0.3">
      <c r="A38" t="s">
        <v>176</v>
      </c>
      <c r="B38" s="66">
        <v>44721</v>
      </c>
      <c r="C38">
        <v>11.4</v>
      </c>
      <c r="D38" t="s">
        <v>177</v>
      </c>
      <c r="E38">
        <v>100</v>
      </c>
      <c r="F38">
        <v>23.4</v>
      </c>
      <c r="G38" t="s">
        <v>177</v>
      </c>
      <c r="H38">
        <v>100</v>
      </c>
      <c r="I38">
        <v>17.899999999999999</v>
      </c>
      <c r="J38" t="s">
        <v>178</v>
      </c>
      <c r="K38">
        <v>100</v>
      </c>
      <c r="L38">
        <v>36.1</v>
      </c>
      <c r="M38" t="s">
        <v>178</v>
      </c>
      <c r="N38" t="s">
        <v>179</v>
      </c>
      <c r="O38">
        <v>0</v>
      </c>
    </row>
    <row r="39" spans="1:15" x14ac:dyDescent="0.3">
      <c r="A39" t="s">
        <v>176</v>
      </c>
      <c r="B39" s="66">
        <v>44722</v>
      </c>
      <c r="C39">
        <v>11.9</v>
      </c>
      <c r="D39" t="s">
        <v>177</v>
      </c>
      <c r="E39">
        <v>100</v>
      </c>
      <c r="F39">
        <v>24.5</v>
      </c>
      <c r="G39" t="s">
        <v>177</v>
      </c>
      <c r="H39">
        <v>100</v>
      </c>
      <c r="I39">
        <v>19</v>
      </c>
      <c r="J39" t="s">
        <v>178</v>
      </c>
      <c r="K39">
        <v>100</v>
      </c>
      <c r="L39">
        <v>36.1</v>
      </c>
      <c r="M39" t="s">
        <v>178</v>
      </c>
      <c r="N39" t="s">
        <v>179</v>
      </c>
      <c r="O39">
        <v>0</v>
      </c>
    </row>
    <row r="40" spans="1:15" x14ac:dyDescent="0.3">
      <c r="A40" t="s">
        <v>176</v>
      </c>
      <c r="B40" s="66">
        <v>44723</v>
      </c>
      <c r="C40">
        <v>14.7</v>
      </c>
      <c r="D40" t="s">
        <v>177</v>
      </c>
      <c r="E40">
        <v>100</v>
      </c>
      <c r="F40">
        <v>24.4</v>
      </c>
      <c r="G40" t="s">
        <v>177</v>
      </c>
      <c r="H40">
        <v>100</v>
      </c>
      <c r="I40">
        <v>18.8</v>
      </c>
      <c r="J40" t="s">
        <v>178</v>
      </c>
      <c r="K40">
        <v>100</v>
      </c>
      <c r="L40">
        <v>36.299999999999997</v>
      </c>
      <c r="M40" t="s">
        <v>178</v>
      </c>
      <c r="N40" t="s">
        <v>179</v>
      </c>
      <c r="O40">
        <v>0.2</v>
      </c>
    </row>
    <row r="41" spans="1:15" x14ac:dyDescent="0.3">
      <c r="A41" t="s">
        <v>176</v>
      </c>
      <c r="B41" s="66">
        <v>44724</v>
      </c>
      <c r="C41">
        <v>8.1999999999999993</v>
      </c>
      <c r="D41" t="s">
        <v>177</v>
      </c>
      <c r="E41">
        <v>100</v>
      </c>
      <c r="F41">
        <v>23.3</v>
      </c>
      <c r="G41" t="s">
        <v>177</v>
      </c>
      <c r="H41">
        <v>100</v>
      </c>
      <c r="I41">
        <v>17</v>
      </c>
      <c r="J41" t="s">
        <v>178</v>
      </c>
      <c r="K41">
        <v>100</v>
      </c>
      <c r="L41">
        <v>36.299999999999997</v>
      </c>
      <c r="M41" t="s">
        <v>178</v>
      </c>
      <c r="N41" t="s">
        <v>179</v>
      </c>
      <c r="O41">
        <v>0</v>
      </c>
    </row>
    <row r="42" spans="1:15" x14ac:dyDescent="0.3">
      <c r="A42" t="s">
        <v>176</v>
      </c>
      <c r="B42" s="66">
        <v>44725</v>
      </c>
      <c r="C42">
        <v>7</v>
      </c>
      <c r="D42" t="s">
        <v>177</v>
      </c>
      <c r="E42">
        <v>100</v>
      </c>
      <c r="F42">
        <v>12.8</v>
      </c>
      <c r="G42" t="s">
        <v>177</v>
      </c>
      <c r="H42">
        <v>100</v>
      </c>
      <c r="I42">
        <v>10.3</v>
      </c>
      <c r="J42" t="s">
        <v>178</v>
      </c>
      <c r="K42">
        <v>100</v>
      </c>
      <c r="L42">
        <v>53.8</v>
      </c>
      <c r="M42" t="s">
        <v>178</v>
      </c>
      <c r="N42" t="s">
        <v>179</v>
      </c>
      <c r="O42">
        <v>17.5</v>
      </c>
    </row>
    <row r="43" spans="1:15" x14ac:dyDescent="0.3">
      <c r="A43" t="s">
        <v>176</v>
      </c>
      <c r="B43" s="66">
        <v>44726</v>
      </c>
      <c r="C43">
        <v>5.9</v>
      </c>
      <c r="D43" t="s">
        <v>177</v>
      </c>
      <c r="E43">
        <v>100</v>
      </c>
      <c r="F43">
        <v>12.6</v>
      </c>
      <c r="G43" t="s">
        <v>177</v>
      </c>
      <c r="H43">
        <v>100</v>
      </c>
      <c r="I43">
        <v>8.5</v>
      </c>
      <c r="J43" t="s">
        <v>178</v>
      </c>
      <c r="K43">
        <v>100</v>
      </c>
      <c r="L43">
        <v>91.3</v>
      </c>
      <c r="M43" t="s">
        <v>178</v>
      </c>
      <c r="N43" t="s">
        <v>179</v>
      </c>
      <c r="O43">
        <v>37.5</v>
      </c>
    </row>
    <row r="44" spans="1:15" x14ac:dyDescent="0.3">
      <c r="A44" t="s">
        <v>176</v>
      </c>
      <c r="B44" s="66">
        <v>44727</v>
      </c>
      <c r="C44">
        <v>7.8</v>
      </c>
      <c r="D44" t="s">
        <v>177</v>
      </c>
      <c r="E44">
        <v>100</v>
      </c>
      <c r="F44">
        <v>18.100000000000001</v>
      </c>
      <c r="G44" t="s">
        <v>177</v>
      </c>
      <c r="H44">
        <v>100</v>
      </c>
      <c r="I44">
        <v>13.3</v>
      </c>
      <c r="J44" t="s">
        <v>178</v>
      </c>
      <c r="K44">
        <v>100</v>
      </c>
      <c r="L44">
        <v>98.9</v>
      </c>
      <c r="M44" t="s">
        <v>178</v>
      </c>
      <c r="N44" t="s">
        <v>179</v>
      </c>
      <c r="O44">
        <v>7.6</v>
      </c>
    </row>
    <row r="45" spans="1:15" x14ac:dyDescent="0.3">
      <c r="A45" t="s">
        <v>176</v>
      </c>
      <c r="B45" s="66">
        <v>44728</v>
      </c>
      <c r="C45">
        <v>6.9</v>
      </c>
      <c r="D45" t="s">
        <v>177</v>
      </c>
      <c r="E45">
        <v>100</v>
      </c>
      <c r="F45">
        <v>21.3</v>
      </c>
      <c r="G45" t="s">
        <v>177</v>
      </c>
      <c r="H45">
        <v>100</v>
      </c>
      <c r="I45">
        <v>14.8</v>
      </c>
      <c r="J45" t="s">
        <v>178</v>
      </c>
      <c r="K45">
        <v>100</v>
      </c>
      <c r="L45">
        <v>98.9</v>
      </c>
      <c r="M45" t="s">
        <v>178</v>
      </c>
      <c r="N45" t="s">
        <v>179</v>
      </c>
      <c r="O45">
        <v>0</v>
      </c>
    </row>
    <row r="46" spans="1:15" x14ac:dyDescent="0.3">
      <c r="A46" t="s">
        <v>176</v>
      </c>
      <c r="B46" s="66">
        <v>44729</v>
      </c>
      <c r="C46">
        <v>10.4</v>
      </c>
      <c r="D46" t="s">
        <v>177</v>
      </c>
      <c r="E46">
        <v>100</v>
      </c>
      <c r="F46">
        <v>22.8</v>
      </c>
      <c r="G46" t="s">
        <v>177</v>
      </c>
      <c r="H46">
        <v>100</v>
      </c>
      <c r="I46">
        <v>16.5</v>
      </c>
      <c r="J46" t="s">
        <v>178</v>
      </c>
      <c r="K46">
        <v>100</v>
      </c>
      <c r="L46">
        <v>99.8</v>
      </c>
      <c r="M46" t="s">
        <v>178</v>
      </c>
      <c r="N46" t="s">
        <v>179</v>
      </c>
      <c r="O46">
        <v>0.9</v>
      </c>
    </row>
    <row r="47" spans="1:15" x14ac:dyDescent="0.3">
      <c r="A47" t="s">
        <v>176</v>
      </c>
      <c r="B47" s="66">
        <v>44730</v>
      </c>
      <c r="C47">
        <v>13.1</v>
      </c>
      <c r="D47" t="s">
        <v>177</v>
      </c>
      <c r="E47">
        <v>100</v>
      </c>
      <c r="F47">
        <v>23.3</v>
      </c>
      <c r="G47" t="s">
        <v>177</v>
      </c>
      <c r="H47">
        <v>100</v>
      </c>
      <c r="I47">
        <v>16.899999999999999</v>
      </c>
      <c r="J47" t="s">
        <v>178</v>
      </c>
      <c r="K47">
        <v>100</v>
      </c>
      <c r="L47">
        <v>100.9</v>
      </c>
      <c r="M47" t="s">
        <v>178</v>
      </c>
      <c r="N47" t="s">
        <v>179</v>
      </c>
      <c r="O47">
        <v>1.1000000000000001</v>
      </c>
    </row>
    <row r="48" spans="1:15" x14ac:dyDescent="0.3">
      <c r="A48" t="s">
        <v>176</v>
      </c>
      <c r="B48" s="66">
        <v>44731</v>
      </c>
      <c r="C48">
        <v>13.6</v>
      </c>
      <c r="D48" t="s">
        <v>177</v>
      </c>
      <c r="E48">
        <v>100</v>
      </c>
      <c r="F48">
        <v>23.1</v>
      </c>
      <c r="G48" t="s">
        <v>177</v>
      </c>
      <c r="H48">
        <v>100</v>
      </c>
      <c r="I48">
        <v>17.5</v>
      </c>
      <c r="J48" t="s">
        <v>178</v>
      </c>
      <c r="K48">
        <v>100</v>
      </c>
      <c r="L48">
        <v>101.1</v>
      </c>
      <c r="M48" t="s">
        <v>178</v>
      </c>
      <c r="N48" t="s">
        <v>179</v>
      </c>
      <c r="O48">
        <v>0.2</v>
      </c>
    </row>
    <row r="49" spans="1:15" x14ac:dyDescent="0.3">
      <c r="A49" t="s">
        <v>176</v>
      </c>
      <c r="B49" s="66">
        <v>44732</v>
      </c>
      <c r="C49">
        <v>10.4</v>
      </c>
      <c r="D49" t="s">
        <v>177</v>
      </c>
      <c r="E49">
        <v>100</v>
      </c>
      <c r="F49">
        <v>15.5</v>
      </c>
      <c r="G49" t="s">
        <v>177</v>
      </c>
      <c r="H49">
        <v>100</v>
      </c>
      <c r="I49">
        <v>12.9</v>
      </c>
      <c r="J49" t="s">
        <v>178</v>
      </c>
      <c r="K49">
        <v>100</v>
      </c>
      <c r="L49">
        <v>109.3</v>
      </c>
      <c r="M49" t="s">
        <v>178</v>
      </c>
      <c r="N49" t="s">
        <v>179</v>
      </c>
      <c r="O49">
        <v>8.1999999999999993</v>
      </c>
    </row>
    <row r="50" spans="1:15" x14ac:dyDescent="0.3">
      <c r="A50" t="s">
        <v>176</v>
      </c>
      <c r="B50" s="66">
        <v>44733</v>
      </c>
      <c r="C50">
        <v>9.6999999999999993</v>
      </c>
      <c r="D50" t="s">
        <v>177</v>
      </c>
      <c r="E50">
        <v>100</v>
      </c>
      <c r="F50">
        <v>23.4</v>
      </c>
      <c r="G50" t="s">
        <v>177</v>
      </c>
      <c r="H50">
        <v>100</v>
      </c>
      <c r="I50">
        <v>17</v>
      </c>
      <c r="J50" t="s">
        <v>178</v>
      </c>
      <c r="K50">
        <v>100</v>
      </c>
      <c r="L50">
        <v>109.4</v>
      </c>
      <c r="M50" t="s">
        <v>178</v>
      </c>
      <c r="N50" t="s">
        <v>179</v>
      </c>
      <c r="O50">
        <v>0.1</v>
      </c>
    </row>
    <row r="51" spans="1:15" x14ac:dyDescent="0.3">
      <c r="A51" t="s">
        <v>176</v>
      </c>
      <c r="B51" s="66">
        <v>44734</v>
      </c>
      <c r="C51">
        <v>11.7</v>
      </c>
      <c r="D51" t="s">
        <v>177</v>
      </c>
      <c r="E51">
        <v>100</v>
      </c>
      <c r="F51">
        <v>24.6</v>
      </c>
      <c r="G51" t="s">
        <v>177</v>
      </c>
      <c r="H51">
        <v>100</v>
      </c>
      <c r="I51">
        <v>19.2</v>
      </c>
      <c r="J51" t="s">
        <v>178</v>
      </c>
      <c r="K51">
        <v>100</v>
      </c>
      <c r="L51">
        <v>109.4</v>
      </c>
      <c r="M51" t="s">
        <v>178</v>
      </c>
      <c r="N51" t="s">
        <v>179</v>
      </c>
      <c r="O51">
        <v>0</v>
      </c>
    </row>
    <row r="52" spans="1:15" x14ac:dyDescent="0.3">
      <c r="A52" t="s">
        <v>176</v>
      </c>
      <c r="B52" s="66">
        <v>44735</v>
      </c>
      <c r="C52">
        <v>7</v>
      </c>
      <c r="D52" t="s">
        <v>177</v>
      </c>
      <c r="E52">
        <v>100</v>
      </c>
      <c r="F52">
        <v>23.4</v>
      </c>
      <c r="G52" t="s">
        <v>177</v>
      </c>
      <c r="H52">
        <v>100</v>
      </c>
      <c r="I52">
        <v>15.7</v>
      </c>
      <c r="J52" t="s">
        <v>178</v>
      </c>
      <c r="K52">
        <v>100</v>
      </c>
      <c r="L52">
        <v>109.4</v>
      </c>
      <c r="M52" t="s">
        <v>178</v>
      </c>
      <c r="N52" t="s">
        <v>179</v>
      </c>
      <c r="O52">
        <v>0</v>
      </c>
    </row>
    <row r="53" spans="1:15" x14ac:dyDescent="0.3">
      <c r="A53" t="s">
        <v>176</v>
      </c>
      <c r="B53" s="66">
        <v>44736</v>
      </c>
      <c r="C53">
        <v>3.2</v>
      </c>
      <c r="D53" t="s">
        <v>177</v>
      </c>
      <c r="E53">
        <v>100</v>
      </c>
      <c r="F53">
        <v>13.9</v>
      </c>
      <c r="G53" t="s">
        <v>177</v>
      </c>
      <c r="H53">
        <v>100</v>
      </c>
      <c r="I53">
        <v>9.1</v>
      </c>
      <c r="J53" t="s">
        <v>178</v>
      </c>
      <c r="K53">
        <v>100</v>
      </c>
      <c r="L53">
        <v>117.1</v>
      </c>
      <c r="M53" t="s">
        <v>178</v>
      </c>
      <c r="N53" t="s">
        <v>179</v>
      </c>
      <c r="O53">
        <v>7.7</v>
      </c>
    </row>
    <row r="54" spans="1:15" x14ac:dyDescent="0.3">
      <c r="A54" t="s">
        <v>176</v>
      </c>
      <c r="B54" s="66">
        <v>44737</v>
      </c>
      <c r="C54">
        <v>6.6</v>
      </c>
      <c r="D54" t="s">
        <v>177</v>
      </c>
      <c r="E54">
        <v>100</v>
      </c>
      <c r="F54">
        <v>19.899999999999999</v>
      </c>
      <c r="G54" t="s">
        <v>177</v>
      </c>
      <c r="H54">
        <v>100</v>
      </c>
      <c r="I54">
        <v>13.7</v>
      </c>
      <c r="J54" t="s">
        <v>178</v>
      </c>
      <c r="K54">
        <v>100</v>
      </c>
      <c r="L54">
        <v>117.1</v>
      </c>
      <c r="M54" t="s">
        <v>178</v>
      </c>
      <c r="N54" t="s">
        <v>179</v>
      </c>
      <c r="O54">
        <v>0</v>
      </c>
    </row>
    <row r="55" spans="1:15" x14ac:dyDescent="0.3">
      <c r="A55" t="s">
        <v>176</v>
      </c>
      <c r="B55" s="66">
        <v>44738</v>
      </c>
      <c r="C55">
        <v>5.0999999999999996</v>
      </c>
      <c r="D55" t="s">
        <v>177</v>
      </c>
      <c r="E55">
        <v>100</v>
      </c>
      <c r="F55">
        <v>24.9</v>
      </c>
      <c r="G55" t="s">
        <v>177</v>
      </c>
      <c r="H55">
        <v>100</v>
      </c>
      <c r="I55">
        <v>16.5</v>
      </c>
      <c r="J55" t="s">
        <v>178</v>
      </c>
      <c r="K55">
        <v>100</v>
      </c>
      <c r="L55">
        <v>117.1</v>
      </c>
      <c r="M55" t="s">
        <v>178</v>
      </c>
      <c r="N55" t="s">
        <v>179</v>
      </c>
      <c r="O55">
        <v>0</v>
      </c>
    </row>
    <row r="56" spans="1:15" x14ac:dyDescent="0.3">
      <c r="A56" t="s">
        <v>176</v>
      </c>
      <c r="B56" s="66">
        <v>44739</v>
      </c>
      <c r="C56">
        <v>7.8</v>
      </c>
      <c r="D56" t="s">
        <v>177</v>
      </c>
      <c r="E56">
        <v>100</v>
      </c>
      <c r="F56">
        <v>27.9</v>
      </c>
      <c r="G56" t="s">
        <v>177</v>
      </c>
      <c r="H56">
        <v>100</v>
      </c>
      <c r="I56">
        <v>18.100000000000001</v>
      </c>
      <c r="J56" t="s">
        <v>178</v>
      </c>
      <c r="K56">
        <v>100</v>
      </c>
      <c r="L56">
        <v>117.1</v>
      </c>
      <c r="M56" t="s">
        <v>178</v>
      </c>
      <c r="N56" t="s">
        <v>179</v>
      </c>
      <c r="O56">
        <v>0</v>
      </c>
    </row>
    <row r="57" spans="1:15" x14ac:dyDescent="0.3">
      <c r="A57" t="s">
        <v>176</v>
      </c>
      <c r="B57" s="66">
        <v>44740</v>
      </c>
      <c r="C57">
        <v>11.4</v>
      </c>
      <c r="D57" t="s">
        <v>177</v>
      </c>
      <c r="E57">
        <v>100</v>
      </c>
      <c r="F57">
        <v>25.2</v>
      </c>
      <c r="G57" t="s">
        <v>177</v>
      </c>
      <c r="H57">
        <v>100</v>
      </c>
      <c r="I57">
        <v>17.899999999999999</v>
      </c>
      <c r="J57" t="s">
        <v>178</v>
      </c>
      <c r="K57">
        <v>100</v>
      </c>
      <c r="L57">
        <v>117.1</v>
      </c>
      <c r="M57" t="s">
        <v>178</v>
      </c>
      <c r="N57" t="s">
        <v>179</v>
      </c>
      <c r="O57">
        <v>0</v>
      </c>
    </row>
    <row r="58" spans="1:15" x14ac:dyDescent="0.3">
      <c r="A58" t="s">
        <v>176</v>
      </c>
      <c r="B58" s="66">
        <v>44741</v>
      </c>
      <c r="C58">
        <v>10.199999999999999</v>
      </c>
      <c r="D58" t="s">
        <v>177</v>
      </c>
      <c r="E58">
        <v>100</v>
      </c>
      <c r="F58">
        <v>21.7</v>
      </c>
      <c r="G58" t="s">
        <v>177</v>
      </c>
      <c r="H58">
        <v>100</v>
      </c>
      <c r="I58">
        <v>17.600000000000001</v>
      </c>
      <c r="J58" t="s">
        <v>178</v>
      </c>
      <c r="K58">
        <v>100</v>
      </c>
      <c r="L58">
        <v>117.1</v>
      </c>
      <c r="M58" t="s">
        <v>178</v>
      </c>
      <c r="N58" t="s">
        <v>179</v>
      </c>
      <c r="O58">
        <v>0</v>
      </c>
    </row>
    <row r="59" spans="1:15" x14ac:dyDescent="0.3">
      <c r="A59" t="s">
        <v>176</v>
      </c>
      <c r="B59" s="66">
        <v>44742</v>
      </c>
      <c r="C59">
        <v>8.1999999999999993</v>
      </c>
      <c r="D59" t="s">
        <v>177</v>
      </c>
      <c r="E59">
        <v>100</v>
      </c>
      <c r="F59">
        <v>23.4</v>
      </c>
      <c r="G59" t="s">
        <v>177</v>
      </c>
      <c r="H59">
        <v>100</v>
      </c>
      <c r="I59">
        <v>15.9</v>
      </c>
      <c r="J59" t="s">
        <v>178</v>
      </c>
      <c r="K59">
        <v>100</v>
      </c>
      <c r="L59">
        <v>117.1</v>
      </c>
      <c r="M59" t="s">
        <v>178</v>
      </c>
      <c r="N59" t="s">
        <v>179</v>
      </c>
      <c r="O59">
        <v>0</v>
      </c>
    </row>
    <row r="60" spans="1:15" x14ac:dyDescent="0.3">
      <c r="A60" t="s">
        <v>176</v>
      </c>
      <c r="B60" s="66">
        <v>44743</v>
      </c>
      <c r="C60">
        <v>7.4</v>
      </c>
      <c r="D60" t="s">
        <v>177</v>
      </c>
      <c r="E60">
        <v>100</v>
      </c>
      <c r="F60">
        <v>26.6</v>
      </c>
      <c r="G60" t="s">
        <v>177</v>
      </c>
      <c r="H60">
        <v>100</v>
      </c>
      <c r="I60">
        <v>17.3</v>
      </c>
      <c r="J60" t="s">
        <v>178</v>
      </c>
      <c r="K60">
        <v>100</v>
      </c>
      <c r="L60">
        <v>117.1</v>
      </c>
      <c r="M60" t="s">
        <v>178</v>
      </c>
      <c r="N60" t="s">
        <v>179</v>
      </c>
      <c r="O60">
        <v>0</v>
      </c>
    </row>
    <row r="61" spans="1:15" x14ac:dyDescent="0.3">
      <c r="A61" t="s">
        <v>176</v>
      </c>
      <c r="B61" s="66">
        <v>44744</v>
      </c>
      <c r="C61">
        <v>10.9</v>
      </c>
      <c r="D61" t="s">
        <v>177</v>
      </c>
      <c r="E61">
        <v>100</v>
      </c>
      <c r="F61">
        <v>21.9</v>
      </c>
      <c r="G61" t="s">
        <v>177</v>
      </c>
      <c r="H61">
        <v>100</v>
      </c>
      <c r="I61">
        <v>16</v>
      </c>
      <c r="J61" t="s">
        <v>178</v>
      </c>
      <c r="K61">
        <v>100</v>
      </c>
      <c r="L61">
        <v>119.4</v>
      </c>
      <c r="M61" t="s">
        <v>178</v>
      </c>
      <c r="N61" t="s">
        <v>179</v>
      </c>
      <c r="O61">
        <v>2.2999999999999998</v>
      </c>
    </row>
    <row r="62" spans="1:15" x14ac:dyDescent="0.3">
      <c r="A62" t="s">
        <v>176</v>
      </c>
      <c r="B62" s="66">
        <v>44745</v>
      </c>
      <c r="C62">
        <v>10.9</v>
      </c>
      <c r="D62" t="s">
        <v>177</v>
      </c>
      <c r="E62">
        <v>100</v>
      </c>
      <c r="F62">
        <v>14.5</v>
      </c>
      <c r="G62" t="s">
        <v>177</v>
      </c>
      <c r="H62">
        <v>100</v>
      </c>
      <c r="I62">
        <v>12.3</v>
      </c>
      <c r="J62" t="s">
        <v>178</v>
      </c>
      <c r="K62">
        <v>100</v>
      </c>
      <c r="L62">
        <v>130.30000000000001</v>
      </c>
      <c r="M62" t="s">
        <v>178</v>
      </c>
      <c r="N62" t="s">
        <v>179</v>
      </c>
      <c r="O62">
        <v>10.9</v>
      </c>
    </row>
    <row r="63" spans="1:15" x14ac:dyDescent="0.3">
      <c r="A63" t="s">
        <v>176</v>
      </c>
      <c r="B63" s="66">
        <v>44746</v>
      </c>
      <c r="C63">
        <v>12</v>
      </c>
      <c r="D63" t="s">
        <v>177</v>
      </c>
      <c r="E63">
        <v>100</v>
      </c>
      <c r="F63">
        <v>19.899999999999999</v>
      </c>
      <c r="G63" t="s">
        <v>177</v>
      </c>
      <c r="H63">
        <v>100</v>
      </c>
      <c r="I63">
        <v>14.3</v>
      </c>
      <c r="J63" t="s">
        <v>178</v>
      </c>
      <c r="K63">
        <v>100</v>
      </c>
      <c r="L63">
        <v>168.6</v>
      </c>
      <c r="M63" t="s">
        <v>178</v>
      </c>
      <c r="N63" t="s">
        <v>179</v>
      </c>
      <c r="O63">
        <v>38.299999999999997</v>
      </c>
    </row>
    <row r="64" spans="1:15" x14ac:dyDescent="0.3">
      <c r="A64" t="s">
        <v>176</v>
      </c>
      <c r="B64" s="66">
        <v>44747</v>
      </c>
      <c r="C64">
        <v>7.7</v>
      </c>
      <c r="D64" t="s">
        <v>177</v>
      </c>
      <c r="E64">
        <v>100</v>
      </c>
      <c r="F64">
        <v>22.3</v>
      </c>
      <c r="G64" t="s">
        <v>177</v>
      </c>
      <c r="H64">
        <v>100</v>
      </c>
      <c r="I64">
        <v>15.8</v>
      </c>
      <c r="J64" t="s">
        <v>178</v>
      </c>
      <c r="K64">
        <v>100</v>
      </c>
      <c r="L64">
        <v>168.8</v>
      </c>
      <c r="M64" t="s">
        <v>178</v>
      </c>
      <c r="N64" t="s">
        <v>179</v>
      </c>
      <c r="O64">
        <v>0.2</v>
      </c>
    </row>
    <row r="65" spans="1:15" x14ac:dyDescent="0.3">
      <c r="A65" t="s">
        <v>176</v>
      </c>
      <c r="B65" s="66">
        <v>44748</v>
      </c>
      <c r="C65">
        <v>8</v>
      </c>
      <c r="D65" t="s">
        <v>177</v>
      </c>
      <c r="E65">
        <v>100</v>
      </c>
      <c r="F65">
        <v>22.3</v>
      </c>
      <c r="G65" t="s">
        <v>177</v>
      </c>
      <c r="H65">
        <v>100</v>
      </c>
      <c r="I65">
        <v>15.4</v>
      </c>
      <c r="J65" t="s">
        <v>178</v>
      </c>
      <c r="K65">
        <v>100</v>
      </c>
      <c r="L65">
        <v>169.3</v>
      </c>
      <c r="M65" t="s">
        <v>178</v>
      </c>
      <c r="N65" t="s">
        <v>179</v>
      </c>
      <c r="O65">
        <v>0.5</v>
      </c>
    </row>
    <row r="66" spans="1:15" x14ac:dyDescent="0.3">
      <c r="A66" t="s">
        <v>176</v>
      </c>
      <c r="B66" s="66">
        <v>44749</v>
      </c>
      <c r="C66">
        <v>11.1</v>
      </c>
      <c r="D66" t="s">
        <v>177</v>
      </c>
      <c r="E66">
        <v>100</v>
      </c>
      <c r="F66">
        <v>25.2</v>
      </c>
      <c r="G66" t="s">
        <v>177</v>
      </c>
      <c r="H66">
        <v>100</v>
      </c>
      <c r="I66">
        <v>18.899999999999999</v>
      </c>
      <c r="J66" t="s">
        <v>178</v>
      </c>
      <c r="K66">
        <v>100</v>
      </c>
      <c r="L66">
        <v>169.3</v>
      </c>
      <c r="M66" t="s">
        <v>178</v>
      </c>
      <c r="N66" t="s">
        <v>179</v>
      </c>
      <c r="O66">
        <v>0</v>
      </c>
    </row>
    <row r="67" spans="1:15" x14ac:dyDescent="0.3">
      <c r="A67" t="s">
        <v>176</v>
      </c>
      <c r="B67" s="66">
        <v>44750</v>
      </c>
      <c r="C67">
        <v>12.8</v>
      </c>
      <c r="D67" t="s">
        <v>177</v>
      </c>
      <c r="E67">
        <v>100</v>
      </c>
      <c r="F67">
        <v>27.8</v>
      </c>
      <c r="G67" t="s">
        <v>177</v>
      </c>
      <c r="H67">
        <v>100</v>
      </c>
      <c r="I67">
        <v>21</v>
      </c>
      <c r="J67" t="s">
        <v>178</v>
      </c>
      <c r="K67">
        <v>100</v>
      </c>
      <c r="L67">
        <v>169.3</v>
      </c>
      <c r="M67" t="s">
        <v>178</v>
      </c>
      <c r="N67" t="s">
        <v>179</v>
      </c>
      <c r="O67">
        <v>0</v>
      </c>
    </row>
    <row r="68" spans="1:15" x14ac:dyDescent="0.3">
      <c r="A68" t="s">
        <v>176</v>
      </c>
      <c r="B68" s="66">
        <v>44751</v>
      </c>
      <c r="C68">
        <v>11.3</v>
      </c>
      <c r="D68" t="s">
        <v>177</v>
      </c>
      <c r="E68">
        <v>100</v>
      </c>
      <c r="F68">
        <v>27.2</v>
      </c>
      <c r="G68" t="s">
        <v>177</v>
      </c>
      <c r="H68">
        <v>100</v>
      </c>
      <c r="I68">
        <v>20.8</v>
      </c>
      <c r="J68" t="s">
        <v>178</v>
      </c>
      <c r="K68">
        <v>100</v>
      </c>
      <c r="L68">
        <v>169.4</v>
      </c>
      <c r="M68" t="s">
        <v>178</v>
      </c>
      <c r="N68" t="s">
        <v>179</v>
      </c>
      <c r="O68">
        <v>0.1</v>
      </c>
    </row>
    <row r="69" spans="1:15" x14ac:dyDescent="0.3">
      <c r="A69" t="s">
        <v>176</v>
      </c>
      <c r="B69" s="66">
        <v>44752</v>
      </c>
      <c r="C69">
        <v>11.2</v>
      </c>
      <c r="D69" t="s">
        <v>177</v>
      </c>
      <c r="E69">
        <v>100</v>
      </c>
      <c r="F69">
        <v>24</v>
      </c>
      <c r="G69" t="s">
        <v>177</v>
      </c>
      <c r="H69">
        <v>100</v>
      </c>
      <c r="I69">
        <v>17.899999999999999</v>
      </c>
      <c r="J69" t="s">
        <v>178</v>
      </c>
      <c r="K69">
        <v>100</v>
      </c>
      <c r="L69">
        <v>169.4</v>
      </c>
      <c r="M69" t="s">
        <v>178</v>
      </c>
      <c r="N69" t="s">
        <v>179</v>
      </c>
      <c r="O69">
        <v>0</v>
      </c>
    </row>
    <row r="70" spans="1:15" x14ac:dyDescent="0.3">
      <c r="A70" t="s">
        <v>176</v>
      </c>
      <c r="B70" s="66">
        <v>44753</v>
      </c>
      <c r="C70">
        <v>8.5</v>
      </c>
      <c r="D70" t="s">
        <v>177</v>
      </c>
      <c r="E70">
        <v>100</v>
      </c>
      <c r="F70">
        <v>26.6</v>
      </c>
      <c r="G70" t="s">
        <v>177</v>
      </c>
      <c r="H70">
        <v>100</v>
      </c>
      <c r="I70">
        <v>18.399999999999999</v>
      </c>
      <c r="J70" t="s">
        <v>178</v>
      </c>
      <c r="K70">
        <v>100</v>
      </c>
      <c r="L70">
        <v>169.4</v>
      </c>
      <c r="M70" t="s">
        <v>178</v>
      </c>
      <c r="N70" t="s">
        <v>179</v>
      </c>
      <c r="O70">
        <v>0</v>
      </c>
    </row>
    <row r="71" spans="1:15" x14ac:dyDescent="0.3">
      <c r="A71" t="s">
        <v>176</v>
      </c>
      <c r="B71" s="66">
        <v>44754</v>
      </c>
      <c r="C71">
        <v>10.199999999999999</v>
      </c>
      <c r="D71" t="s">
        <v>177</v>
      </c>
      <c r="E71">
        <v>100</v>
      </c>
      <c r="F71">
        <v>30.6</v>
      </c>
      <c r="G71" t="s">
        <v>177</v>
      </c>
      <c r="H71">
        <v>100</v>
      </c>
      <c r="I71">
        <v>21.3</v>
      </c>
      <c r="J71" t="s">
        <v>178</v>
      </c>
      <c r="K71">
        <v>100</v>
      </c>
      <c r="L71">
        <v>169.4</v>
      </c>
      <c r="M71" t="s">
        <v>178</v>
      </c>
      <c r="N71" t="s">
        <v>179</v>
      </c>
      <c r="O71">
        <v>0</v>
      </c>
    </row>
    <row r="72" spans="1:15" x14ac:dyDescent="0.3">
      <c r="A72" t="s">
        <v>176</v>
      </c>
      <c r="B72" s="66">
        <v>44755</v>
      </c>
      <c r="C72">
        <v>12.9</v>
      </c>
      <c r="D72" t="s">
        <v>177</v>
      </c>
      <c r="E72">
        <v>100</v>
      </c>
      <c r="F72">
        <v>29</v>
      </c>
      <c r="G72" t="s">
        <v>177</v>
      </c>
      <c r="H72">
        <v>100</v>
      </c>
      <c r="I72">
        <v>20.8</v>
      </c>
      <c r="J72" t="s">
        <v>178</v>
      </c>
      <c r="K72">
        <v>100</v>
      </c>
      <c r="L72">
        <v>169.4</v>
      </c>
      <c r="M72" t="s">
        <v>178</v>
      </c>
      <c r="N72" t="s">
        <v>179</v>
      </c>
      <c r="O72">
        <v>0</v>
      </c>
    </row>
    <row r="73" spans="1:15" x14ac:dyDescent="0.3">
      <c r="A73" t="s">
        <v>176</v>
      </c>
      <c r="B73" s="66">
        <v>44756</v>
      </c>
      <c r="C73">
        <v>10.8</v>
      </c>
      <c r="D73" t="s">
        <v>177</v>
      </c>
      <c r="E73">
        <v>100</v>
      </c>
      <c r="F73">
        <v>29.1</v>
      </c>
      <c r="G73" t="s">
        <v>177</v>
      </c>
      <c r="H73">
        <v>100</v>
      </c>
      <c r="I73">
        <v>20.7</v>
      </c>
      <c r="J73" t="s">
        <v>178</v>
      </c>
      <c r="K73">
        <v>100</v>
      </c>
      <c r="L73">
        <v>169.4</v>
      </c>
      <c r="M73" t="s">
        <v>178</v>
      </c>
      <c r="N73" t="s">
        <v>179</v>
      </c>
      <c r="O73">
        <v>0</v>
      </c>
    </row>
    <row r="74" spans="1:15" x14ac:dyDescent="0.3">
      <c r="A74" t="s">
        <v>176</v>
      </c>
      <c r="B74" s="66">
        <v>44757</v>
      </c>
      <c r="C74">
        <v>10.3</v>
      </c>
      <c r="D74" t="s">
        <v>177</v>
      </c>
      <c r="E74">
        <v>100</v>
      </c>
      <c r="F74">
        <v>29.2</v>
      </c>
      <c r="G74" t="s">
        <v>177</v>
      </c>
      <c r="H74">
        <v>100</v>
      </c>
      <c r="I74">
        <v>20.6</v>
      </c>
      <c r="J74" t="s">
        <v>178</v>
      </c>
      <c r="K74">
        <v>100</v>
      </c>
      <c r="L74">
        <v>169.4</v>
      </c>
      <c r="M74" t="s">
        <v>178</v>
      </c>
      <c r="N74" t="s">
        <v>179</v>
      </c>
      <c r="O74">
        <v>0</v>
      </c>
    </row>
    <row r="75" spans="1:15" x14ac:dyDescent="0.3">
      <c r="A75" t="s">
        <v>176</v>
      </c>
      <c r="B75" s="66">
        <v>44758</v>
      </c>
      <c r="C75">
        <v>16.399999999999999</v>
      </c>
      <c r="D75" t="s">
        <v>177</v>
      </c>
      <c r="E75">
        <v>100</v>
      </c>
      <c r="F75">
        <v>30.4</v>
      </c>
      <c r="G75" t="s">
        <v>177</v>
      </c>
      <c r="H75">
        <v>100</v>
      </c>
      <c r="I75">
        <v>23.7</v>
      </c>
      <c r="J75" t="s">
        <v>178</v>
      </c>
      <c r="K75">
        <v>100</v>
      </c>
      <c r="L75">
        <v>169.4</v>
      </c>
      <c r="M75" t="s">
        <v>178</v>
      </c>
      <c r="N75" t="s">
        <v>179</v>
      </c>
      <c r="O75">
        <v>0</v>
      </c>
    </row>
    <row r="76" spans="1:15" x14ac:dyDescent="0.3">
      <c r="A76" t="s">
        <v>176</v>
      </c>
      <c r="B76" s="66">
        <v>44759</v>
      </c>
      <c r="C76">
        <v>13.1</v>
      </c>
      <c r="D76" t="s">
        <v>177</v>
      </c>
      <c r="E76">
        <v>100</v>
      </c>
      <c r="F76">
        <v>27.2</v>
      </c>
      <c r="G76" t="s">
        <v>177</v>
      </c>
      <c r="H76">
        <v>100</v>
      </c>
      <c r="I76">
        <v>20.8</v>
      </c>
      <c r="J76" t="s">
        <v>178</v>
      </c>
      <c r="K76">
        <v>100</v>
      </c>
      <c r="L76">
        <v>169.4</v>
      </c>
      <c r="M76" t="s">
        <v>178</v>
      </c>
      <c r="N76" t="s">
        <v>179</v>
      </c>
      <c r="O76">
        <v>0</v>
      </c>
    </row>
    <row r="77" spans="1:15" x14ac:dyDescent="0.3">
      <c r="A77" t="s">
        <v>176</v>
      </c>
      <c r="B77" s="66">
        <v>44760</v>
      </c>
      <c r="C77">
        <v>11.2</v>
      </c>
      <c r="D77" t="s">
        <v>177</v>
      </c>
      <c r="E77">
        <v>100</v>
      </c>
      <c r="F77">
        <v>20.399999999999999</v>
      </c>
      <c r="G77" t="s">
        <v>177</v>
      </c>
      <c r="H77">
        <v>100</v>
      </c>
      <c r="I77">
        <v>15.5</v>
      </c>
      <c r="J77" t="s">
        <v>178</v>
      </c>
      <c r="K77">
        <v>100</v>
      </c>
      <c r="L77">
        <v>183.4</v>
      </c>
      <c r="M77" t="s">
        <v>178</v>
      </c>
      <c r="N77" t="s">
        <v>179</v>
      </c>
      <c r="O77">
        <v>14</v>
      </c>
    </row>
    <row r="78" spans="1:15" x14ac:dyDescent="0.3">
      <c r="A78" t="s">
        <v>176</v>
      </c>
      <c r="B78" s="66">
        <v>44761</v>
      </c>
      <c r="C78">
        <v>14</v>
      </c>
      <c r="D78" t="s">
        <v>177</v>
      </c>
      <c r="E78">
        <v>100</v>
      </c>
      <c r="F78">
        <v>27.1</v>
      </c>
      <c r="G78" t="s">
        <v>177</v>
      </c>
      <c r="H78">
        <v>100</v>
      </c>
      <c r="I78">
        <v>21</v>
      </c>
      <c r="J78" t="s">
        <v>178</v>
      </c>
      <c r="K78">
        <v>100</v>
      </c>
      <c r="L78">
        <v>183.4</v>
      </c>
      <c r="M78" t="s">
        <v>178</v>
      </c>
      <c r="N78" t="s">
        <v>179</v>
      </c>
      <c r="O78">
        <v>0</v>
      </c>
    </row>
    <row r="79" spans="1:15" x14ac:dyDescent="0.3">
      <c r="A79" t="s">
        <v>176</v>
      </c>
      <c r="B79" s="66">
        <v>44762</v>
      </c>
      <c r="C79">
        <v>11.5</v>
      </c>
      <c r="D79" t="s">
        <v>177</v>
      </c>
      <c r="E79">
        <v>100</v>
      </c>
      <c r="F79">
        <v>28.9</v>
      </c>
      <c r="G79" t="s">
        <v>177</v>
      </c>
      <c r="H79">
        <v>100</v>
      </c>
      <c r="I79">
        <v>20</v>
      </c>
      <c r="J79" t="s">
        <v>178</v>
      </c>
      <c r="K79">
        <v>100</v>
      </c>
      <c r="L79">
        <v>183.4</v>
      </c>
      <c r="M79" t="s">
        <v>178</v>
      </c>
      <c r="N79" t="s">
        <v>179</v>
      </c>
      <c r="O79">
        <v>0</v>
      </c>
    </row>
    <row r="80" spans="1:15" x14ac:dyDescent="0.3">
      <c r="A80" t="s">
        <v>176</v>
      </c>
      <c r="B80" s="66">
        <v>44763</v>
      </c>
      <c r="C80">
        <v>11.8</v>
      </c>
      <c r="D80" t="s">
        <v>177</v>
      </c>
      <c r="E80">
        <v>100</v>
      </c>
      <c r="F80">
        <v>30.8</v>
      </c>
      <c r="G80" t="s">
        <v>177</v>
      </c>
      <c r="H80">
        <v>100</v>
      </c>
      <c r="I80">
        <v>21.3</v>
      </c>
      <c r="J80" t="s">
        <v>178</v>
      </c>
      <c r="K80">
        <v>100</v>
      </c>
      <c r="L80">
        <v>183.4</v>
      </c>
      <c r="M80" t="s">
        <v>178</v>
      </c>
      <c r="N80" t="s">
        <v>179</v>
      </c>
      <c r="O80">
        <v>0</v>
      </c>
    </row>
    <row r="81" spans="1:15" x14ac:dyDescent="0.3">
      <c r="A81" t="s">
        <v>176</v>
      </c>
      <c r="B81" s="66">
        <v>44764</v>
      </c>
      <c r="C81">
        <v>14.3</v>
      </c>
      <c r="D81" t="s">
        <v>177</v>
      </c>
      <c r="E81">
        <v>100</v>
      </c>
      <c r="F81">
        <v>22.6</v>
      </c>
      <c r="G81" t="s">
        <v>177</v>
      </c>
      <c r="H81">
        <v>100</v>
      </c>
      <c r="I81">
        <v>18.3</v>
      </c>
      <c r="J81" t="s">
        <v>178</v>
      </c>
      <c r="K81">
        <v>100</v>
      </c>
      <c r="L81">
        <v>183.4</v>
      </c>
      <c r="M81" t="s">
        <v>178</v>
      </c>
      <c r="N81" t="s">
        <v>179</v>
      </c>
      <c r="O81">
        <v>0</v>
      </c>
    </row>
    <row r="82" spans="1:15" x14ac:dyDescent="0.3">
      <c r="A82" t="s">
        <v>176</v>
      </c>
      <c r="B82" s="66">
        <v>44765</v>
      </c>
      <c r="C82">
        <v>9.8000000000000007</v>
      </c>
      <c r="D82" t="s">
        <v>177</v>
      </c>
      <c r="E82">
        <v>100</v>
      </c>
      <c r="F82">
        <v>25.4</v>
      </c>
      <c r="G82" t="s">
        <v>177</v>
      </c>
      <c r="H82">
        <v>100</v>
      </c>
      <c r="I82">
        <v>17.7</v>
      </c>
      <c r="J82" t="s">
        <v>178</v>
      </c>
      <c r="K82">
        <v>100</v>
      </c>
      <c r="L82">
        <v>183.4</v>
      </c>
      <c r="M82" t="s">
        <v>178</v>
      </c>
      <c r="N82" t="s">
        <v>179</v>
      </c>
      <c r="O82">
        <v>0</v>
      </c>
    </row>
    <row r="83" spans="1:15" x14ac:dyDescent="0.3">
      <c r="A83" t="s">
        <v>176</v>
      </c>
      <c r="B83" s="66">
        <v>44766</v>
      </c>
      <c r="C83">
        <v>10.9</v>
      </c>
      <c r="D83" t="s">
        <v>177</v>
      </c>
      <c r="E83">
        <v>100</v>
      </c>
      <c r="F83">
        <v>30.4</v>
      </c>
      <c r="G83" t="s">
        <v>177</v>
      </c>
      <c r="H83">
        <v>100</v>
      </c>
      <c r="I83">
        <v>20.100000000000001</v>
      </c>
      <c r="J83" t="s">
        <v>178</v>
      </c>
      <c r="K83">
        <v>100</v>
      </c>
      <c r="L83">
        <v>183.4</v>
      </c>
      <c r="M83" t="s">
        <v>178</v>
      </c>
      <c r="N83" t="s">
        <v>179</v>
      </c>
      <c r="O83">
        <v>0</v>
      </c>
    </row>
    <row r="84" spans="1:15" x14ac:dyDescent="0.3">
      <c r="A84" t="s">
        <v>176</v>
      </c>
      <c r="B84" s="66">
        <v>44767</v>
      </c>
      <c r="C84">
        <v>14.4</v>
      </c>
      <c r="D84" t="s">
        <v>177</v>
      </c>
      <c r="E84">
        <v>100</v>
      </c>
      <c r="F84">
        <v>22.6</v>
      </c>
      <c r="G84" t="s">
        <v>177</v>
      </c>
      <c r="H84">
        <v>100</v>
      </c>
      <c r="I84">
        <v>18.100000000000001</v>
      </c>
      <c r="J84" t="s">
        <v>178</v>
      </c>
      <c r="K84">
        <v>100</v>
      </c>
      <c r="L84">
        <v>183.4</v>
      </c>
      <c r="M84" t="s">
        <v>178</v>
      </c>
      <c r="N84" t="s">
        <v>179</v>
      </c>
      <c r="O84">
        <v>0</v>
      </c>
    </row>
    <row r="85" spans="1:15" x14ac:dyDescent="0.3">
      <c r="A85" t="s">
        <v>176</v>
      </c>
      <c r="B85" s="66">
        <v>44768</v>
      </c>
      <c r="C85">
        <v>12.6</v>
      </c>
      <c r="D85" t="s">
        <v>177</v>
      </c>
      <c r="E85">
        <v>100</v>
      </c>
      <c r="F85">
        <v>25.1</v>
      </c>
      <c r="G85" t="s">
        <v>177</v>
      </c>
      <c r="H85">
        <v>100</v>
      </c>
      <c r="I85">
        <v>19.2</v>
      </c>
      <c r="J85" t="s">
        <v>178</v>
      </c>
      <c r="K85">
        <v>100</v>
      </c>
      <c r="L85">
        <v>183.4</v>
      </c>
      <c r="M85" t="s">
        <v>178</v>
      </c>
      <c r="N85" t="s">
        <v>179</v>
      </c>
      <c r="O85">
        <v>0</v>
      </c>
    </row>
    <row r="86" spans="1:15" x14ac:dyDescent="0.3">
      <c r="A86" t="s">
        <v>176</v>
      </c>
      <c r="B86" s="66">
        <v>44769</v>
      </c>
      <c r="C86">
        <v>14.2</v>
      </c>
      <c r="D86" t="s">
        <v>177</v>
      </c>
      <c r="E86">
        <v>100</v>
      </c>
      <c r="F86">
        <v>26.1</v>
      </c>
      <c r="G86" t="s">
        <v>177</v>
      </c>
      <c r="H86">
        <v>100</v>
      </c>
      <c r="I86">
        <v>20.399999999999999</v>
      </c>
      <c r="J86" t="s">
        <v>178</v>
      </c>
      <c r="K86">
        <v>100</v>
      </c>
      <c r="L86">
        <v>183.4</v>
      </c>
      <c r="M86" t="s">
        <v>178</v>
      </c>
      <c r="N86" t="s">
        <v>179</v>
      </c>
      <c r="O86">
        <v>0</v>
      </c>
    </row>
    <row r="87" spans="1:15" x14ac:dyDescent="0.3">
      <c r="A87" t="s">
        <v>176</v>
      </c>
      <c r="B87" s="66">
        <v>44770</v>
      </c>
      <c r="C87">
        <v>11.7</v>
      </c>
      <c r="D87" t="s">
        <v>177</v>
      </c>
      <c r="E87">
        <v>100</v>
      </c>
      <c r="F87">
        <v>31</v>
      </c>
      <c r="G87" t="s">
        <v>177</v>
      </c>
      <c r="H87">
        <v>100</v>
      </c>
      <c r="I87">
        <v>21.7</v>
      </c>
      <c r="J87" t="s">
        <v>178</v>
      </c>
      <c r="K87">
        <v>100</v>
      </c>
      <c r="L87">
        <v>183.4</v>
      </c>
      <c r="M87" t="s">
        <v>178</v>
      </c>
      <c r="N87" t="s">
        <v>179</v>
      </c>
      <c r="O87">
        <v>0</v>
      </c>
    </row>
    <row r="88" spans="1:15" x14ac:dyDescent="0.3">
      <c r="A88" t="s">
        <v>176</v>
      </c>
      <c r="B88" s="66">
        <v>44771</v>
      </c>
      <c r="C88">
        <v>13.4</v>
      </c>
      <c r="D88" t="s">
        <v>177</v>
      </c>
      <c r="E88">
        <v>100</v>
      </c>
      <c r="F88">
        <v>32</v>
      </c>
      <c r="G88" t="s">
        <v>177</v>
      </c>
      <c r="H88">
        <v>100</v>
      </c>
      <c r="I88">
        <v>22.5</v>
      </c>
      <c r="J88" t="s">
        <v>178</v>
      </c>
      <c r="K88">
        <v>100</v>
      </c>
      <c r="L88">
        <v>183.4</v>
      </c>
      <c r="M88" t="s">
        <v>178</v>
      </c>
      <c r="N88" t="s">
        <v>179</v>
      </c>
      <c r="O88">
        <v>0</v>
      </c>
    </row>
    <row r="89" spans="1:15" x14ac:dyDescent="0.3">
      <c r="A89" t="s">
        <v>176</v>
      </c>
      <c r="B89" s="66">
        <v>44772</v>
      </c>
      <c r="C89">
        <v>14.5</v>
      </c>
      <c r="D89" t="s">
        <v>177</v>
      </c>
      <c r="E89">
        <v>100</v>
      </c>
      <c r="F89">
        <v>28.6</v>
      </c>
      <c r="G89" t="s">
        <v>177</v>
      </c>
      <c r="H89">
        <v>100</v>
      </c>
      <c r="I89">
        <v>21.2</v>
      </c>
      <c r="J89" t="s">
        <v>178</v>
      </c>
      <c r="K89">
        <v>100</v>
      </c>
      <c r="L89">
        <v>184.5</v>
      </c>
      <c r="M89" t="s">
        <v>178</v>
      </c>
      <c r="N89" t="s">
        <v>179</v>
      </c>
      <c r="O89">
        <v>1.1000000000000001</v>
      </c>
    </row>
    <row r="90" spans="1:15" x14ac:dyDescent="0.3">
      <c r="A90" t="s">
        <v>176</v>
      </c>
      <c r="B90" s="66">
        <v>44773</v>
      </c>
      <c r="C90">
        <v>12.4</v>
      </c>
      <c r="D90" t="s">
        <v>177</v>
      </c>
      <c r="E90">
        <v>100</v>
      </c>
      <c r="F90">
        <v>33</v>
      </c>
      <c r="G90" t="s">
        <v>177</v>
      </c>
      <c r="H90">
        <v>100</v>
      </c>
      <c r="I90">
        <v>22.6</v>
      </c>
      <c r="J90" t="s">
        <v>178</v>
      </c>
      <c r="K90">
        <v>100</v>
      </c>
      <c r="L90">
        <v>184.5</v>
      </c>
      <c r="M90" t="s">
        <v>178</v>
      </c>
      <c r="N90" t="s">
        <v>179</v>
      </c>
      <c r="O90">
        <v>0</v>
      </c>
    </row>
    <row r="91" spans="1:15" x14ac:dyDescent="0.3">
      <c r="A91" t="s">
        <v>176</v>
      </c>
      <c r="B91" s="66">
        <v>44774</v>
      </c>
      <c r="C91">
        <v>14.6</v>
      </c>
      <c r="D91" t="s">
        <v>177</v>
      </c>
      <c r="E91">
        <v>100</v>
      </c>
      <c r="F91">
        <v>32.6</v>
      </c>
      <c r="G91" t="s">
        <v>177</v>
      </c>
      <c r="H91">
        <v>100</v>
      </c>
      <c r="I91">
        <v>22.5</v>
      </c>
      <c r="J91" t="s">
        <v>178</v>
      </c>
      <c r="K91">
        <v>100</v>
      </c>
      <c r="L91">
        <v>184.6</v>
      </c>
      <c r="M91" t="s">
        <v>178</v>
      </c>
      <c r="N91" t="s">
        <v>179</v>
      </c>
      <c r="O91">
        <v>0.1</v>
      </c>
    </row>
    <row r="92" spans="1:15" x14ac:dyDescent="0.3">
      <c r="A92" t="s">
        <v>176</v>
      </c>
      <c r="B92" s="66">
        <v>44775</v>
      </c>
      <c r="C92">
        <v>11.5</v>
      </c>
      <c r="D92" t="s">
        <v>177</v>
      </c>
      <c r="E92">
        <v>100</v>
      </c>
      <c r="F92">
        <v>25.4</v>
      </c>
      <c r="G92" t="s">
        <v>177</v>
      </c>
      <c r="H92">
        <v>100</v>
      </c>
      <c r="I92">
        <v>19</v>
      </c>
      <c r="J92" t="s">
        <v>178</v>
      </c>
      <c r="K92">
        <v>100</v>
      </c>
      <c r="L92">
        <v>184.6</v>
      </c>
      <c r="M92" t="s">
        <v>178</v>
      </c>
      <c r="N92" t="s">
        <v>179</v>
      </c>
      <c r="O92">
        <v>0</v>
      </c>
    </row>
    <row r="93" spans="1:15" x14ac:dyDescent="0.3">
      <c r="A93" t="s">
        <v>176</v>
      </c>
      <c r="B93" s="66">
        <v>44776</v>
      </c>
      <c r="C93">
        <v>9.6999999999999993</v>
      </c>
      <c r="D93" t="s">
        <v>177</v>
      </c>
      <c r="E93">
        <v>100</v>
      </c>
      <c r="F93">
        <v>30.4</v>
      </c>
      <c r="G93" t="s">
        <v>177</v>
      </c>
      <c r="H93">
        <v>100</v>
      </c>
      <c r="I93">
        <v>20.2</v>
      </c>
      <c r="J93" t="s">
        <v>178</v>
      </c>
      <c r="K93">
        <v>100</v>
      </c>
      <c r="L93">
        <v>184.6</v>
      </c>
      <c r="M93" t="s">
        <v>178</v>
      </c>
      <c r="N93" t="s">
        <v>179</v>
      </c>
      <c r="O93">
        <v>0</v>
      </c>
    </row>
    <row r="94" spans="1:15" x14ac:dyDescent="0.3">
      <c r="A94" t="s">
        <v>176</v>
      </c>
      <c r="B94" s="66">
        <v>44777</v>
      </c>
      <c r="C94">
        <v>10.8</v>
      </c>
      <c r="D94" t="s">
        <v>177</v>
      </c>
      <c r="E94">
        <v>100</v>
      </c>
      <c r="F94">
        <v>28.4</v>
      </c>
      <c r="G94" t="s">
        <v>177</v>
      </c>
      <c r="H94">
        <v>100</v>
      </c>
      <c r="I94">
        <v>19.899999999999999</v>
      </c>
      <c r="J94" t="s">
        <v>178</v>
      </c>
      <c r="K94">
        <v>100</v>
      </c>
      <c r="L94">
        <v>184.6</v>
      </c>
      <c r="M94" t="s">
        <v>178</v>
      </c>
      <c r="N94" t="s">
        <v>179</v>
      </c>
      <c r="O94">
        <v>0</v>
      </c>
    </row>
    <row r="95" spans="1:15" x14ac:dyDescent="0.3">
      <c r="A95" t="s">
        <v>176</v>
      </c>
      <c r="B95" s="66">
        <v>44778</v>
      </c>
      <c r="C95">
        <v>6.7</v>
      </c>
      <c r="D95" t="s">
        <v>177</v>
      </c>
      <c r="E95">
        <v>100</v>
      </c>
      <c r="F95">
        <v>20.6</v>
      </c>
      <c r="G95" t="s">
        <v>177</v>
      </c>
      <c r="H95">
        <v>100</v>
      </c>
      <c r="I95">
        <v>14.1</v>
      </c>
      <c r="J95" t="s">
        <v>178</v>
      </c>
      <c r="K95">
        <v>100</v>
      </c>
      <c r="L95">
        <v>184.6</v>
      </c>
      <c r="M95" t="s">
        <v>178</v>
      </c>
      <c r="N95" t="s">
        <v>179</v>
      </c>
      <c r="O95">
        <v>0</v>
      </c>
    </row>
    <row r="96" spans="1:15" x14ac:dyDescent="0.3">
      <c r="A96" t="s">
        <v>176</v>
      </c>
      <c r="B96" s="66">
        <v>44779</v>
      </c>
      <c r="C96">
        <v>5</v>
      </c>
      <c r="D96" t="s">
        <v>177</v>
      </c>
      <c r="E96">
        <v>100</v>
      </c>
      <c r="F96">
        <v>25.6</v>
      </c>
      <c r="G96" t="s">
        <v>177</v>
      </c>
      <c r="H96">
        <v>100</v>
      </c>
      <c r="I96">
        <v>16</v>
      </c>
      <c r="J96" t="s">
        <v>178</v>
      </c>
      <c r="K96">
        <v>100</v>
      </c>
      <c r="L96">
        <v>184.6</v>
      </c>
      <c r="M96" t="s">
        <v>178</v>
      </c>
      <c r="N96" t="s">
        <v>179</v>
      </c>
      <c r="O96">
        <v>0</v>
      </c>
    </row>
    <row r="97" spans="1:15" x14ac:dyDescent="0.3">
      <c r="A97" t="s">
        <v>176</v>
      </c>
      <c r="B97" s="66">
        <v>44780</v>
      </c>
      <c r="C97">
        <v>9.4</v>
      </c>
      <c r="D97" t="s">
        <v>177</v>
      </c>
      <c r="E97">
        <v>100</v>
      </c>
      <c r="F97">
        <v>30.4</v>
      </c>
      <c r="G97" t="s">
        <v>177</v>
      </c>
      <c r="H97">
        <v>100</v>
      </c>
      <c r="I97">
        <v>20.100000000000001</v>
      </c>
      <c r="J97" t="s">
        <v>178</v>
      </c>
      <c r="K97">
        <v>100</v>
      </c>
      <c r="L97">
        <v>184.6</v>
      </c>
      <c r="M97" t="s">
        <v>178</v>
      </c>
      <c r="N97" t="s">
        <v>179</v>
      </c>
      <c r="O97">
        <v>0</v>
      </c>
    </row>
    <row r="98" spans="1:15" x14ac:dyDescent="0.3">
      <c r="A98" t="s">
        <v>176</v>
      </c>
      <c r="B98" s="66">
        <v>44781</v>
      </c>
      <c r="C98">
        <v>11.5</v>
      </c>
      <c r="D98" t="s">
        <v>177</v>
      </c>
      <c r="E98">
        <v>100</v>
      </c>
      <c r="F98" s="93">
        <v>34.299999999999997</v>
      </c>
      <c r="G98" t="s">
        <v>177</v>
      </c>
      <c r="H98">
        <v>100</v>
      </c>
      <c r="I98">
        <v>23.4</v>
      </c>
      <c r="J98" t="s">
        <v>178</v>
      </c>
      <c r="K98">
        <v>100</v>
      </c>
      <c r="L98">
        <v>184.6</v>
      </c>
      <c r="M98" t="s">
        <v>178</v>
      </c>
      <c r="N98" t="s">
        <v>179</v>
      </c>
      <c r="O98">
        <v>0</v>
      </c>
    </row>
    <row r="99" spans="1:15" x14ac:dyDescent="0.3">
      <c r="A99" t="s">
        <v>176</v>
      </c>
      <c r="B99" s="66">
        <v>44782</v>
      </c>
      <c r="C99">
        <v>8.6999999999999993</v>
      </c>
      <c r="D99" t="s">
        <v>177</v>
      </c>
      <c r="E99">
        <v>100</v>
      </c>
      <c r="F99">
        <v>30.7</v>
      </c>
      <c r="G99" t="s">
        <v>177</v>
      </c>
      <c r="H99">
        <v>100</v>
      </c>
      <c r="I99">
        <v>19.399999999999999</v>
      </c>
      <c r="J99" t="s">
        <v>178</v>
      </c>
      <c r="K99">
        <v>100</v>
      </c>
      <c r="L99">
        <v>184.6</v>
      </c>
      <c r="M99" t="s">
        <v>178</v>
      </c>
      <c r="N99" t="s">
        <v>179</v>
      </c>
      <c r="O99">
        <v>0</v>
      </c>
    </row>
    <row r="100" spans="1:15" x14ac:dyDescent="0.3">
      <c r="A100" t="s">
        <v>176</v>
      </c>
      <c r="B100" s="66">
        <v>44783</v>
      </c>
      <c r="C100">
        <v>13.6</v>
      </c>
      <c r="D100" t="s">
        <v>177</v>
      </c>
      <c r="E100">
        <v>100</v>
      </c>
      <c r="F100">
        <v>28.9</v>
      </c>
      <c r="G100" t="s">
        <v>177</v>
      </c>
      <c r="H100">
        <v>100</v>
      </c>
      <c r="I100">
        <v>20.399999999999999</v>
      </c>
      <c r="J100" t="s">
        <v>178</v>
      </c>
      <c r="K100">
        <v>100</v>
      </c>
      <c r="L100">
        <v>184.6</v>
      </c>
      <c r="M100" t="s">
        <v>178</v>
      </c>
      <c r="N100" t="s">
        <v>179</v>
      </c>
      <c r="O100">
        <v>0</v>
      </c>
    </row>
    <row r="101" spans="1:15" x14ac:dyDescent="0.3">
      <c r="A101" t="s">
        <v>176</v>
      </c>
      <c r="B101" s="66">
        <v>44784</v>
      </c>
      <c r="C101">
        <v>15.4</v>
      </c>
      <c r="D101" t="s">
        <v>177</v>
      </c>
      <c r="E101">
        <v>100</v>
      </c>
      <c r="F101" s="42">
        <v>34.700000000000003</v>
      </c>
      <c r="G101" t="s">
        <v>177</v>
      </c>
      <c r="H101">
        <v>100</v>
      </c>
      <c r="I101">
        <v>24.5</v>
      </c>
      <c r="J101" t="s">
        <v>178</v>
      </c>
      <c r="K101">
        <v>100</v>
      </c>
      <c r="L101">
        <v>184.6</v>
      </c>
      <c r="M101" t="s">
        <v>178</v>
      </c>
      <c r="N101" t="s">
        <v>179</v>
      </c>
      <c r="O101">
        <v>0</v>
      </c>
    </row>
    <row r="102" spans="1:15" x14ac:dyDescent="0.3">
      <c r="A102" t="s">
        <v>176</v>
      </c>
      <c r="B102" s="66">
        <v>44785</v>
      </c>
      <c r="C102">
        <v>14.1</v>
      </c>
      <c r="D102" t="s">
        <v>177</v>
      </c>
      <c r="E102">
        <v>100</v>
      </c>
      <c r="F102">
        <v>31</v>
      </c>
      <c r="G102" t="s">
        <v>177</v>
      </c>
      <c r="H102">
        <v>100</v>
      </c>
      <c r="I102">
        <v>22.1</v>
      </c>
      <c r="J102" t="s">
        <v>178</v>
      </c>
      <c r="K102">
        <v>100</v>
      </c>
      <c r="L102">
        <v>184.6</v>
      </c>
      <c r="M102" t="s">
        <v>178</v>
      </c>
      <c r="N102" t="s">
        <v>179</v>
      </c>
      <c r="O102">
        <v>0</v>
      </c>
    </row>
    <row r="103" spans="1:15" x14ac:dyDescent="0.3">
      <c r="A103" t="s">
        <v>176</v>
      </c>
      <c r="B103" s="66">
        <v>44786</v>
      </c>
      <c r="C103">
        <v>12.2</v>
      </c>
      <c r="D103" t="s">
        <v>177</v>
      </c>
      <c r="E103">
        <v>100</v>
      </c>
      <c r="F103">
        <v>33.700000000000003</v>
      </c>
      <c r="G103" t="s">
        <v>177</v>
      </c>
      <c r="H103">
        <v>100</v>
      </c>
      <c r="I103">
        <v>23.9</v>
      </c>
      <c r="J103" t="s">
        <v>178</v>
      </c>
      <c r="K103">
        <v>100</v>
      </c>
      <c r="L103">
        <v>184.7</v>
      </c>
      <c r="M103" t="s">
        <v>178</v>
      </c>
      <c r="N103" t="s">
        <v>179</v>
      </c>
      <c r="O103">
        <v>0.1</v>
      </c>
    </row>
    <row r="104" spans="1:15" x14ac:dyDescent="0.3">
      <c r="A104" t="s">
        <v>176</v>
      </c>
      <c r="B104" s="66">
        <v>44787</v>
      </c>
      <c r="C104">
        <v>13.1</v>
      </c>
      <c r="D104" t="s">
        <v>177</v>
      </c>
      <c r="E104">
        <v>100</v>
      </c>
      <c r="F104">
        <v>29.7</v>
      </c>
      <c r="G104" t="s">
        <v>177</v>
      </c>
      <c r="H104">
        <v>100</v>
      </c>
      <c r="I104">
        <v>22.1</v>
      </c>
      <c r="J104" t="s">
        <v>178</v>
      </c>
      <c r="K104">
        <v>100</v>
      </c>
      <c r="L104">
        <v>184.7</v>
      </c>
      <c r="M104" t="s">
        <v>178</v>
      </c>
      <c r="N104" t="s">
        <v>179</v>
      </c>
      <c r="O104">
        <v>0</v>
      </c>
    </row>
    <row r="105" spans="1:15" x14ac:dyDescent="0.3">
      <c r="A105" t="s">
        <v>176</v>
      </c>
      <c r="B105" s="66">
        <v>44788</v>
      </c>
      <c r="C105">
        <v>9</v>
      </c>
      <c r="D105" t="s">
        <v>177</v>
      </c>
      <c r="E105">
        <v>100</v>
      </c>
      <c r="F105">
        <v>30</v>
      </c>
      <c r="G105" t="s">
        <v>177</v>
      </c>
      <c r="H105">
        <v>100</v>
      </c>
      <c r="I105">
        <v>19.899999999999999</v>
      </c>
      <c r="J105" t="s">
        <v>178</v>
      </c>
      <c r="K105">
        <v>100</v>
      </c>
      <c r="L105">
        <v>184.7</v>
      </c>
      <c r="M105" t="s">
        <v>178</v>
      </c>
      <c r="N105" t="s">
        <v>179</v>
      </c>
      <c r="O105">
        <v>0</v>
      </c>
    </row>
    <row r="106" spans="1:15" x14ac:dyDescent="0.3">
      <c r="A106" t="s">
        <v>176</v>
      </c>
      <c r="B106" s="66">
        <v>44789</v>
      </c>
      <c r="C106">
        <v>9.6999999999999993</v>
      </c>
      <c r="D106" t="s">
        <v>177</v>
      </c>
      <c r="E106">
        <v>100</v>
      </c>
      <c r="F106">
        <v>33.4</v>
      </c>
      <c r="G106" t="s">
        <v>177</v>
      </c>
      <c r="H106">
        <v>100</v>
      </c>
      <c r="I106">
        <v>21.7</v>
      </c>
      <c r="J106" t="s">
        <v>178</v>
      </c>
      <c r="K106">
        <v>100</v>
      </c>
      <c r="L106">
        <v>184.7</v>
      </c>
      <c r="M106" t="s">
        <v>178</v>
      </c>
      <c r="N106" t="s">
        <v>179</v>
      </c>
      <c r="O106">
        <v>0</v>
      </c>
    </row>
    <row r="107" spans="1:15" x14ac:dyDescent="0.3">
      <c r="A107" t="s">
        <v>176</v>
      </c>
      <c r="B107" s="66">
        <v>44790</v>
      </c>
      <c r="C107">
        <v>14.6</v>
      </c>
      <c r="D107" t="s">
        <v>177</v>
      </c>
      <c r="E107">
        <v>100</v>
      </c>
      <c r="F107">
        <v>28.5</v>
      </c>
      <c r="G107" t="s">
        <v>177</v>
      </c>
      <c r="H107">
        <v>100</v>
      </c>
      <c r="I107">
        <v>21.4</v>
      </c>
      <c r="J107" t="s">
        <v>178</v>
      </c>
      <c r="K107">
        <v>100</v>
      </c>
      <c r="L107">
        <v>184.7</v>
      </c>
      <c r="M107" t="s">
        <v>178</v>
      </c>
      <c r="N107" t="s">
        <v>179</v>
      </c>
      <c r="O107">
        <v>0</v>
      </c>
    </row>
    <row r="108" spans="1:15" x14ac:dyDescent="0.3">
      <c r="A108" t="s">
        <v>176</v>
      </c>
      <c r="B108" s="66">
        <v>44791</v>
      </c>
      <c r="C108">
        <v>11.5</v>
      </c>
      <c r="D108" t="s">
        <v>177</v>
      </c>
      <c r="E108">
        <v>100</v>
      </c>
      <c r="F108">
        <v>32.1</v>
      </c>
      <c r="G108" t="s">
        <v>177</v>
      </c>
      <c r="H108">
        <v>100</v>
      </c>
      <c r="I108">
        <v>21.2</v>
      </c>
      <c r="J108" t="s">
        <v>178</v>
      </c>
      <c r="K108">
        <v>100</v>
      </c>
      <c r="L108">
        <v>184.7</v>
      </c>
      <c r="M108" t="s">
        <v>178</v>
      </c>
      <c r="N108" t="s">
        <v>179</v>
      </c>
      <c r="O108">
        <v>0</v>
      </c>
    </row>
    <row r="109" spans="1:15" x14ac:dyDescent="0.3">
      <c r="A109" t="s">
        <v>176</v>
      </c>
      <c r="B109" s="66">
        <v>44792</v>
      </c>
      <c r="C109">
        <v>11.2</v>
      </c>
      <c r="D109" t="s">
        <v>177</v>
      </c>
      <c r="E109">
        <v>100</v>
      </c>
      <c r="F109">
        <v>32.6</v>
      </c>
      <c r="G109" t="s">
        <v>177</v>
      </c>
      <c r="H109">
        <v>100</v>
      </c>
      <c r="I109">
        <v>22.5</v>
      </c>
      <c r="J109" t="s">
        <v>178</v>
      </c>
      <c r="K109">
        <v>100</v>
      </c>
      <c r="L109">
        <v>184.7</v>
      </c>
      <c r="M109" t="s">
        <v>178</v>
      </c>
      <c r="N109" t="s">
        <v>179</v>
      </c>
      <c r="O109">
        <v>0</v>
      </c>
    </row>
    <row r="110" spans="1:15" x14ac:dyDescent="0.3">
      <c r="A110" t="s">
        <v>176</v>
      </c>
      <c r="B110" s="66">
        <v>44793</v>
      </c>
      <c r="C110">
        <v>10.9</v>
      </c>
      <c r="D110" t="s">
        <v>177</v>
      </c>
      <c r="E110">
        <v>100</v>
      </c>
      <c r="F110">
        <v>31</v>
      </c>
      <c r="G110" t="s">
        <v>177</v>
      </c>
      <c r="H110">
        <v>100</v>
      </c>
      <c r="I110">
        <v>22</v>
      </c>
      <c r="J110" t="s">
        <v>178</v>
      </c>
      <c r="K110">
        <v>100</v>
      </c>
      <c r="L110">
        <v>184.8</v>
      </c>
      <c r="M110" t="s">
        <v>178</v>
      </c>
      <c r="N110" t="s">
        <v>179</v>
      </c>
      <c r="O110">
        <v>0.1</v>
      </c>
    </row>
    <row r="111" spans="1:15" x14ac:dyDescent="0.3">
      <c r="A111" t="s">
        <v>176</v>
      </c>
      <c r="B111" s="66">
        <v>44794</v>
      </c>
      <c r="C111">
        <v>15.6</v>
      </c>
      <c r="D111" t="s">
        <v>177</v>
      </c>
      <c r="E111">
        <v>100</v>
      </c>
      <c r="F111">
        <v>29.1</v>
      </c>
      <c r="G111" t="s">
        <v>177</v>
      </c>
      <c r="H111">
        <v>100</v>
      </c>
      <c r="I111">
        <v>22</v>
      </c>
      <c r="J111" t="s">
        <v>178</v>
      </c>
      <c r="K111">
        <v>100</v>
      </c>
      <c r="L111">
        <v>184.9</v>
      </c>
      <c r="M111" t="s">
        <v>178</v>
      </c>
      <c r="N111" t="s">
        <v>179</v>
      </c>
      <c r="O111">
        <v>0.1</v>
      </c>
    </row>
    <row r="112" spans="1:15" x14ac:dyDescent="0.3">
      <c r="A112" t="s">
        <v>176</v>
      </c>
      <c r="B112" s="66">
        <v>44795</v>
      </c>
      <c r="C112">
        <v>12.5</v>
      </c>
      <c r="D112" t="s">
        <v>177</v>
      </c>
      <c r="E112">
        <v>100</v>
      </c>
      <c r="F112">
        <v>29.7</v>
      </c>
      <c r="G112" t="s">
        <v>177</v>
      </c>
      <c r="H112">
        <v>100</v>
      </c>
      <c r="I112">
        <v>21</v>
      </c>
      <c r="J112" t="s">
        <v>178</v>
      </c>
      <c r="K112">
        <v>100</v>
      </c>
      <c r="L112">
        <v>184.9</v>
      </c>
      <c r="M112" t="s">
        <v>178</v>
      </c>
      <c r="N112" t="s">
        <v>179</v>
      </c>
      <c r="O1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B5ED-CDFB-48D7-BC73-6F2251940DE5}">
  <sheetPr>
    <tabColor rgb="FFFFFF00"/>
  </sheetPr>
  <dimension ref="A1:H26"/>
  <sheetViews>
    <sheetView tabSelected="1" workbookViewId="0">
      <selection activeCell="M16" sqref="M16"/>
    </sheetView>
  </sheetViews>
  <sheetFormatPr defaultRowHeight="15.6" x14ac:dyDescent="0.3"/>
  <cols>
    <col min="1" max="1" width="2.69921875" bestFit="1" customWidth="1"/>
    <col min="2" max="2" width="13.69921875" bestFit="1" customWidth="1"/>
    <col min="3" max="3" width="14.09765625" bestFit="1" customWidth="1"/>
    <col min="4" max="4" width="16" bestFit="1" customWidth="1"/>
    <col min="5" max="5" width="10.5" bestFit="1" customWidth="1"/>
    <col min="6" max="6" width="22" bestFit="1" customWidth="1"/>
    <col min="7" max="7" width="59.19921875" bestFit="1" customWidth="1"/>
    <col min="8" max="8" width="16" bestFit="1" customWidth="1"/>
  </cols>
  <sheetData>
    <row r="1" spans="1:8" x14ac:dyDescent="0.3">
      <c r="A1" s="98" t="s">
        <v>266</v>
      </c>
      <c r="B1" s="99" t="s">
        <v>265</v>
      </c>
      <c r="C1" s="99" t="s">
        <v>264</v>
      </c>
      <c r="D1" s="99" t="s">
        <v>261</v>
      </c>
      <c r="E1" s="100" t="s">
        <v>260</v>
      </c>
      <c r="F1" s="99" t="s">
        <v>259</v>
      </c>
      <c r="G1" s="99" t="s">
        <v>84</v>
      </c>
      <c r="H1" s="101" t="s">
        <v>258</v>
      </c>
    </row>
    <row r="2" spans="1:8" x14ac:dyDescent="0.3">
      <c r="A2" s="102">
        <v>1</v>
      </c>
      <c r="B2" s="103">
        <v>44689.401099537034</v>
      </c>
      <c r="C2" s="103">
        <v>44689.401226851849</v>
      </c>
      <c r="D2" s="104" t="s">
        <v>237</v>
      </c>
      <c r="E2" s="105">
        <v>44689</v>
      </c>
      <c r="F2" s="106">
        <v>0.5</v>
      </c>
      <c r="G2" s="104" t="s">
        <v>247</v>
      </c>
      <c r="H2" s="107"/>
    </row>
    <row r="3" spans="1:8" x14ac:dyDescent="0.3">
      <c r="A3" s="108">
        <v>5</v>
      </c>
      <c r="B3" s="109">
        <v>44695.54515046296</v>
      </c>
      <c r="C3" s="109">
        <v>44695.545393518521</v>
      </c>
      <c r="D3" s="110" t="s">
        <v>237</v>
      </c>
      <c r="E3" s="111">
        <v>44695</v>
      </c>
      <c r="F3" s="112">
        <v>0.5</v>
      </c>
      <c r="G3" s="110" t="s">
        <v>247</v>
      </c>
      <c r="H3" s="113"/>
    </row>
    <row r="4" spans="1:8" x14ac:dyDescent="0.3">
      <c r="A4" s="102">
        <v>12</v>
      </c>
      <c r="B4" s="103">
        <v>44708.229409722226</v>
      </c>
      <c r="C4" s="103">
        <v>44708.229618055557</v>
      </c>
      <c r="D4" s="114" t="s">
        <v>237</v>
      </c>
      <c r="E4" s="115">
        <v>44708</v>
      </c>
      <c r="F4" s="116">
        <v>0.75</v>
      </c>
      <c r="G4" s="104" t="s">
        <v>247</v>
      </c>
      <c r="H4" s="107"/>
    </row>
    <row r="5" spans="1:8" x14ac:dyDescent="0.3">
      <c r="A5" s="108">
        <v>15</v>
      </c>
      <c r="B5" s="109">
        <v>44715.717222222222</v>
      </c>
      <c r="C5" s="109">
        <v>44715.717453703706</v>
      </c>
      <c r="D5" s="114" t="s">
        <v>237</v>
      </c>
      <c r="E5" s="115">
        <v>44715</v>
      </c>
      <c r="F5" s="116">
        <v>0.75</v>
      </c>
      <c r="G5" s="110" t="s">
        <v>247</v>
      </c>
      <c r="H5" s="113"/>
    </row>
    <row r="6" spans="1:8" x14ac:dyDescent="0.3">
      <c r="A6" s="102">
        <v>19</v>
      </c>
      <c r="B6" s="103">
        <v>44722.76766203704</v>
      </c>
      <c r="C6" s="103">
        <v>44722.767824074072</v>
      </c>
      <c r="D6" s="114" t="s">
        <v>237</v>
      </c>
      <c r="E6" s="115">
        <v>44722</v>
      </c>
      <c r="F6" s="116">
        <v>0.75</v>
      </c>
      <c r="G6" s="104" t="s">
        <v>247</v>
      </c>
      <c r="H6" s="107"/>
    </row>
    <row r="7" spans="1:8" x14ac:dyDescent="0.3">
      <c r="A7" s="108">
        <v>21</v>
      </c>
      <c r="B7" s="109">
        <v>44730.49523148148</v>
      </c>
      <c r="C7" s="109">
        <v>44730.495347222219</v>
      </c>
      <c r="D7" s="110" t="s">
        <v>237</v>
      </c>
      <c r="E7" s="111">
        <v>44730</v>
      </c>
      <c r="F7" s="116">
        <v>0.75</v>
      </c>
      <c r="G7" s="110" t="s">
        <v>247</v>
      </c>
      <c r="H7" s="113"/>
    </row>
    <row r="8" spans="1:8" x14ac:dyDescent="0.3">
      <c r="A8" s="102">
        <v>22</v>
      </c>
      <c r="B8" s="103">
        <v>44731.614976851852</v>
      </c>
      <c r="C8" s="103">
        <v>44731.615081018521</v>
      </c>
      <c r="D8" s="104" t="s">
        <v>237</v>
      </c>
      <c r="E8" s="105">
        <v>44731</v>
      </c>
      <c r="F8" s="116">
        <v>0.75</v>
      </c>
      <c r="G8" s="104" t="s">
        <v>247</v>
      </c>
      <c r="H8" s="107"/>
    </row>
    <row r="9" spans="1:8" x14ac:dyDescent="0.3">
      <c r="A9" s="108">
        <v>26</v>
      </c>
      <c r="B9" s="109">
        <v>44736.541932870372</v>
      </c>
      <c r="C9" s="109">
        <v>44736.542060185187</v>
      </c>
      <c r="D9" s="110" t="s">
        <v>237</v>
      </c>
      <c r="E9" s="111">
        <v>44737</v>
      </c>
      <c r="F9" s="116">
        <v>0.75</v>
      </c>
      <c r="G9" s="110" t="s">
        <v>247</v>
      </c>
      <c r="H9" s="113"/>
    </row>
    <row r="10" spans="1:8" x14ac:dyDescent="0.3">
      <c r="A10" s="102">
        <v>28</v>
      </c>
      <c r="B10" s="103">
        <v>44742.449236111112</v>
      </c>
      <c r="C10" s="103">
        <v>44742.449664351851</v>
      </c>
      <c r="D10" s="104" t="s">
        <v>237</v>
      </c>
      <c r="E10" s="105">
        <v>44743</v>
      </c>
      <c r="F10" s="116">
        <v>0.75</v>
      </c>
      <c r="G10" s="104" t="s">
        <v>247</v>
      </c>
      <c r="H10" s="107"/>
    </row>
    <row r="11" spans="1:8" x14ac:dyDescent="0.3">
      <c r="A11" s="108">
        <v>33</v>
      </c>
      <c r="B11" s="109">
        <v>44755.322384259256</v>
      </c>
      <c r="C11" s="109">
        <v>44755.322546296295</v>
      </c>
      <c r="D11" s="110" t="s">
        <v>237</v>
      </c>
      <c r="E11" s="111">
        <v>44755</v>
      </c>
      <c r="F11" s="116">
        <v>0.75</v>
      </c>
      <c r="G11" s="110" t="s">
        <v>247</v>
      </c>
      <c r="H11" s="113" t="s">
        <v>252</v>
      </c>
    </row>
    <row r="12" spans="1:8" x14ac:dyDescent="0.3">
      <c r="A12" s="102">
        <v>34</v>
      </c>
      <c r="B12" s="103">
        <v>44757.590381944443</v>
      </c>
      <c r="C12" s="103">
        <v>44757.590509259258</v>
      </c>
      <c r="D12" s="104" t="s">
        <v>237</v>
      </c>
      <c r="E12" s="105">
        <v>44757</v>
      </c>
      <c r="F12" s="116">
        <v>0.75</v>
      </c>
      <c r="G12" s="104" t="s">
        <v>247</v>
      </c>
      <c r="H12" s="107"/>
    </row>
    <row r="13" spans="1:8" x14ac:dyDescent="0.3">
      <c r="A13" s="108">
        <v>36</v>
      </c>
      <c r="B13" s="109">
        <v>44764.672002314815</v>
      </c>
      <c r="C13" s="109">
        <v>44764.672129629631</v>
      </c>
      <c r="D13" s="110" t="s">
        <v>237</v>
      </c>
      <c r="E13" s="111">
        <v>44764</v>
      </c>
      <c r="F13" s="116">
        <v>0.75</v>
      </c>
      <c r="G13" s="110" t="s">
        <v>247</v>
      </c>
      <c r="H13" s="113"/>
    </row>
    <row r="14" spans="1:8" x14ac:dyDescent="0.3">
      <c r="A14" s="102">
        <v>39</v>
      </c>
      <c r="B14" s="103">
        <v>44771.767951388887</v>
      </c>
      <c r="C14" s="103">
        <v>44771.768263888887</v>
      </c>
      <c r="D14" s="104" t="s">
        <v>237</v>
      </c>
      <c r="E14" s="105">
        <v>44771</v>
      </c>
      <c r="F14" s="116">
        <v>0.75</v>
      </c>
      <c r="G14" s="104" t="s">
        <v>247</v>
      </c>
      <c r="H14" s="107"/>
    </row>
    <row r="15" spans="1:8" x14ac:dyDescent="0.3">
      <c r="A15" s="108">
        <v>41</v>
      </c>
      <c r="B15" s="109">
        <v>44774.338333333333</v>
      </c>
      <c r="C15" s="109">
        <v>44774.338506944441</v>
      </c>
      <c r="D15" s="110" t="s">
        <v>237</v>
      </c>
      <c r="E15" s="111">
        <v>44773</v>
      </c>
      <c r="F15" s="116">
        <v>0.75</v>
      </c>
      <c r="G15" s="110" t="s">
        <v>247</v>
      </c>
      <c r="H15" s="113"/>
    </row>
    <row r="16" spans="1:8" x14ac:dyDescent="0.3">
      <c r="A16" s="102">
        <v>42</v>
      </c>
      <c r="B16" s="103">
        <v>44781.295162037037</v>
      </c>
      <c r="C16" s="103">
        <v>44781.295312499999</v>
      </c>
      <c r="D16" s="104" t="s">
        <v>237</v>
      </c>
      <c r="E16" s="105">
        <v>44781</v>
      </c>
      <c r="F16" s="116">
        <v>0.75</v>
      </c>
      <c r="G16" s="104" t="s">
        <v>247</v>
      </c>
      <c r="H16" s="107" t="s">
        <v>249</v>
      </c>
    </row>
    <row r="17" spans="1:8" x14ac:dyDescent="0.3">
      <c r="A17" s="108">
        <v>43</v>
      </c>
      <c r="B17" s="109">
        <v>44788.247546296298</v>
      </c>
      <c r="C17" s="109">
        <v>44788.247731481482</v>
      </c>
      <c r="D17" s="110" t="s">
        <v>237</v>
      </c>
      <c r="E17" s="111">
        <v>44788</v>
      </c>
      <c r="F17" s="116">
        <v>0.75</v>
      </c>
      <c r="G17" s="110" t="s">
        <v>247</v>
      </c>
      <c r="H17" s="113" t="s">
        <v>248</v>
      </c>
    </row>
    <row r="18" spans="1:8" x14ac:dyDescent="0.3">
      <c r="A18" s="102">
        <v>46</v>
      </c>
      <c r="B18" s="103">
        <v>44789.365219907406</v>
      </c>
      <c r="C18" s="103">
        <v>44789.365324074075</v>
      </c>
      <c r="D18" s="104" t="s">
        <v>237</v>
      </c>
      <c r="E18" s="105">
        <v>44789</v>
      </c>
      <c r="F18" s="116">
        <v>0.75</v>
      </c>
      <c r="G18" s="104" t="s">
        <v>247</v>
      </c>
      <c r="H18" s="107" t="s">
        <v>246</v>
      </c>
    </row>
    <row r="19" spans="1:8" x14ac:dyDescent="0.3">
      <c r="A19" s="108">
        <v>18</v>
      </c>
      <c r="B19" s="109">
        <v>44719.66741898148</v>
      </c>
      <c r="C19" s="109">
        <v>44719.667638888888</v>
      </c>
      <c r="D19" s="110" t="s">
        <v>231</v>
      </c>
      <c r="E19" s="111">
        <v>44719</v>
      </c>
      <c r="F19" s="112">
        <v>0.75</v>
      </c>
      <c r="G19" s="110" t="s">
        <v>245</v>
      </c>
      <c r="H19" s="113"/>
    </row>
    <row r="20" spans="1:8" x14ac:dyDescent="0.3">
      <c r="A20" s="102">
        <v>20</v>
      </c>
      <c r="B20" s="103">
        <v>44727.652777777781</v>
      </c>
      <c r="C20" s="103">
        <v>44727.653055555558</v>
      </c>
      <c r="D20" s="104" t="s">
        <v>231</v>
      </c>
      <c r="E20" s="105">
        <v>44726</v>
      </c>
      <c r="F20" s="106">
        <v>2.5</v>
      </c>
      <c r="G20" s="104" t="s">
        <v>234</v>
      </c>
      <c r="H20" s="107"/>
    </row>
    <row r="21" spans="1:8" x14ac:dyDescent="0.3">
      <c r="A21" s="108">
        <v>23</v>
      </c>
      <c r="B21" s="109">
        <v>44733.804803240739</v>
      </c>
      <c r="C21" s="109">
        <v>44733.805127314816</v>
      </c>
      <c r="D21" s="110" t="s">
        <v>231</v>
      </c>
      <c r="E21" s="111">
        <v>44732</v>
      </c>
      <c r="F21" s="112">
        <v>0.75</v>
      </c>
      <c r="G21" s="110" t="s">
        <v>241</v>
      </c>
      <c r="H21" s="113"/>
    </row>
    <row r="22" spans="1:8" x14ac:dyDescent="0.3">
      <c r="A22" s="102">
        <v>27</v>
      </c>
      <c r="B22" s="103">
        <v>44737.395833333336</v>
      </c>
      <c r="C22" s="103">
        <v>44737.396111111113</v>
      </c>
      <c r="D22" s="104" t="s">
        <v>231</v>
      </c>
      <c r="E22" s="105">
        <v>44737</v>
      </c>
      <c r="F22" s="106">
        <v>0.25</v>
      </c>
      <c r="G22" s="104" t="s">
        <v>241</v>
      </c>
      <c r="H22" s="107"/>
    </row>
    <row r="23" spans="1:8" x14ac:dyDescent="0.3">
      <c r="A23" s="108">
        <v>29</v>
      </c>
      <c r="B23" s="109">
        <v>44746.708518518521</v>
      </c>
      <c r="C23" s="109">
        <v>44746.708738425928</v>
      </c>
      <c r="D23" s="110" t="s">
        <v>231</v>
      </c>
      <c r="E23" s="111">
        <v>44746</v>
      </c>
      <c r="F23" s="112">
        <v>2</v>
      </c>
      <c r="G23" s="110" t="s">
        <v>241</v>
      </c>
      <c r="H23" s="113"/>
    </row>
    <row r="24" spans="1:8" x14ac:dyDescent="0.3">
      <c r="A24" s="102">
        <v>35</v>
      </c>
      <c r="B24" s="103">
        <v>44761.604062500002</v>
      </c>
      <c r="C24" s="103">
        <v>44761.604270833333</v>
      </c>
      <c r="D24" s="104" t="s">
        <v>231</v>
      </c>
      <c r="E24" s="105">
        <v>44760</v>
      </c>
      <c r="F24" s="106">
        <v>0.75</v>
      </c>
      <c r="G24" s="104" t="s">
        <v>234</v>
      </c>
      <c r="H24" s="107"/>
    </row>
    <row r="25" spans="1:8" ht="16.2" thickBot="1" x14ac:dyDescent="0.35">
      <c r="A25" s="108">
        <v>47</v>
      </c>
      <c r="B25" s="109">
        <v>44798.80097222222</v>
      </c>
      <c r="C25" s="109">
        <v>44798.801226851851</v>
      </c>
      <c r="D25" s="110" t="s">
        <v>231</v>
      </c>
      <c r="E25" s="111">
        <v>44798</v>
      </c>
      <c r="F25" s="112">
        <v>1</v>
      </c>
      <c r="G25" s="110" t="s">
        <v>230</v>
      </c>
      <c r="H25" s="113"/>
    </row>
    <row r="26" spans="1:8" ht="16.2" thickTop="1" x14ac:dyDescent="0.3">
      <c r="A26" s="117"/>
      <c r="B26" s="118"/>
      <c r="C26" s="118"/>
      <c r="D26" s="119"/>
      <c r="E26" s="120"/>
      <c r="F26" s="119"/>
      <c r="G26" s="119"/>
      <c r="H26" s="1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9ED6-2292-4AC4-8257-774F687CF254}">
  <sheetPr>
    <tabColor rgb="FFFFFF00"/>
  </sheetPr>
  <dimension ref="A1:J75"/>
  <sheetViews>
    <sheetView topLeftCell="A6" workbookViewId="0">
      <selection activeCell="H14" sqref="H14:H36"/>
    </sheetView>
  </sheetViews>
  <sheetFormatPr defaultColWidth="9" defaultRowHeight="14.4" x14ac:dyDescent="0.3"/>
  <cols>
    <col min="1" max="3" width="17.5" style="72" bestFit="1" customWidth="1"/>
    <col min="4" max="4" width="27.5" style="72" hidden="1" customWidth="1"/>
    <col min="5" max="5" width="28" style="72" hidden="1" customWidth="1"/>
    <col min="6" max="6" width="20.5" style="72" customWidth="1"/>
    <col min="7" max="7" width="9.8984375" style="73" bestFit="1" customWidth="1"/>
    <col min="8" max="8" width="24" style="72" bestFit="1" customWidth="1"/>
    <col min="9" max="9" width="11.59765625" style="72" customWidth="1"/>
    <col min="10" max="10" width="82.5" style="72" bestFit="1" customWidth="1"/>
    <col min="11" max="11" width="31.8984375" style="72" bestFit="1" customWidth="1"/>
    <col min="12" max="12" width="5.69921875" style="72" bestFit="1" customWidth="1"/>
    <col min="13" max="13" width="49.59765625" style="72" bestFit="1" customWidth="1"/>
    <col min="14" max="14" width="59.59765625" style="72" bestFit="1" customWidth="1"/>
    <col min="15" max="15" width="43.19921875" style="72" bestFit="1" customWidth="1"/>
    <col min="16" max="16" width="59.59765625" style="72" bestFit="1" customWidth="1"/>
    <col min="17" max="17" width="10.5" style="72" bestFit="1" customWidth="1"/>
    <col min="18" max="18" width="9.8984375" style="72" bestFit="1" customWidth="1"/>
    <col min="19" max="16384" width="9" style="72"/>
  </cols>
  <sheetData>
    <row r="1" spans="1:10" ht="15" customHeight="1" x14ac:dyDescent="0.3">
      <c r="A1" s="72" t="s">
        <v>266</v>
      </c>
      <c r="B1" s="72" t="s">
        <v>265</v>
      </c>
      <c r="C1" s="72" t="s">
        <v>264</v>
      </c>
      <c r="D1" s="72" t="s">
        <v>263</v>
      </c>
      <c r="E1" s="72" t="s">
        <v>262</v>
      </c>
      <c r="F1" s="72" t="s">
        <v>261</v>
      </c>
      <c r="G1" s="73" t="s">
        <v>260</v>
      </c>
      <c r="H1" s="72" t="s">
        <v>259</v>
      </c>
      <c r="I1" s="72" t="s">
        <v>84</v>
      </c>
      <c r="J1" s="72" t="s">
        <v>258</v>
      </c>
    </row>
    <row r="2" spans="1:10" ht="15" hidden="1" customHeight="1" x14ac:dyDescent="0.3">
      <c r="A2" s="72">
        <v>3</v>
      </c>
      <c r="B2" s="88">
        <v>44690.336215277777</v>
      </c>
      <c r="C2" s="88">
        <v>44690.336273148147</v>
      </c>
      <c r="D2" s="72" t="s">
        <v>233</v>
      </c>
      <c r="E2" s="72" t="s">
        <v>232</v>
      </c>
      <c r="F2" s="72" t="s">
        <v>237</v>
      </c>
      <c r="G2" s="73">
        <v>44687</v>
      </c>
      <c r="H2" s="89">
        <v>0.5</v>
      </c>
      <c r="I2" s="72" t="s">
        <v>242</v>
      </c>
    </row>
    <row r="3" spans="1:10" ht="15" customHeight="1" x14ac:dyDescent="0.3">
      <c r="A3" s="72">
        <v>1</v>
      </c>
      <c r="B3" s="88">
        <v>44689.401099537034</v>
      </c>
      <c r="C3" s="88">
        <v>44689.401226851849</v>
      </c>
      <c r="D3" s="72" t="s">
        <v>233</v>
      </c>
      <c r="E3" s="72" t="s">
        <v>232</v>
      </c>
      <c r="F3" s="72" t="s">
        <v>237</v>
      </c>
      <c r="G3" s="73">
        <v>44689</v>
      </c>
      <c r="H3" s="89">
        <v>0.5</v>
      </c>
      <c r="I3" s="72" t="s">
        <v>247</v>
      </c>
    </row>
    <row r="4" spans="1:10" ht="15" hidden="1" customHeight="1" x14ac:dyDescent="0.3">
      <c r="A4" s="72">
        <v>2</v>
      </c>
      <c r="B4" s="88">
        <v>44689.401516203703</v>
      </c>
      <c r="C4" s="88">
        <v>44689.401944444442</v>
      </c>
      <c r="D4" s="72" t="s">
        <v>233</v>
      </c>
      <c r="E4" s="72" t="s">
        <v>232</v>
      </c>
      <c r="F4" s="72" t="s">
        <v>237</v>
      </c>
      <c r="G4" s="73">
        <v>44690</v>
      </c>
      <c r="H4" s="89">
        <v>1</v>
      </c>
      <c r="I4" s="72" t="s">
        <v>244</v>
      </c>
      <c r="J4" s="72" t="s">
        <v>257</v>
      </c>
    </row>
    <row r="5" spans="1:10" ht="15" hidden="1" customHeight="1" x14ac:dyDescent="0.3">
      <c r="A5" s="72">
        <v>4</v>
      </c>
      <c r="B5" s="88">
        <v>44695.544907407406</v>
      </c>
      <c r="C5" s="88">
        <v>44695.545127314814</v>
      </c>
      <c r="D5" s="72" t="s">
        <v>233</v>
      </c>
      <c r="E5" s="72" t="s">
        <v>232</v>
      </c>
      <c r="F5" s="72" t="s">
        <v>237</v>
      </c>
      <c r="G5" s="73">
        <v>44695</v>
      </c>
      <c r="H5" s="89">
        <v>1</v>
      </c>
      <c r="I5" s="72" t="s">
        <v>256</v>
      </c>
    </row>
    <row r="6" spans="1:10" ht="15" customHeight="1" x14ac:dyDescent="0.3">
      <c r="A6" s="72">
        <v>5</v>
      </c>
      <c r="B6" s="88">
        <v>44695.54515046296</v>
      </c>
      <c r="C6" s="88">
        <v>44695.545393518521</v>
      </c>
      <c r="D6" s="72" t="s">
        <v>233</v>
      </c>
      <c r="E6" s="72" t="s">
        <v>232</v>
      </c>
      <c r="F6" s="72" t="s">
        <v>237</v>
      </c>
      <c r="G6" s="73">
        <v>44695</v>
      </c>
      <c r="H6" s="89">
        <v>0.5</v>
      </c>
      <c r="I6" s="72" t="s">
        <v>247</v>
      </c>
    </row>
    <row r="7" spans="1:10" ht="15" hidden="1" customHeight="1" x14ac:dyDescent="0.3">
      <c r="A7" s="72">
        <v>6</v>
      </c>
      <c r="B7" s="88">
        <v>44698.282812500001</v>
      </c>
      <c r="C7" s="88">
        <v>44698.282939814817</v>
      </c>
      <c r="D7" s="72" t="s">
        <v>233</v>
      </c>
      <c r="E7" s="72" t="s">
        <v>232</v>
      </c>
      <c r="F7" s="72" t="s">
        <v>237</v>
      </c>
      <c r="G7" s="73">
        <v>44698</v>
      </c>
      <c r="H7" s="89">
        <v>1</v>
      </c>
      <c r="I7" s="72" t="s">
        <v>242</v>
      </c>
    </row>
    <row r="8" spans="1:10" ht="15" hidden="1" customHeight="1" x14ac:dyDescent="0.3">
      <c r="A8" s="72">
        <v>7</v>
      </c>
      <c r="B8" s="88">
        <v>44699.553113425929</v>
      </c>
      <c r="C8" s="88">
        <v>44699.553287037037</v>
      </c>
      <c r="D8" s="72" t="s">
        <v>233</v>
      </c>
      <c r="E8" s="72" t="s">
        <v>232</v>
      </c>
      <c r="F8" s="72" t="s">
        <v>237</v>
      </c>
      <c r="G8" s="73">
        <v>44699</v>
      </c>
      <c r="H8" s="89">
        <v>1</v>
      </c>
      <c r="I8" s="72" t="s">
        <v>236</v>
      </c>
    </row>
    <row r="9" spans="1:10" ht="15" hidden="1" customHeight="1" x14ac:dyDescent="0.3">
      <c r="A9" s="72">
        <v>8</v>
      </c>
      <c r="B9" s="88">
        <v>44701.735567129632</v>
      </c>
      <c r="C9" s="88">
        <v>44701.735613425924</v>
      </c>
      <c r="D9" s="72" t="s">
        <v>233</v>
      </c>
      <c r="E9" s="72" t="s">
        <v>232</v>
      </c>
      <c r="F9" s="72" t="s">
        <v>237</v>
      </c>
      <c r="G9" s="73">
        <v>44701</v>
      </c>
      <c r="H9" s="89">
        <v>0.25</v>
      </c>
      <c r="I9" s="72" t="s">
        <v>250</v>
      </c>
    </row>
    <row r="10" spans="1:10" ht="15" hidden="1" customHeight="1" x14ac:dyDescent="0.3">
      <c r="A10" s="72">
        <v>10</v>
      </c>
      <c r="B10" s="88">
        <v>44706.531921296293</v>
      </c>
      <c r="C10" s="88">
        <v>44706.532094907408</v>
      </c>
      <c r="D10" s="72" t="s">
        <v>233</v>
      </c>
      <c r="E10" s="72" t="s">
        <v>232</v>
      </c>
      <c r="F10" s="72" t="s">
        <v>237</v>
      </c>
      <c r="G10" s="73">
        <v>44706</v>
      </c>
      <c r="H10" s="89">
        <v>0.75</v>
      </c>
      <c r="I10" s="72" t="s">
        <v>250</v>
      </c>
    </row>
    <row r="11" spans="1:10" ht="15" hidden="1" customHeight="1" x14ac:dyDescent="0.3">
      <c r="A11" s="72">
        <v>9</v>
      </c>
      <c r="B11" s="88">
        <v>44706.529965277776</v>
      </c>
      <c r="C11" s="88">
        <v>44706.531759259262</v>
      </c>
      <c r="D11" s="72" t="s">
        <v>233</v>
      </c>
      <c r="E11" s="72" t="s">
        <v>232</v>
      </c>
      <c r="F11" s="72" t="s">
        <v>237</v>
      </c>
      <c r="G11" s="73">
        <v>44706</v>
      </c>
      <c r="H11" s="89">
        <v>1</v>
      </c>
      <c r="I11" s="72" t="s">
        <v>255</v>
      </c>
    </row>
    <row r="12" spans="1:10" ht="15" hidden="1" customHeight="1" x14ac:dyDescent="0.3">
      <c r="A12" s="72">
        <v>11</v>
      </c>
      <c r="B12" s="88">
        <v>44706.573206018518</v>
      </c>
      <c r="C12" s="88">
        <v>44706.57340277778</v>
      </c>
      <c r="D12" s="72" t="s">
        <v>233</v>
      </c>
      <c r="E12" s="72" t="s">
        <v>232</v>
      </c>
      <c r="F12" s="72" t="s">
        <v>237</v>
      </c>
      <c r="G12" s="73">
        <v>44706</v>
      </c>
      <c r="H12" s="89">
        <v>0.75</v>
      </c>
      <c r="I12" s="72" t="s">
        <v>254</v>
      </c>
    </row>
    <row r="13" spans="1:10" ht="15" hidden="1" customHeight="1" x14ac:dyDescent="0.3">
      <c r="A13" s="72">
        <v>13</v>
      </c>
      <c r="B13" s="88">
        <v>44708.788668981484</v>
      </c>
      <c r="C13" s="88">
        <v>44708.788807870369</v>
      </c>
      <c r="D13" s="72" t="s">
        <v>233</v>
      </c>
      <c r="E13" s="72" t="s">
        <v>232</v>
      </c>
      <c r="F13" s="72" t="s">
        <v>237</v>
      </c>
      <c r="G13" s="73">
        <v>44708</v>
      </c>
      <c r="H13" s="89">
        <v>1</v>
      </c>
      <c r="I13" s="72" t="s">
        <v>236</v>
      </c>
    </row>
    <row r="14" spans="1:10" ht="15" customHeight="1" x14ac:dyDescent="0.3">
      <c r="A14" s="72">
        <v>12</v>
      </c>
      <c r="B14" s="88">
        <v>44708.229409722226</v>
      </c>
      <c r="C14" s="88">
        <v>44708.229618055557</v>
      </c>
      <c r="D14" s="72" t="s">
        <v>233</v>
      </c>
      <c r="E14" s="72" t="s">
        <v>232</v>
      </c>
      <c r="F14" s="84" t="s">
        <v>237</v>
      </c>
      <c r="G14" s="91">
        <v>44708</v>
      </c>
      <c r="H14" s="90">
        <v>0.75</v>
      </c>
      <c r="I14" s="72" t="s">
        <v>247</v>
      </c>
    </row>
    <row r="15" spans="1:10" ht="15" hidden="1" customHeight="1" x14ac:dyDescent="0.3">
      <c r="A15" s="72">
        <v>14</v>
      </c>
      <c r="B15" s="88">
        <v>44715.717083333337</v>
      </c>
      <c r="C15" s="88">
        <v>44715.717210648145</v>
      </c>
      <c r="D15" s="72" t="s">
        <v>233</v>
      </c>
      <c r="E15" s="72" t="s">
        <v>232</v>
      </c>
      <c r="F15" s="72" t="s">
        <v>237</v>
      </c>
      <c r="G15" s="73">
        <v>44714</v>
      </c>
      <c r="H15" s="89">
        <v>0.75</v>
      </c>
      <c r="I15" s="72" t="s">
        <v>253</v>
      </c>
    </row>
    <row r="16" spans="1:10" ht="15" hidden="1" customHeight="1" x14ac:dyDescent="0.3">
      <c r="A16" s="72">
        <v>16</v>
      </c>
      <c r="B16" s="88">
        <v>44715.719351851854</v>
      </c>
      <c r="C16" s="88">
        <v>44715.719467592593</v>
      </c>
      <c r="D16" s="72" t="s">
        <v>233</v>
      </c>
      <c r="E16" s="72" t="s">
        <v>232</v>
      </c>
      <c r="F16" s="72" t="s">
        <v>237</v>
      </c>
      <c r="G16" s="73">
        <v>44715</v>
      </c>
      <c r="H16" s="89">
        <v>1</v>
      </c>
      <c r="I16" s="72" t="s">
        <v>236</v>
      </c>
    </row>
    <row r="17" spans="1:10" ht="15" customHeight="1" x14ac:dyDescent="0.3">
      <c r="A17" s="72">
        <v>15</v>
      </c>
      <c r="B17" s="88">
        <v>44715.717222222222</v>
      </c>
      <c r="C17" s="88">
        <v>44715.717453703706</v>
      </c>
      <c r="D17" s="72" t="s">
        <v>233</v>
      </c>
      <c r="E17" s="72" t="s">
        <v>232</v>
      </c>
      <c r="F17" s="84" t="s">
        <v>237</v>
      </c>
      <c r="G17" s="91">
        <v>44715</v>
      </c>
      <c r="H17" s="90">
        <v>0.75</v>
      </c>
      <c r="I17" s="72" t="s">
        <v>247</v>
      </c>
    </row>
    <row r="18" spans="1:10" ht="15" hidden="1" customHeight="1" x14ac:dyDescent="0.3">
      <c r="A18" s="72">
        <v>17</v>
      </c>
      <c r="B18" s="88">
        <v>44715.730578703704</v>
      </c>
      <c r="C18" s="88">
        <v>44715.730717592596</v>
      </c>
      <c r="D18" s="72" t="s">
        <v>233</v>
      </c>
      <c r="E18" s="72" t="s">
        <v>232</v>
      </c>
      <c r="F18" s="72" t="s">
        <v>237</v>
      </c>
      <c r="G18" s="73">
        <v>44717</v>
      </c>
      <c r="H18" s="89">
        <v>1</v>
      </c>
      <c r="I18" s="72" t="s">
        <v>250</v>
      </c>
    </row>
    <row r="19" spans="1:10" ht="15" customHeight="1" x14ac:dyDescent="0.3">
      <c r="A19" s="72">
        <v>19</v>
      </c>
      <c r="B19" s="88">
        <v>44722.76766203704</v>
      </c>
      <c r="C19" s="88">
        <v>44722.767824074072</v>
      </c>
      <c r="D19" s="72" t="s">
        <v>233</v>
      </c>
      <c r="E19" s="72" t="s">
        <v>232</v>
      </c>
      <c r="F19" s="84" t="s">
        <v>237</v>
      </c>
      <c r="G19" s="91">
        <v>44722</v>
      </c>
      <c r="H19" s="90">
        <v>0.75</v>
      </c>
      <c r="I19" s="72" t="s">
        <v>247</v>
      </c>
    </row>
    <row r="20" spans="1:10" x14ac:dyDescent="0.3">
      <c r="A20" s="72">
        <v>21</v>
      </c>
      <c r="B20" s="88">
        <v>44730.49523148148</v>
      </c>
      <c r="C20" s="88">
        <v>44730.495347222219</v>
      </c>
      <c r="D20" s="72" t="s">
        <v>233</v>
      </c>
      <c r="E20" s="72" t="s">
        <v>232</v>
      </c>
      <c r="F20" s="72" t="s">
        <v>237</v>
      </c>
      <c r="G20" s="73">
        <v>44730</v>
      </c>
      <c r="H20" s="90">
        <v>0.75</v>
      </c>
      <c r="I20" s="72" t="s">
        <v>247</v>
      </c>
    </row>
    <row r="21" spans="1:10" x14ac:dyDescent="0.3">
      <c r="A21" s="72">
        <v>22</v>
      </c>
      <c r="B21" s="88">
        <v>44731.614976851852</v>
      </c>
      <c r="C21" s="88">
        <v>44731.615081018521</v>
      </c>
      <c r="D21" s="72" t="s">
        <v>233</v>
      </c>
      <c r="E21" s="72" t="s">
        <v>232</v>
      </c>
      <c r="F21" s="72" t="s">
        <v>237</v>
      </c>
      <c r="G21" s="73">
        <v>44731</v>
      </c>
      <c r="H21" s="90">
        <v>0.75</v>
      </c>
      <c r="I21" s="72" t="s">
        <v>247</v>
      </c>
    </row>
    <row r="22" spans="1:10" x14ac:dyDescent="0.3">
      <c r="A22" s="72">
        <v>26</v>
      </c>
      <c r="B22" s="88">
        <v>44736.541932870372</v>
      </c>
      <c r="C22" s="88">
        <v>44736.542060185187</v>
      </c>
      <c r="D22" s="72" t="s">
        <v>233</v>
      </c>
      <c r="E22" s="72" t="s">
        <v>232</v>
      </c>
      <c r="F22" s="72" t="s">
        <v>237</v>
      </c>
      <c r="G22" s="73">
        <v>44737</v>
      </c>
      <c r="H22" s="90">
        <v>0.75</v>
      </c>
      <c r="I22" s="72" t="s">
        <v>247</v>
      </c>
    </row>
    <row r="23" spans="1:10" x14ac:dyDescent="0.3">
      <c r="A23" s="72">
        <v>28</v>
      </c>
      <c r="B23" s="88">
        <v>44742.449236111112</v>
      </c>
      <c r="C23" s="88">
        <v>44742.449664351851</v>
      </c>
      <c r="D23" s="72" t="s">
        <v>233</v>
      </c>
      <c r="E23" s="72" t="s">
        <v>232</v>
      </c>
      <c r="F23" s="72" t="s">
        <v>237</v>
      </c>
      <c r="G23" s="73">
        <v>44743</v>
      </c>
      <c r="H23" s="90">
        <v>0.75</v>
      </c>
      <c r="I23" s="72" t="s">
        <v>247</v>
      </c>
    </row>
    <row r="24" spans="1:10" x14ac:dyDescent="0.3">
      <c r="A24" s="72">
        <v>33</v>
      </c>
      <c r="B24" s="88">
        <v>44755.322384259256</v>
      </c>
      <c r="C24" s="88">
        <v>44755.322546296295</v>
      </c>
      <c r="D24" s="72" t="s">
        <v>233</v>
      </c>
      <c r="E24" s="72" t="s">
        <v>232</v>
      </c>
      <c r="F24" s="72" t="s">
        <v>237</v>
      </c>
      <c r="G24" s="73">
        <v>44755</v>
      </c>
      <c r="H24" s="90">
        <v>0.75</v>
      </c>
      <c r="I24" s="72" t="s">
        <v>247</v>
      </c>
      <c r="J24" s="72" t="s">
        <v>252</v>
      </c>
    </row>
    <row r="25" spans="1:10" hidden="1" x14ac:dyDescent="0.3">
      <c r="A25" s="72">
        <v>24</v>
      </c>
      <c r="B25" s="88">
        <v>44736.299120370371</v>
      </c>
      <c r="C25" s="88">
        <v>44736.299305555556</v>
      </c>
      <c r="D25" s="72" t="s">
        <v>233</v>
      </c>
      <c r="E25" s="72" t="s">
        <v>232</v>
      </c>
      <c r="F25" s="72" t="s">
        <v>237</v>
      </c>
      <c r="G25" s="73">
        <v>44734</v>
      </c>
      <c r="H25" s="89">
        <v>0.75</v>
      </c>
      <c r="I25" s="72" t="s">
        <v>250</v>
      </c>
    </row>
    <row r="26" spans="1:10" hidden="1" x14ac:dyDescent="0.3">
      <c r="A26" s="72">
        <v>25</v>
      </c>
      <c r="B26" s="88">
        <v>44736.541678240741</v>
      </c>
      <c r="C26" s="88">
        <v>44736.541886574072</v>
      </c>
      <c r="D26" s="72" t="s">
        <v>233</v>
      </c>
      <c r="E26" s="72" t="s">
        <v>232</v>
      </c>
      <c r="F26" s="72" t="s">
        <v>237</v>
      </c>
      <c r="G26" s="73">
        <v>44736</v>
      </c>
      <c r="H26" s="89">
        <v>1</v>
      </c>
      <c r="I26" s="72" t="s">
        <v>236</v>
      </c>
    </row>
    <row r="27" spans="1:10" x14ac:dyDescent="0.3">
      <c r="A27" s="72">
        <v>34</v>
      </c>
      <c r="B27" s="88">
        <v>44757.590381944443</v>
      </c>
      <c r="C27" s="88">
        <v>44757.590509259258</v>
      </c>
      <c r="D27" s="72" t="s">
        <v>233</v>
      </c>
      <c r="E27" s="72" t="s">
        <v>232</v>
      </c>
      <c r="F27" s="72" t="s">
        <v>237</v>
      </c>
      <c r="G27" s="73">
        <v>44757</v>
      </c>
      <c r="H27" s="90">
        <v>0.75</v>
      </c>
      <c r="I27" s="72" t="s">
        <v>247</v>
      </c>
    </row>
    <row r="28" spans="1:10" x14ac:dyDescent="0.3">
      <c r="A28" s="72">
        <v>36</v>
      </c>
      <c r="B28" s="88">
        <v>44764.672002314815</v>
      </c>
      <c r="C28" s="88">
        <v>44764.672129629631</v>
      </c>
      <c r="D28" s="72" t="s">
        <v>233</v>
      </c>
      <c r="E28" s="72" t="s">
        <v>232</v>
      </c>
      <c r="F28" s="72" t="s">
        <v>237</v>
      </c>
      <c r="G28" s="73">
        <v>44764</v>
      </c>
      <c r="H28" s="90">
        <v>0.75</v>
      </c>
      <c r="I28" s="72" t="s">
        <v>247</v>
      </c>
    </row>
    <row r="29" spans="1:10" ht="15" customHeight="1" x14ac:dyDescent="0.3">
      <c r="A29" s="72">
        <v>39</v>
      </c>
      <c r="B29" s="88">
        <v>44771.767951388887</v>
      </c>
      <c r="C29" s="88">
        <v>44771.768263888887</v>
      </c>
      <c r="D29" s="72" t="s">
        <v>233</v>
      </c>
      <c r="E29" s="72" t="s">
        <v>232</v>
      </c>
      <c r="F29" s="72" t="s">
        <v>237</v>
      </c>
      <c r="G29" s="73">
        <v>44771</v>
      </c>
      <c r="H29" s="90">
        <v>0.75</v>
      </c>
      <c r="I29" s="72" t="s">
        <v>247</v>
      </c>
    </row>
    <row r="30" spans="1:10" x14ac:dyDescent="0.3">
      <c r="A30" s="72">
        <v>41</v>
      </c>
      <c r="B30" s="88">
        <v>44774.338333333333</v>
      </c>
      <c r="C30" s="88">
        <v>44774.338506944441</v>
      </c>
      <c r="D30" s="72" t="s">
        <v>233</v>
      </c>
      <c r="E30" s="72" t="s">
        <v>232</v>
      </c>
      <c r="F30" s="72" t="s">
        <v>237</v>
      </c>
      <c r="G30" s="73">
        <v>44773</v>
      </c>
      <c r="H30" s="90">
        <v>0.75</v>
      </c>
      <c r="I30" s="72" t="s">
        <v>247</v>
      </c>
    </row>
    <row r="31" spans="1:10" ht="15.75" hidden="1" customHeight="1" x14ac:dyDescent="0.3">
      <c r="A31" s="72">
        <v>31</v>
      </c>
      <c r="B31" s="88">
        <v>44748.511064814818</v>
      </c>
      <c r="C31" s="88">
        <v>44748.511319444442</v>
      </c>
      <c r="D31" s="72" t="s">
        <v>233</v>
      </c>
      <c r="E31" s="72" t="s">
        <v>232</v>
      </c>
      <c r="F31" s="72" t="s">
        <v>237</v>
      </c>
      <c r="G31" s="73">
        <v>44748</v>
      </c>
      <c r="H31" s="89">
        <v>2</v>
      </c>
      <c r="I31" s="72" t="s">
        <v>244</v>
      </c>
      <c r="J31" s="72" t="s">
        <v>251</v>
      </c>
    </row>
    <row r="32" spans="1:10" ht="18.75" hidden="1" customHeight="1" x14ac:dyDescent="0.3">
      <c r="A32" s="72">
        <v>30</v>
      </c>
      <c r="B32" s="88">
        <v>44747.6325</v>
      </c>
      <c r="C32" s="88">
        <v>44747.632604166669</v>
      </c>
      <c r="D32" s="72" t="s">
        <v>233</v>
      </c>
      <c r="E32" s="72" t="s">
        <v>232</v>
      </c>
      <c r="F32" s="72" t="s">
        <v>237</v>
      </c>
      <c r="G32" s="73">
        <v>44749</v>
      </c>
      <c r="H32" s="89">
        <v>1</v>
      </c>
      <c r="I32" s="72" t="s">
        <v>250</v>
      </c>
    </row>
    <row r="33" spans="1:10" hidden="1" x14ac:dyDescent="0.3">
      <c r="A33" s="72">
        <v>32</v>
      </c>
      <c r="B33" s="88">
        <v>44754.728993055556</v>
      </c>
      <c r="C33" s="88">
        <v>44754.729178240741</v>
      </c>
      <c r="D33" s="72" t="s">
        <v>233</v>
      </c>
      <c r="E33" s="72" t="s">
        <v>232</v>
      </c>
      <c r="F33" s="72" t="s">
        <v>237</v>
      </c>
      <c r="G33" s="73">
        <v>44754</v>
      </c>
      <c r="H33" s="89">
        <v>1.25</v>
      </c>
      <c r="I33" s="72" t="s">
        <v>236</v>
      </c>
    </row>
    <row r="34" spans="1:10" x14ac:dyDescent="0.3">
      <c r="A34" s="72">
        <v>42</v>
      </c>
      <c r="B34" s="88">
        <v>44781.295162037037</v>
      </c>
      <c r="C34" s="88">
        <v>44781.295312499999</v>
      </c>
      <c r="D34" s="72" t="s">
        <v>233</v>
      </c>
      <c r="E34" s="72" t="s">
        <v>232</v>
      </c>
      <c r="F34" s="72" t="s">
        <v>237</v>
      </c>
      <c r="G34" s="73">
        <v>44781</v>
      </c>
      <c r="H34" s="90">
        <v>0.75</v>
      </c>
      <c r="I34" s="72" t="s">
        <v>247</v>
      </c>
      <c r="J34" s="72" t="s">
        <v>249</v>
      </c>
    </row>
    <row r="35" spans="1:10" x14ac:dyDescent="0.3">
      <c r="A35" s="72">
        <v>43</v>
      </c>
      <c r="B35" s="88">
        <v>44788.247546296298</v>
      </c>
      <c r="C35" s="88">
        <v>44788.247731481482</v>
      </c>
      <c r="D35" s="72" t="s">
        <v>233</v>
      </c>
      <c r="E35" s="72" t="s">
        <v>232</v>
      </c>
      <c r="F35" s="72" t="s">
        <v>237</v>
      </c>
      <c r="G35" s="73">
        <v>44788</v>
      </c>
      <c r="H35" s="90">
        <v>0.75</v>
      </c>
      <c r="I35" s="72" t="s">
        <v>247</v>
      </c>
      <c r="J35" s="72" t="s">
        <v>248</v>
      </c>
    </row>
    <row r="36" spans="1:10" x14ac:dyDescent="0.3">
      <c r="A36" s="72">
        <v>46</v>
      </c>
      <c r="B36" s="88">
        <v>44789.365219907406</v>
      </c>
      <c r="C36" s="88">
        <v>44789.365324074075</v>
      </c>
      <c r="D36" s="72" t="s">
        <v>233</v>
      </c>
      <c r="E36" s="72" t="s">
        <v>232</v>
      </c>
      <c r="F36" s="72" t="s">
        <v>237</v>
      </c>
      <c r="G36" s="73">
        <v>44789</v>
      </c>
      <c r="H36" s="90">
        <v>0.75</v>
      </c>
      <c r="I36" s="72" t="s">
        <v>247</v>
      </c>
      <c r="J36" s="72" t="s">
        <v>246</v>
      </c>
    </row>
    <row r="37" spans="1:10" x14ac:dyDescent="0.3">
      <c r="A37" s="72">
        <v>18</v>
      </c>
      <c r="B37" s="88">
        <v>44719.66741898148</v>
      </c>
      <c r="C37" s="88">
        <v>44719.667638888888</v>
      </c>
      <c r="D37" s="72" t="s">
        <v>233</v>
      </c>
      <c r="E37" s="72" t="s">
        <v>232</v>
      </c>
      <c r="F37" s="72" t="s">
        <v>231</v>
      </c>
      <c r="G37" s="73">
        <v>44719</v>
      </c>
      <c r="H37" s="89">
        <v>0.75</v>
      </c>
      <c r="I37" s="72" t="s">
        <v>245</v>
      </c>
    </row>
    <row r="38" spans="1:10" hidden="1" x14ac:dyDescent="0.3">
      <c r="A38" s="72">
        <v>37</v>
      </c>
      <c r="B38" s="88">
        <v>44767.286030092589</v>
      </c>
      <c r="C38" s="88">
        <v>44767.28638888889</v>
      </c>
      <c r="D38" s="72" t="s">
        <v>233</v>
      </c>
      <c r="E38" s="72" t="s">
        <v>232</v>
      </c>
      <c r="F38" s="72" t="s">
        <v>237</v>
      </c>
      <c r="G38" s="73">
        <v>44767</v>
      </c>
      <c r="H38" s="89">
        <v>2</v>
      </c>
      <c r="I38" s="72" t="s">
        <v>244</v>
      </c>
      <c r="J38" s="72" t="s">
        <v>243</v>
      </c>
    </row>
    <row r="39" spans="1:10" hidden="1" x14ac:dyDescent="0.3">
      <c r="A39" s="72">
        <v>38</v>
      </c>
      <c r="B39" s="88">
        <v>44767.385335648149</v>
      </c>
      <c r="C39" s="88">
        <v>44767.386053240742</v>
      </c>
      <c r="D39" s="72" t="s">
        <v>233</v>
      </c>
      <c r="E39" s="72" t="s">
        <v>232</v>
      </c>
      <c r="F39" s="72" t="s">
        <v>237</v>
      </c>
      <c r="G39" s="73">
        <v>44767</v>
      </c>
      <c r="H39" s="89">
        <v>1.2</v>
      </c>
      <c r="I39" s="72" t="s">
        <v>242</v>
      </c>
    </row>
    <row r="40" spans="1:10" x14ac:dyDescent="0.3">
      <c r="A40" s="72">
        <v>20</v>
      </c>
      <c r="B40" s="88">
        <v>44727.652777777781</v>
      </c>
      <c r="C40" s="88">
        <v>44727.653055555558</v>
      </c>
      <c r="D40" s="72" t="s">
        <v>233</v>
      </c>
      <c r="E40" s="72" t="s">
        <v>232</v>
      </c>
      <c r="F40" s="72" t="s">
        <v>231</v>
      </c>
      <c r="G40" s="73">
        <v>44726</v>
      </c>
      <c r="H40" s="89">
        <v>2.5</v>
      </c>
      <c r="I40" s="72" t="s">
        <v>234</v>
      </c>
    </row>
    <row r="41" spans="1:10" hidden="1" x14ac:dyDescent="0.3">
      <c r="A41" s="72">
        <v>40</v>
      </c>
      <c r="B41" s="88">
        <v>44771.768321759257</v>
      </c>
      <c r="C41" s="88">
        <v>44771.768437500003</v>
      </c>
      <c r="D41" s="72" t="s">
        <v>233</v>
      </c>
      <c r="E41" s="72" t="s">
        <v>232</v>
      </c>
      <c r="F41" s="72" t="s">
        <v>237</v>
      </c>
      <c r="G41" s="73">
        <v>44772</v>
      </c>
      <c r="H41" s="89">
        <v>1.2</v>
      </c>
      <c r="I41" s="72" t="s">
        <v>242</v>
      </c>
    </row>
    <row r="42" spans="1:10" x14ac:dyDescent="0.3">
      <c r="A42" s="72">
        <v>23</v>
      </c>
      <c r="B42" s="88">
        <v>44733.804803240739</v>
      </c>
      <c r="C42" s="88">
        <v>44733.805127314816</v>
      </c>
      <c r="D42" s="72" t="s">
        <v>233</v>
      </c>
      <c r="E42" s="72" t="s">
        <v>232</v>
      </c>
      <c r="F42" s="72" t="s">
        <v>231</v>
      </c>
      <c r="G42" s="73">
        <v>44732</v>
      </c>
      <c r="H42" s="89">
        <v>0.75</v>
      </c>
      <c r="I42" s="72" t="s">
        <v>241</v>
      </c>
    </row>
    <row r="43" spans="1:10" x14ac:dyDescent="0.3">
      <c r="A43" s="72">
        <v>27</v>
      </c>
      <c r="B43" s="88">
        <v>44737.395833333336</v>
      </c>
      <c r="C43" s="88">
        <v>44737.396111111113</v>
      </c>
      <c r="D43" s="72" t="s">
        <v>233</v>
      </c>
      <c r="E43" s="72" t="s">
        <v>232</v>
      </c>
      <c r="F43" s="72" t="s">
        <v>231</v>
      </c>
      <c r="G43" s="73">
        <v>44737</v>
      </c>
      <c r="H43" s="89">
        <v>0.25</v>
      </c>
      <c r="I43" s="72" t="s">
        <v>241</v>
      </c>
    </row>
    <row r="44" spans="1:10" x14ac:dyDescent="0.3">
      <c r="A44" s="72">
        <v>29</v>
      </c>
      <c r="B44" s="88">
        <v>44746.708518518521</v>
      </c>
      <c r="C44" s="88">
        <v>44746.708738425928</v>
      </c>
      <c r="D44" s="72" t="s">
        <v>233</v>
      </c>
      <c r="E44" s="72" t="s">
        <v>232</v>
      </c>
      <c r="F44" s="72" t="s">
        <v>231</v>
      </c>
      <c r="G44" s="73">
        <v>44746</v>
      </c>
      <c r="H44" s="89">
        <v>2</v>
      </c>
      <c r="I44" s="72" t="s">
        <v>241</v>
      </c>
    </row>
    <row r="45" spans="1:10" hidden="1" x14ac:dyDescent="0.3">
      <c r="A45" s="72">
        <v>44</v>
      </c>
      <c r="B45" s="88">
        <v>44788.790821759256</v>
      </c>
      <c r="C45" s="88">
        <v>44788.791504629633</v>
      </c>
      <c r="D45" s="72" t="s">
        <v>240</v>
      </c>
      <c r="E45" s="72" t="s">
        <v>239</v>
      </c>
      <c r="F45" s="72" t="s">
        <v>237</v>
      </c>
      <c r="G45" s="73">
        <v>44789</v>
      </c>
      <c r="H45" s="89">
        <v>1.5</v>
      </c>
      <c r="I45" s="72" t="s">
        <v>236</v>
      </c>
      <c r="J45" s="72" t="s">
        <v>238</v>
      </c>
    </row>
    <row r="46" spans="1:10" hidden="1" x14ac:dyDescent="0.3">
      <c r="A46" s="72">
        <v>45</v>
      </c>
      <c r="B46" s="88">
        <v>44789.364837962959</v>
      </c>
      <c r="C46" s="88">
        <v>44789.365057870367</v>
      </c>
      <c r="D46" s="72" t="s">
        <v>233</v>
      </c>
      <c r="E46" s="72" t="s">
        <v>232</v>
      </c>
      <c r="F46" s="72" t="s">
        <v>237</v>
      </c>
      <c r="G46" s="73">
        <v>44789</v>
      </c>
      <c r="H46" s="89">
        <v>1.25</v>
      </c>
      <c r="I46" s="72" t="s">
        <v>236</v>
      </c>
      <c r="J46" s="72" t="s">
        <v>235</v>
      </c>
    </row>
    <row r="47" spans="1:10" x14ac:dyDescent="0.3">
      <c r="A47" s="72">
        <v>35</v>
      </c>
      <c r="B47" s="88">
        <v>44761.604062500002</v>
      </c>
      <c r="C47" s="88">
        <v>44761.604270833333</v>
      </c>
      <c r="D47" s="72" t="s">
        <v>233</v>
      </c>
      <c r="E47" s="72" t="s">
        <v>232</v>
      </c>
      <c r="F47" s="72" t="s">
        <v>231</v>
      </c>
      <c r="G47" s="73">
        <v>44760</v>
      </c>
      <c r="H47" s="89">
        <v>0.75</v>
      </c>
      <c r="I47" s="72" t="s">
        <v>234</v>
      </c>
    </row>
    <row r="48" spans="1:10" x14ac:dyDescent="0.3">
      <c r="A48" s="72">
        <v>47</v>
      </c>
      <c r="B48" s="88">
        <v>44798.80097222222</v>
      </c>
      <c r="C48" s="88">
        <v>44798.801226851851</v>
      </c>
      <c r="D48" s="72" t="s">
        <v>233</v>
      </c>
      <c r="E48" s="72" t="s">
        <v>232</v>
      </c>
      <c r="F48" s="72" t="s">
        <v>231</v>
      </c>
      <c r="G48" s="73">
        <v>44798</v>
      </c>
      <c r="H48" s="89">
        <v>1</v>
      </c>
      <c r="I48" s="72" t="s">
        <v>230</v>
      </c>
    </row>
    <row r="49" spans="1:10" x14ac:dyDescent="0.3">
      <c r="A49" s="95"/>
      <c r="B49" s="96"/>
      <c r="C49" s="96"/>
      <c r="D49" s="95"/>
      <c r="E49" s="95"/>
      <c r="F49" s="95"/>
      <c r="G49" s="97"/>
      <c r="H49" s="95"/>
      <c r="I49" s="95"/>
      <c r="J49" s="95"/>
    </row>
    <row r="51" spans="1:10" x14ac:dyDescent="0.3">
      <c r="G51" s="87"/>
    </row>
    <row r="53" spans="1:10" ht="15" thickBot="1" x14ac:dyDescent="0.35"/>
    <row r="54" spans="1:10" ht="15" thickBot="1" x14ac:dyDescent="0.35">
      <c r="B54" s="86" t="s">
        <v>229</v>
      </c>
      <c r="C54" s="85" t="s">
        <v>228</v>
      </c>
    </row>
    <row r="55" spans="1:10" ht="15" thickBot="1" x14ac:dyDescent="0.35">
      <c r="B55" s="84"/>
      <c r="C55" s="84"/>
    </row>
    <row r="56" spans="1:10" x14ac:dyDescent="0.3">
      <c r="B56" s="83" t="s">
        <v>227</v>
      </c>
      <c r="C56" s="82" t="s">
        <v>226</v>
      </c>
      <c r="G56" s="72"/>
    </row>
    <row r="57" spans="1:10" x14ac:dyDescent="0.3">
      <c r="B57" s="77" t="s">
        <v>225</v>
      </c>
      <c r="C57" s="81" t="s">
        <v>224</v>
      </c>
      <c r="G57" s="72"/>
    </row>
    <row r="58" spans="1:10" ht="19.5" customHeight="1" x14ac:dyDescent="0.3">
      <c r="B58" s="77" t="s">
        <v>223</v>
      </c>
      <c r="C58" s="81" t="s">
        <v>222</v>
      </c>
      <c r="G58" s="72"/>
    </row>
    <row r="59" spans="1:10" x14ac:dyDescent="0.3">
      <c r="B59" s="79" t="s">
        <v>221</v>
      </c>
      <c r="C59" s="78" t="s">
        <v>207</v>
      </c>
      <c r="G59" s="72"/>
    </row>
    <row r="60" spans="1:10" x14ac:dyDescent="0.3">
      <c r="B60" s="77" t="s">
        <v>220</v>
      </c>
      <c r="C60" s="76" t="s">
        <v>219</v>
      </c>
      <c r="G60" s="72"/>
    </row>
    <row r="61" spans="1:10" x14ac:dyDescent="0.3">
      <c r="B61" s="79" t="s">
        <v>218</v>
      </c>
      <c r="C61" s="80" t="s">
        <v>217</v>
      </c>
      <c r="G61" s="72"/>
    </row>
    <row r="62" spans="1:10" x14ac:dyDescent="0.3">
      <c r="B62" s="77" t="s">
        <v>216</v>
      </c>
      <c r="C62" s="76" t="s">
        <v>203</v>
      </c>
      <c r="G62" s="72"/>
    </row>
    <row r="63" spans="1:10" x14ac:dyDescent="0.3">
      <c r="B63" s="79" t="s">
        <v>215</v>
      </c>
      <c r="C63" s="78" t="s">
        <v>213</v>
      </c>
      <c r="G63" s="72"/>
    </row>
    <row r="64" spans="1:10" x14ac:dyDescent="0.3">
      <c r="B64" s="77" t="s">
        <v>214</v>
      </c>
      <c r="C64" s="76" t="s">
        <v>213</v>
      </c>
      <c r="D64" s="72" t="s">
        <v>212</v>
      </c>
      <c r="G64" s="72"/>
    </row>
    <row r="65" spans="2:7" x14ac:dyDescent="0.3">
      <c r="B65" s="79" t="s">
        <v>211</v>
      </c>
      <c r="C65" s="78" t="s">
        <v>210</v>
      </c>
      <c r="D65" s="72" t="s">
        <v>209</v>
      </c>
      <c r="G65" s="72"/>
    </row>
    <row r="66" spans="2:7" x14ac:dyDescent="0.3">
      <c r="B66" s="77" t="s">
        <v>208</v>
      </c>
      <c r="C66" s="76" t="s">
        <v>207</v>
      </c>
      <c r="G66" s="72"/>
    </row>
    <row r="67" spans="2:7" x14ac:dyDescent="0.3">
      <c r="B67" s="79" t="s">
        <v>206</v>
      </c>
      <c r="C67" s="78" t="s">
        <v>205</v>
      </c>
      <c r="G67" s="72"/>
    </row>
    <row r="68" spans="2:7" x14ac:dyDescent="0.3">
      <c r="B68" s="77" t="s">
        <v>204</v>
      </c>
      <c r="C68" s="76" t="s">
        <v>203</v>
      </c>
      <c r="G68" s="72"/>
    </row>
    <row r="69" spans="2:7" x14ac:dyDescent="0.3">
      <c r="B69" s="77" t="s">
        <v>202</v>
      </c>
      <c r="C69" s="76" t="s">
        <v>201</v>
      </c>
      <c r="G69" s="72"/>
    </row>
    <row r="70" spans="2:7" ht="15" thickBot="1" x14ac:dyDescent="0.35">
      <c r="B70" s="75" t="s">
        <v>200</v>
      </c>
      <c r="C70" s="74" t="s">
        <v>199</v>
      </c>
      <c r="G70" s="72"/>
    </row>
    <row r="71" spans="2:7" x14ac:dyDescent="0.3">
      <c r="G71" s="72"/>
    </row>
    <row r="72" spans="2:7" x14ac:dyDescent="0.3">
      <c r="G72" s="72"/>
    </row>
    <row r="73" spans="2:7" x14ac:dyDescent="0.3">
      <c r="B73" s="72" t="s">
        <v>198</v>
      </c>
      <c r="E73" s="72" t="s">
        <v>197</v>
      </c>
      <c r="G73" s="72"/>
    </row>
    <row r="74" spans="2:7" x14ac:dyDescent="0.3">
      <c r="B74" s="72" t="s">
        <v>196</v>
      </c>
      <c r="E74" s="72">
        <v>1</v>
      </c>
      <c r="F74" s="72" t="s">
        <v>195</v>
      </c>
    </row>
    <row r="75" spans="2:7" x14ac:dyDescent="0.3">
      <c r="B75" s="72" t="s">
        <v>194</v>
      </c>
      <c r="E75" s="72">
        <v>4</v>
      </c>
      <c r="F75" s="72" t="s">
        <v>193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1CA3-BF85-4096-924B-3C57F4746F3D}">
  <sheetPr>
    <tabColor rgb="FFFFFF00"/>
  </sheetPr>
  <dimension ref="A1:F15"/>
  <sheetViews>
    <sheetView workbookViewId="0">
      <selection activeCell="F16" sqref="F16"/>
    </sheetView>
  </sheetViews>
  <sheetFormatPr defaultRowHeight="15.6" x14ac:dyDescent="0.3"/>
  <sheetData>
    <row r="1" spans="1:6" x14ac:dyDescent="0.3">
      <c r="A1" s="132">
        <v>0.75</v>
      </c>
    </row>
    <row r="2" spans="1:6" x14ac:dyDescent="0.3">
      <c r="A2" s="132">
        <v>0.75</v>
      </c>
    </row>
    <row r="3" spans="1:6" x14ac:dyDescent="0.3">
      <c r="A3" s="132">
        <v>0.75</v>
      </c>
    </row>
    <row r="4" spans="1:6" x14ac:dyDescent="0.3">
      <c r="A4" s="132">
        <v>0.75</v>
      </c>
    </row>
    <row r="5" spans="1:6" x14ac:dyDescent="0.3">
      <c r="A5" s="132">
        <v>0.75</v>
      </c>
    </row>
    <row r="6" spans="1:6" x14ac:dyDescent="0.3">
      <c r="A6" s="132">
        <v>0.75</v>
      </c>
    </row>
    <row r="7" spans="1:6" x14ac:dyDescent="0.3">
      <c r="A7" s="132">
        <v>0.75</v>
      </c>
    </row>
    <row r="8" spans="1:6" x14ac:dyDescent="0.3">
      <c r="A8" s="132">
        <v>0.75</v>
      </c>
    </row>
    <row r="9" spans="1:6" x14ac:dyDescent="0.3">
      <c r="A9" s="132">
        <v>0.75</v>
      </c>
    </row>
    <row r="10" spans="1:6" x14ac:dyDescent="0.3">
      <c r="A10" s="132">
        <v>0.75</v>
      </c>
    </row>
    <row r="11" spans="1:6" x14ac:dyDescent="0.3">
      <c r="A11" s="132">
        <v>0.75</v>
      </c>
    </row>
    <row r="12" spans="1:6" x14ac:dyDescent="0.3">
      <c r="A12" s="132">
        <v>0.75</v>
      </c>
    </row>
    <row r="13" spans="1:6" x14ac:dyDescent="0.3">
      <c r="A13" s="132">
        <v>0.75</v>
      </c>
    </row>
    <row r="14" spans="1:6" x14ac:dyDescent="0.3">
      <c r="A14" s="132">
        <v>0.75</v>
      </c>
    </row>
    <row r="15" spans="1:6" x14ac:dyDescent="0.3">
      <c r="A15" s="132">
        <v>0.75</v>
      </c>
      <c r="F15">
        <f>SUM(A1:A15)</f>
        <v>11.25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08AB-5DF4-4DE3-A171-B40224547F81}">
  <sheetPr>
    <tabColor rgb="FFFFFF00"/>
  </sheetPr>
  <dimension ref="A1:O113"/>
  <sheetViews>
    <sheetView workbookViewId="0">
      <selection activeCell="O1" activeCellId="3" sqref="A1:B1048576 C1:C1048576 F1:F1048576 O1:O1048576"/>
    </sheetView>
  </sheetViews>
  <sheetFormatPr defaultRowHeight="15.6" x14ac:dyDescent="0.3"/>
  <cols>
    <col min="1" max="1" width="25.8984375" bestFit="1" customWidth="1"/>
    <col min="2" max="2" width="13.19921875" bestFit="1" customWidth="1"/>
    <col min="3" max="8" width="8.59765625" bestFit="1" customWidth="1"/>
    <col min="9" max="9" width="19.69921875" customWidth="1"/>
    <col min="10" max="10" width="23.5" customWidth="1"/>
    <col min="11" max="11" width="8.59765625" bestFit="1" customWidth="1"/>
    <col min="12" max="12" width="8.69921875" bestFit="1" customWidth="1"/>
    <col min="13" max="13" width="27.59765625" bestFit="1" customWidth="1"/>
    <col min="14" max="14" width="28.3984375" customWidth="1"/>
    <col min="15" max="15" width="6.3984375" bestFit="1" customWidth="1"/>
  </cols>
  <sheetData>
    <row r="1" spans="1:15" s="69" customFormat="1" ht="109.2" x14ac:dyDescent="0.3">
      <c r="A1" s="69" t="s">
        <v>161</v>
      </c>
      <c r="B1" s="69" t="s">
        <v>162</v>
      </c>
      <c r="C1" s="94" t="s">
        <v>163</v>
      </c>
      <c r="D1" s="69" t="s">
        <v>164</v>
      </c>
      <c r="E1" s="69" t="s">
        <v>165</v>
      </c>
      <c r="F1" s="94" t="s">
        <v>166</v>
      </c>
      <c r="G1" s="69" t="s">
        <v>167</v>
      </c>
      <c r="H1" s="69" t="s">
        <v>168</v>
      </c>
      <c r="I1" s="69" t="s">
        <v>169</v>
      </c>
      <c r="J1" s="69" t="s">
        <v>170</v>
      </c>
      <c r="K1" s="69" t="s">
        <v>171</v>
      </c>
      <c r="L1" s="69" t="s">
        <v>172</v>
      </c>
      <c r="M1" s="69" t="s">
        <v>173</v>
      </c>
      <c r="N1" s="69" t="s">
        <v>174</v>
      </c>
      <c r="O1" s="94" t="s">
        <v>175</v>
      </c>
    </row>
    <row r="2" spans="1:15" x14ac:dyDescent="0.3">
      <c r="A2" t="s">
        <v>176</v>
      </c>
      <c r="B2" s="66">
        <v>44685</v>
      </c>
      <c r="C2">
        <v>7.4</v>
      </c>
      <c r="D2" t="s">
        <v>177</v>
      </c>
      <c r="E2">
        <v>100</v>
      </c>
      <c r="F2">
        <v>19.7</v>
      </c>
      <c r="G2" t="s">
        <v>177</v>
      </c>
      <c r="H2">
        <v>100</v>
      </c>
      <c r="I2">
        <v>14.5</v>
      </c>
      <c r="J2" t="s">
        <v>178</v>
      </c>
      <c r="K2">
        <v>100</v>
      </c>
      <c r="L2">
        <v>0</v>
      </c>
      <c r="M2" t="s">
        <v>178</v>
      </c>
      <c r="N2" t="s">
        <v>179</v>
      </c>
      <c r="O2">
        <v>0</v>
      </c>
    </row>
    <row r="3" spans="1:15" x14ac:dyDescent="0.3">
      <c r="A3" t="s">
        <v>176</v>
      </c>
      <c r="B3" s="66">
        <v>44686</v>
      </c>
      <c r="C3">
        <v>7.5</v>
      </c>
      <c r="D3" t="s">
        <v>177</v>
      </c>
      <c r="E3">
        <v>100</v>
      </c>
      <c r="F3">
        <v>25</v>
      </c>
      <c r="G3" t="s">
        <v>177</v>
      </c>
      <c r="H3">
        <v>100</v>
      </c>
      <c r="I3">
        <v>15.3</v>
      </c>
      <c r="J3" t="s">
        <v>178</v>
      </c>
      <c r="K3">
        <v>100</v>
      </c>
      <c r="L3">
        <v>0</v>
      </c>
      <c r="M3" t="s">
        <v>178</v>
      </c>
      <c r="N3" t="s">
        <v>179</v>
      </c>
      <c r="O3">
        <v>0</v>
      </c>
    </row>
    <row r="4" spans="1:15" x14ac:dyDescent="0.3">
      <c r="A4" t="s">
        <v>176</v>
      </c>
      <c r="B4" s="66">
        <v>44687</v>
      </c>
      <c r="C4">
        <v>5.8</v>
      </c>
      <c r="D4" t="s">
        <v>177</v>
      </c>
      <c r="E4">
        <v>100</v>
      </c>
      <c r="F4">
        <v>18.399999999999999</v>
      </c>
      <c r="G4" t="s">
        <v>177</v>
      </c>
      <c r="H4">
        <v>100</v>
      </c>
      <c r="I4">
        <v>12.9</v>
      </c>
      <c r="J4" t="s">
        <v>178</v>
      </c>
      <c r="K4">
        <v>100</v>
      </c>
      <c r="L4">
        <v>0</v>
      </c>
      <c r="M4" t="s">
        <v>178</v>
      </c>
      <c r="N4" t="s">
        <v>179</v>
      </c>
      <c r="O4">
        <v>0</v>
      </c>
    </row>
    <row r="5" spans="1:15" x14ac:dyDescent="0.3">
      <c r="A5" t="s">
        <v>176</v>
      </c>
      <c r="B5" s="66">
        <v>44688</v>
      </c>
      <c r="C5">
        <v>2.6</v>
      </c>
      <c r="D5" t="s">
        <v>177</v>
      </c>
      <c r="E5">
        <v>100</v>
      </c>
      <c r="F5">
        <v>16.7</v>
      </c>
      <c r="G5" t="s">
        <v>177</v>
      </c>
      <c r="H5">
        <v>100</v>
      </c>
      <c r="I5">
        <v>10.5</v>
      </c>
      <c r="J5" t="s">
        <v>178</v>
      </c>
      <c r="K5">
        <v>100</v>
      </c>
      <c r="L5">
        <v>0</v>
      </c>
      <c r="M5" t="s">
        <v>178</v>
      </c>
      <c r="N5" t="s">
        <v>179</v>
      </c>
      <c r="O5">
        <v>0</v>
      </c>
    </row>
    <row r="6" spans="1:15" x14ac:dyDescent="0.3">
      <c r="A6" t="s">
        <v>176</v>
      </c>
      <c r="B6" s="66">
        <v>44689</v>
      </c>
      <c r="C6">
        <v>0</v>
      </c>
      <c r="D6" t="s">
        <v>177</v>
      </c>
      <c r="E6">
        <v>100</v>
      </c>
      <c r="F6">
        <v>14.1</v>
      </c>
      <c r="G6" t="s">
        <v>177</v>
      </c>
      <c r="H6">
        <v>100</v>
      </c>
      <c r="I6">
        <v>7.3</v>
      </c>
      <c r="J6" t="s">
        <v>178</v>
      </c>
      <c r="K6">
        <v>100</v>
      </c>
      <c r="L6">
        <v>0</v>
      </c>
      <c r="M6" t="s">
        <v>178</v>
      </c>
      <c r="N6" t="s">
        <v>179</v>
      </c>
      <c r="O6">
        <v>0</v>
      </c>
    </row>
    <row r="7" spans="1:15" x14ac:dyDescent="0.3">
      <c r="A7" t="s">
        <v>176</v>
      </c>
      <c r="B7" s="66">
        <v>44690</v>
      </c>
      <c r="C7" s="42">
        <v>-4.0999999999999996</v>
      </c>
      <c r="D7" t="s">
        <v>177</v>
      </c>
      <c r="E7">
        <v>100</v>
      </c>
      <c r="F7">
        <v>10.8</v>
      </c>
      <c r="G7" t="s">
        <v>177</v>
      </c>
      <c r="H7">
        <v>100</v>
      </c>
      <c r="I7">
        <v>4.0999999999999996</v>
      </c>
      <c r="J7" t="s">
        <v>178</v>
      </c>
      <c r="K7">
        <v>100</v>
      </c>
      <c r="L7">
        <v>0</v>
      </c>
      <c r="M7" t="s">
        <v>178</v>
      </c>
      <c r="N7" t="s">
        <v>179</v>
      </c>
      <c r="O7">
        <v>0</v>
      </c>
    </row>
    <row r="8" spans="1:15" x14ac:dyDescent="0.3">
      <c r="A8" t="s">
        <v>176</v>
      </c>
      <c r="B8" s="66">
        <v>44691</v>
      </c>
      <c r="C8">
        <v>3.9</v>
      </c>
      <c r="D8" t="s">
        <v>177</v>
      </c>
      <c r="E8">
        <v>100</v>
      </c>
      <c r="F8">
        <v>15.9</v>
      </c>
      <c r="G8" t="s">
        <v>177</v>
      </c>
      <c r="H8">
        <v>100</v>
      </c>
      <c r="I8">
        <v>9.8000000000000007</v>
      </c>
      <c r="J8" t="s">
        <v>178</v>
      </c>
      <c r="K8">
        <v>100</v>
      </c>
      <c r="L8">
        <v>0</v>
      </c>
      <c r="M8" t="s">
        <v>178</v>
      </c>
      <c r="N8" t="s">
        <v>179</v>
      </c>
      <c r="O8">
        <v>0</v>
      </c>
    </row>
    <row r="9" spans="1:15" x14ac:dyDescent="0.3">
      <c r="A9" t="s">
        <v>176</v>
      </c>
      <c r="B9" s="66">
        <v>44692</v>
      </c>
      <c r="C9">
        <v>0.4</v>
      </c>
      <c r="D9" t="s">
        <v>177</v>
      </c>
      <c r="E9">
        <v>100</v>
      </c>
      <c r="F9">
        <v>17.899999999999999</v>
      </c>
      <c r="G9" t="s">
        <v>177</v>
      </c>
      <c r="H9">
        <v>100</v>
      </c>
      <c r="I9">
        <v>9.9</v>
      </c>
      <c r="J9" t="s">
        <v>178</v>
      </c>
      <c r="K9">
        <v>100</v>
      </c>
      <c r="L9">
        <v>0</v>
      </c>
      <c r="M9" t="s">
        <v>178</v>
      </c>
      <c r="N9" t="s">
        <v>179</v>
      </c>
      <c r="O9">
        <v>0</v>
      </c>
    </row>
    <row r="10" spans="1:15" x14ac:dyDescent="0.3">
      <c r="A10" t="s">
        <v>176</v>
      </c>
      <c r="B10" s="66">
        <v>44693</v>
      </c>
      <c r="C10">
        <v>-0.9</v>
      </c>
      <c r="D10" t="s">
        <v>177</v>
      </c>
      <c r="E10">
        <v>100</v>
      </c>
      <c r="F10">
        <v>16.100000000000001</v>
      </c>
      <c r="G10" t="s">
        <v>177</v>
      </c>
      <c r="H10">
        <v>100</v>
      </c>
      <c r="I10">
        <v>8.4</v>
      </c>
      <c r="J10" t="s">
        <v>178</v>
      </c>
      <c r="K10">
        <v>100</v>
      </c>
      <c r="L10">
        <v>0</v>
      </c>
      <c r="M10" t="s">
        <v>178</v>
      </c>
      <c r="N10" t="s">
        <v>179</v>
      </c>
      <c r="O10">
        <v>0</v>
      </c>
    </row>
    <row r="11" spans="1:15" x14ac:dyDescent="0.3">
      <c r="A11" t="s">
        <v>176</v>
      </c>
      <c r="B11" s="66">
        <v>44694</v>
      </c>
      <c r="C11">
        <v>-0.8</v>
      </c>
      <c r="D11" t="s">
        <v>177</v>
      </c>
      <c r="E11">
        <v>100</v>
      </c>
      <c r="F11">
        <v>13.8</v>
      </c>
      <c r="G11" t="s">
        <v>177</v>
      </c>
      <c r="H11">
        <v>100</v>
      </c>
      <c r="I11">
        <v>7.8</v>
      </c>
      <c r="J11" t="s">
        <v>178</v>
      </c>
      <c r="K11">
        <v>100</v>
      </c>
      <c r="L11">
        <v>0</v>
      </c>
      <c r="M11" t="s">
        <v>178</v>
      </c>
      <c r="N11" t="s">
        <v>179</v>
      </c>
      <c r="O11">
        <v>0</v>
      </c>
    </row>
    <row r="12" spans="1:15" x14ac:dyDescent="0.3">
      <c r="A12" t="s">
        <v>176</v>
      </c>
      <c r="B12" s="66">
        <v>44695</v>
      </c>
      <c r="C12">
        <v>3.9</v>
      </c>
      <c r="D12" t="s">
        <v>177</v>
      </c>
      <c r="E12">
        <v>100</v>
      </c>
      <c r="F12">
        <v>17.600000000000001</v>
      </c>
      <c r="G12" t="s">
        <v>177</v>
      </c>
      <c r="H12">
        <v>100</v>
      </c>
      <c r="I12">
        <v>10.6</v>
      </c>
      <c r="J12" t="s">
        <v>178</v>
      </c>
      <c r="K12">
        <v>100</v>
      </c>
      <c r="L12">
        <v>0</v>
      </c>
      <c r="M12" t="s">
        <v>178</v>
      </c>
      <c r="N12" t="s">
        <v>179</v>
      </c>
      <c r="O12">
        <v>0</v>
      </c>
    </row>
    <row r="13" spans="1:15" x14ac:dyDescent="0.3">
      <c r="A13" t="s">
        <v>176</v>
      </c>
      <c r="B13" s="66">
        <v>44696</v>
      </c>
      <c r="C13">
        <v>8.3000000000000007</v>
      </c>
      <c r="D13" t="s">
        <v>177</v>
      </c>
      <c r="E13">
        <v>100</v>
      </c>
      <c r="F13">
        <v>21.5</v>
      </c>
      <c r="G13" t="s">
        <v>177</v>
      </c>
      <c r="H13">
        <v>100</v>
      </c>
      <c r="I13">
        <v>14.5</v>
      </c>
      <c r="J13" t="s">
        <v>178</v>
      </c>
      <c r="K13">
        <v>100</v>
      </c>
      <c r="L13">
        <v>0</v>
      </c>
      <c r="M13" t="s">
        <v>178</v>
      </c>
      <c r="N13" t="s">
        <v>179</v>
      </c>
      <c r="O13">
        <v>0</v>
      </c>
    </row>
    <row r="14" spans="1:15" x14ac:dyDescent="0.3">
      <c r="A14" t="s">
        <v>176</v>
      </c>
      <c r="B14" s="66">
        <v>44697</v>
      </c>
      <c r="C14">
        <v>5.5</v>
      </c>
      <c r="D14" t="s">
        <v>177</v>
      </c>
      <c r="E14">
        <v>100</v>
      </c>
      <c r="F14">
        <v>22.8</v>
      </c>
      <c r="G14" t="s">
        <v>177</v>
      </c>
      <c r="H14">
        <v>100</v>
      </c>
      <c r="I14">
        <v>15.9</v>
      </c>
      <c r="J14" t="s">
        <v>178</v>
      </c>
      <c r="K14">
        <v>100</v>
      </c>
      <c r="L14">
        <v>0</v>
      </c>
      <c r="M14" t="s">
        <v>178</v>
      </c>
      <c r="N14" t="s">
        <v>179</v>
      </c>
      <c r="O14">
        <v>0</v>
      </c>
    </row>
    <row r="15" spans="1:15" x14ac:dyDescent="0.3">
      <c r="A15" t="s">
        <v>176</v>
      </c>
      <c r="B15" s="66">
        <v>44698</v>
      </c>
      <c r="C15">
        <v>4.3</v>
      </c>
      <c r="D15" t="s">
        <v>177</v>
      </c>
      <c r="E15">
        <v>100</v>
      </c>
      <c r="F15">
        <v>19.5</v>
      </c>
      <c r="G15" t="s">
        <v>177</v>
      </c>
      <c r="H15">
        <v>100</v>
      </c>
      <c r="I15">
        <v>13.4</v>
      </c>
      <c r="J15" t="s">
        <v>178</v>
      </c>
      <c r="K15">
        <v>100</v>
      </c>
      <c r="L15">
        <v>0</v>
      </c>
      <c r="M15" t="s">
        <v>178</v>
      </c>
      <c r="N15" t="s">
        <v>179</v>
      </c>
      <c r="O15">
        <v>0</v>
      </c>
    </row>
    <row r="16" spans="1:15" x14ac:dyDescent="0.3">
      <c r="A16" t="s">
        <v>176</v>
      </c>
      <c r="B16" s="66">
        <v>44699</v>
      </c>
      <c r="C16">
        <v>0.3</v>
      </c>
      <c r="D16" t="s">
        <v>177</v>
      </c>
      <c r="E16">
        <v>100</v>
      </c>
      <c r="F16">
        <v>19.600000000000001</v>
      </c>
      <c r="G16" t="s">
        <v>177</v>
      </c>
      <c r="H16">
        <v>100</v>
      </c>
      <c r="I16">
        <v>10</v>
      </c>
      <c r="J16" t="s">
        <v>178</v>
      </c>
      <c r="K16">
        <v>100</v>
      </c>
      <c r="L16">
        <v>0</v>
      </c>
      <c r="M16" t="s">
        <v>178</v>
      </c>
      <c r="N16" t="s">
        <v>179</v>
      </c>
      <c r="O16">
        <v>0</v>
      </c>
    </row>
    <row r="17" spans="1:15" x14ac:dyDescent="0.3">
      <c r="A17" t="s">
        <v>176</v>
      </c>
      <c r="B17" s="66">
        <v>44700</v>
      </c>
      <c r="C17">
        <v>3.5</v>
      </c>
      <c r="D17" t="s">
        <v>177</v>
      </c>
      <c r="E17">
        <v>100</v>
      </c>
      <c r="F17">
        <v>10.1</v>
      </c>
      <c r="G17" t="s">
        <v>177</v>
      </c>
      <c r="H17">
        <v>100</v>
      </c>
      <c r="I17">
        <v>6.8</v>
      </c>
      <c r="J17" t="s">
        <v>178</v>
      </c>
      <c r="K17">
        <v>100</v>
      </c>
      <c r="L17">
        <v>2</v>
      </c>
      <c r="M17" t="s">
        <v>178</v>
      </c>
      <c r="N17" t="s">
        <v>179</v>
      </c>
      <c r="O17">
        <v>2</v>
      </c>
    </row>
    <row r="18" spans="1:15" x14ac:dyDescent="0.3">
      <c r="A18" t="s">
        <v>176</v>
      </c>
      <c r="B18" s="66">
        <v>44701</v>
      </c>
      <c r="C18">
        <v>1.3</v>
      </c>
      <c r="D18" t="s">
        <v>177</v>
      </c>
      <c r="E18">
        <v>100</v>
      </c>
      <c r="F18">
        <v>10.199999999999999</v>
      </c>
      <c r="G18" t="s">
        <v>177</v>
      </c>
      <c r="H18">
        <v>100</v>
      </c>
      <c r="I18">
        <v>5.4</v>
      </c>
      <c r="J18" t="s">
        <v>178</v>
      </c>
      <c r="K18">
        <v>100</v>
      </c>
      <c r="L18">
        <v>4.2</v>
      </c>
      <c r="M18" t="s">
        <v>178</v>
      </c>
      <c r="N18" t="s">
        <v>179</v>
      </c>
      <c r="O18">
        <v>2.2000000000000002</v>
      </c>
    </row>
    <row r="19" spans="1:15" x14ac:dyDescent="0.3">
      <c r="A19" t="s">
        <v>176</v>
      </c>
      <c r="B19" s="66">
        <v>44702</v>
      </c>
      <c r="C19">
        <v>0.8</v>
      </c>
      <c r="D19" t="s">
        <v>177</v>
      </c>
      <c r="E19">
        <v>100</v>
      </c>
      <c r="F19">
        <v>11.5</v>
      </c>
      <c r="G19" t="s">
        <v>177</v>
      </c>
      <c r="H19">
        <v>100</v>
      </c>
      <c r="I19">
        <v>6.1</v>
      </c>
      <c r="J19" t="s">
        <v>178</v>
      </c>
      <c r="K19">
        <v>100</v>
      </c>
      <c r="L19">
        <v>4.2</v>
      </c>
      <c r="M19" t="s">
        <v>178</v>
      </c>
      <c r="N19" t="s">
        <v>179</v>
      </c>
      <c r="O19">
        <v>0</v>
      </c>
    </row>
    <row r="20" spans="1:15" x14ac:dyDescent="0.3">
      <c r="A20" t="s">
        <v>176</v>
      </c>
      <c r="B20" s="66">
        <v>44703</v>
      </c>
      <c r="C20">
        <v>-1.9</v>
      </c>
      <c r="D20" t="s">
        <v>177</v>
      </c>
      <c r="E20">
        <v>100</v>
      </c>
      <c r="F20">
        <v>17.8</v>
      </c>
      <c r="G20" t="s">
        <v>177</v>
      </c>
      <c r="H20">
        <v>100</v>
      </c>
      <c r="I20">
        <v>8.8000000000000007</v>
      </c>
      <c r="J20" t="s">
        <v>178</v>
      </c>
      <c r="K20">
        <v>100</v>
      </c>
      <c r="L20">
        <v>4.2</v>
      </c>
      <c r="M20" t="s">
        <v>178</v>
      </c>
      <c r="N20" t="s">
        <v>179</v>
      </c>
      <c r="O20">
        <v>0</v>
      </c>
    </row>
    <row r="21" spans="1:15" x14ac:dyDescent="0.3">
      <c r="A21" t="s">
        <v>176</v>
      </c>
      <c r="B21" s="66">
        <v>44704</v>
      </c>
      <c r="C21">
        <v>1.6</v>
      </c>
      <c r="D21" t="s">
        <v>177</v>
      </c>
      <c r="E21">
        <v>100</v>
      </c>
      <c r="F21">
        <v>21</v>
      </c>
      <c r="G21" t="s">
        <v>177</v>
      </c>
      <c r="H21">
        <v>100</v>
      </c>
      <c r="I21">
        <v>13</v>
      </c>
      <c r="J21" t="s">
        <v>178</v>
      </c>
      <c r="K21">
        <v>100</v>
      </c>
      <c r="L21">
        <v>4.2</v>
      </c>
      <c r="M21" t="s">
        <v>178</v>
      </c>
      <c r="N21" t="s">
        <v>179</v>
      </c>
      <c r="O21">
        <v>0</v>
      </c>
    </row>
    <row r="22" spans="1:15" x14ac:dyDescent="0.3">
      <c r="A22" t="s">
        <v>176</v>
      </c>
      <c r="B22" s="66">
        <v>44705</v>
      </c>
      <c r="C22">
        <v>8.1999999999999993</v>
      </c>
      <c r="D22" t="s">
        <v>177</v>
      </c>
      <c r="E22">
        <v>100</v>
      </c>
      <c r="F22">
        <v>20.7</v>
      </c>
      <c r="G22" t="s">
        <v>177</v>
      </c>
      <c r="H22">
        <v>100</v>
      </c>
      <c r="I22">
        <v>14.2</v>
      </c>
      <c r="J22" t="s">
        <v>178</v>
      </c>
      <c r="K22">
        <v>100</v>
      </c>
      <c r="L22">
        <v>4.3</v>
      </c>
      <c r="M22" t="s">
        <v>178</v>
      </c>
      <c r="N22" t="s">
        <v>179</v>
      </c>
      <c r="O22">
        <v>0.1</v>
      </c>
    </row>
    <row r="23" spans="1:15" x14ac:dyDescent="0.3">
      <c r="A23" t="s">
        <v>176</v>
      </c>
      <c r="B23" s="66">
        <v>44706</v>
      </c>
      <c r="C23">
        <v>6.6</v>
      </c>
      <c r="D23" t="s">
        <v>177</v>
      </c>
      <c r="E23">
        <v>100</v>
      </c>
      <c r="F23">
        <v>20.3</v>
      </c>
      <c r="G23" t="s">
        <v>177</v>
      </c>
      <c r="H23">
        <v>100</v>
      </c>
      <c r="I23">
        <v>14.2</v>
      </c>
      <c r="J23" t="s">
        <v>178</v>
      </c>
      <c r="K23">
        <v>100</v>
      </c>
      <c r="L23">
        <v>4.3</v>
      </c>
      <c r="M23" t="s">
        <v>178</v>
      </c>
      <c r="N23" t="s">
        <v>179</v>
      </c>
      <c r="O23">
        <v>0</v>
      </c>
    </row>
    <row r="24" spans="1:15" x14ac:dyDescent="0.3">
      <c r="A24" t="s">
        <v>176</v>
      </c>
      <c r="B24" s="66">
        <v>44707</v>
      </c>
      <c r="C24">
        <v>9.4</v>
      </c>
      <c r="D24" t="s">
        <v>177</v>
      </c>
      <c r="E24">
        <v>100</v>
      </c>
      <c r="F24">
        <v>22.6</v>
      </c>
      <c r="G24" t="s">
        <v>177</v>
      </c>
      <c r="H24">
        <v>100</v>
      </c>
      <c r="I24">
        <v>16.3</v>
      </c>
      <c r="J24" t="s">
        <v>178</v>
      </c>
      <c r="K24">
        <v>100</v>
      </c>
      <c r="L24">
        <v>4.3</v>
      </c>
      <c r="M24" t="s">
        <v>178</v>
      </c>
      <c r="N24" t="s">
        <v>179</v>
      </c>
      <c r="O24">
        <v>0</v>
      </c>
    </row>
    <row r="25" spans="1:15" x14ac:dyDescent="0.3">
      <c r="A25" t="s">
        <v>176</v>
      </c>
      <c r="B25" s="66">
        <v>44708</v>
      </c>
      <c r="C25">
        <v>11.1</v>
      </c>
      <c r="D25" t="s">
        <v>177</v>
      </c>
      <c r="E25">
        <v>100</v>
      </c>
      <c r="F25">
        <v>23.1</v>
      </c>
      <c r="G25" t="s">
        <v>177</v>
      </c>
      <c r="H25">
        <v>100</v>
      </c>
      <c r="I25">
        <v>15.8</v>
      </c>
      <c r="J25" t="s">
        <v>178</v>
      </c>
      <c r="K25">
        <v>100</v>
      </c>
      <c r="L25">
        <v>4.7</v>
      </c>
      <c r="M25" t="s">
        <v>178</v>
      </c>
      <c r="N25" t="s">
        <v>179</v>
      </c>
      <c r="O25">
        <v>0.4</v>
      </c>
    </row>
    <row r="26" spans="1:15" x14ac:dyDescent="0.3">
      <c r="A26" t="s">
        <v>176</v>
      </c>
      <c r="B26" s="66">
        <v>44709</v>
      </c>
      <c r="C26">
        <v>9.1999999999999993</v>
      </c>
      <c r="D26" t="s">
        <v>177</v>
      </c>
      <c r="E26">
        <v>100</v>
      </c>
      <c r="F26">
        <v>20.7</v>
      </c>
      <c r="G26" t="s">
        <v>177</v>
      </c>
      <c r="H26">
        <v>100</v>
      </c>
      <c r="I26">
        <v>14.7</v>
      </c>
      <c r="J26" t="s">
        <v>178</v>
      </c>
      <c r="K26">
        <v>100</v>
      </c>
      <c r="L26">
        <v>4.7</v>
      </c>
      <c r="M26" t="s">
        <v>178</v>
      </c>
      <c r="N26" t="s">
        <v>179</v>
      </c>
      <c r="O26">
        <v>0</v>
      </c>
    </row>
    <row r="27" spans="1:15" x14ac:dyDescent="0.3">
      <c r="A27" t="s">
        <v>176</v>
      </c>
      <c r="B27" s="66">
        <v>44710</v>
      </c>
      <c r="C27">
        <v>6.7</v>
      </c>
      <c r="D27" t="s">
        <v>177</v>
      </c>
      <c r="E27">
        <v>100</v>
      </c>
      <c r="F27">
        <v>16.899999999999999</v>
      </c>
      <c r="G27" t="s">
        <v>177</v>
      </c>
      <c r="H27">
        <v>100</v>
      </c>
      <c r="I27">
        <v>12.1</v>
      </c>
      <c r="J27" t="s">
        <v>178</v>
      </c>
      <c r="K27">
        <v>100</v>
      </c>
      <c r="L27">
        <v>4.7</v>
      </c>
      <c r="M27" t="s">
        <v>178</v>
      </c>
      <c r="N27" t="s">
        <v>179</v>
      </c>
      <c r="O27">
        <v>0</v>
      </c>
    </row>
    <row r="28" spans="1:15" x14ac:dyDescent="0.3">
      <c r="A28" t="s">
        <v>176</v>
      </c>
      <c r="B28" s="66">
        <v>44711</v>
      </c>
      <c r="C28">
        <v>7.3</v>
      </c>
      <c r="D28" t="s">
        <v>177</v>
      </c>
      <c r="E28">
        <v>100</v>
      </c>
      <c r="F28">
        <v>15.2</v>
      </c>
      <c r="G28" t="s">
        <v>177</v>
      </c>
      <c r="H28">
        <v>100</v>
      </c>
      <c r="I28">
        <v>10.8</v>
      </c>
      <c r="J28" t="s">
        <v>178</v>
      </c>
      <c r="K28">
        <v>100</v>
      </c>
      <c r="L28">
        <v>6.4</v>
      </c>
      <c r="M28" t="s">
        <v>178</v>
      </c>
      <c r="N28" t="s">
        <v>179</v>
      </c>
      <c r="O28">
        <v>1.7</v>
      </c>
    </row>
    <row r="29" spans="1:15" x14ac:dyDescent="0.3">
      <c r="A29" t="s">
        <v>176</v>
      </c>
      <c r="B29" s="66">
        <v>44712</v>
      </c>
      <c r="C29">
        <v>2</v>
      </c>
      <c r="D29" t="s">
        <v>177</v>
      </c>
      <c r="E29">
        <v>100</v>
      </c>
      <c r="F29">
        <v>17.899999999999999</v>
      </c>
      <c r="G29" t="s">
        <v>177</v>
      </c>
      <c r="H29">
        <v>100</v>
      </c>
      <c r="I29">
        <v>11.6</v>
      </c>
      <c r="J29" t="s">
        <v>178</v>
      </c>
      <c r="K29">
        <v>100</v>
      </c>
      <c r="L29">
        <v>6.4</v>
      </c>
      <c r="M29" t="s">
        <v>178</v>
      </c>
      <c r="N29" t="s">
        <v>179</v>
      </c>
      <c r="O29">
        <v>0</v>
      </c>
    </row>
    <row r="30" spans="1:15" x14ac:dyDescent="0.3">
      <c r="A30" t="s">
        <v>176</v>
      </c>
      <c r="B30" s="66">
        <v>44713</v>
      </c>
      <c r="C30">
        <v>4</v>
      </c>
      <c r="D30" t="s">
        <v>177</v>
      </c>
      <c r="E30">
        <v>100</v>
      </c>
      <c r="F30">
        <v>20.7</v>
      </c>
      <c r="G30" t="s">
        <v>177</v>
      </c>
      <c r="H30">
        <v>100</v>
      </c>
      <c r="I30">
        <v>13.2</v>
      </c>
      <c r="J30" t="s">
        <v>178</v>
      </c>
      <c r="K30">
        <v>100</v>
      </c>
      <c r="L30">
        <v>6.4</v>
      </c>
      <c r="M30" t="s">
        <v>178</v>
      </c>
      <c r="N30" t="s">
        <v>179</v>
      </c>
      <c r="O30">
        <v>0</v>
      </c>
    </row>
    <row r="31" spans="1:15" x14ac:dyDescent="0.3">
      <c r="A31" t="s">
        <v>176</v>
      </c>
      <c r="B31" s="66">
        <v>44714</v>
      </c>
      <c r="C31">
        <v>2.9</v>
      </c>
      <c r="D31" t="s">
        <v>177</v>
      </c>
      <c r="E31">
        <v>100</v>
      </c>
      <c r="F31">
        <v>22.3</v>
      </c>
      <c r="G31" t="s">
        <v>177</v>
      </c>
      <c r="H31">
        <v>100</v>
      </c>
      <c r="I31">
        <v>14</v>
      </c>
      <c r="J31" t="s">
        <v>178</v>
      </c>
      <c r="K31">
        <v>100</v>
      </c>
      <c r="L31">
        <v>6.4</v>
      </c>
      <c r="M31" t="s">
        <v>178</v>
      </c>
      <c r="N31" t="s">
        <v>179</v>
      </c>
      <c r="O31">
        <v>0</v>
      </c>
    </row>
    <row r="32" spans="1:15" x14ac:dyDescent="0.3">
      <c r="A32" t="s">
        <v>176</v>
      </c>
      <c r="B32" s="66">
        <v>44715</v>
      </c>
      <c r="C32">
        <v>4.5</v>
      </c>
      <c r="D32" t="s">
        <v>177</v>
      </c>
      <c r="E32">
        <v>100</v>
      </c>
      <c r="F32">
        <v>21.4</v>
      </c>
      <c r="G32" t="s">
        <v>177</v>
      </c>
      <c r="H32">
        <v>100</v>
      </c>
      <c r="I32">
        <v>14.8</v>
      </c>
      <c r="J32" t="s">
        <v>178</v>
      </c>
      <c r="K32">
        <v>100</v>
      </c>
      <c r="L32">
        <v>6.4</v>
      </c>
      <c r="M32" t="s">
        <v>178</v>
      </c>
      <c r="N32" t="s">
        <v>179</v>
      </c>
      <c r="O32">
        <v>0</v>
      </c>
    </row>
    <row r="33" spans="1:15" x14ac:dyDescent="0.3">
      <c r="A33" t="s">
        <v>176</v>
      </c>
      <c r="B33" s="66">
        <v>44716</v>
      </c>
      <c r="C33">
        <v>6.4</v>
      </c>
      <c r="D33" t="s">
        <v>177</v>
      </c>
      <c r="E33">
        <v>100</v>
      </c>
      <c r="F33">
        <v>21.4</v>
      </c>
      <c r="G33" t="s">
        <v>177</v>
      </c>
      <c r="H33">
        <v>100</v>
      </c>
      <c r="I33">
        <v>14.6</v>
      </c>
      <c r="J33" t="s">
        <v>178</v>
      </c>
      <c r="K33">
        <v>100</v>
      </c>
      <c r="L33">
        <v>6.8</v>
      </c>
      <c r="M33" t="s">
        <v>178</v>
      </c>
      <c r="N33" t="s">
        <v>179</v>
      </c>
      <c r="O33">
        <v>0.4</v>
      </c>
    </row>
    <row r="34" spans="1:15" x14ac:dyDescent="0.3">
      <c r="A34" t="s">
        <v>176</v>
      </c>
      <c r="B34" s="66">
        <v>44717</v>
      </c>
      <c r="C34">
        <v>10.4</v>
      </c>
      <c r="D34" t="s">
        <v>177</v>
      </c>
      <c r="E34">
        <v>100</v>
      </c>
      <c r="F34">
        <v>21.1</v>
      </c>
      <c r="G34" t="s">
        <v>177</v>
      </c>
      <c r="H34">
        <v>100</v>
      </c>
      <c r="I34">
        <v>15.5</v>
      </c>
      <c r="J34" t="s">
        <v>178</v>
      </c>
      <c r="K34">
        <v>100</v>
      </c>
      <c r="L34">
        <v>7.1</v>
      </c>
      <c r="M34" t="s">
        <v>178</v>
      </c>
      <c r="N34" t="s">
        <v>179</v>
      </c>
      <c r="O34">
        <v>0.3</v>
      </c>
    </row>
    <row r="35" spans="1:15" x14ac:dyDescent="0.3">
      <c r="A35" t="s">
        <v>176</v>
      </c>
      <c r="B35" s="66">
        <v>44718</v>
      </c>
      <c r="C35">
        <v>7.2</v>
      </c>
      <c r="D35" t="s">
        <v>177</v>
      </c>
      <c r="E35">
        <v>100</v>
      </c>
      <c r="F35">
        <v>21.7</v>
      </c>
      <c r="G35" t="s">
        <v>177</v>
      </c>
      <c r="H35">
        <v>100</v>
      </c>
      <c r="I35">
        <v>13.1</v>
      </c>
      <c r="J35" t="s">
        <v>178</v>
      </c>
      <c r="K35">
        <v>100</v>
      </c>
      <c r="L35">
        <v>26.6</v>
      </c>
      <c r="M35" t="s">
        <v>178</v>
      </c>
      <c r="N35" t="s">
        <v>179</v>
      </c>
      <c r="O35">
        <v>19.5</v>
      </c>
    </row>
    <row r="36" spans="1:15" x14ac:dyDescent="0.3">
      <c r="A36" t="s">
        <v>176</v>
      </c>
      <c r="B36" s="66">
        <v>44719</v>
      </c>
      <c r="C36">
        <v>9.1999999999999993</v>
      </c>
      <c r="D36" t="s">
        <v>177</v>
      </c>
      <c r="E36">
        <v>100</v>
      </c>
      <c r="F36">
        <v>16.399999999999999</v>
      </c>
      <c r="G36" t="s">
        <v>177</v>
      </c>
      <c r="H36">
        <v>100</v>
      </c>
      <c r="I36">
        <v>12</v>
      </c>
      <c r="J36" t="s">
        <v>178</v>
      </c>
      <c r="K36">
        <v>100</v>
      </c>
      <c r="L36">
        <v>36.1</v>
      </c>
      <c r="M36" t="s">
        <v>178</v>
      </c>
      <c r="N36" t="s">
        <v>179</v>
      </c>
      <c r="O36">
        <v>9.5</v>
      </c>
    </row>
    <row r="37" spans="1:15" x14ac:dyDescent="0.3">
      <c r="A37" t="s">
        <v>176</v>
      </c>
      <c r="B37" s="66">
        <v>44720</v>
      </c>
      <c r="C37">
        <v>5.6</v>
      </c>
      <c r="D37" t="s">
        <v>177</v>
      </c>
      <c r="E37">
        <v>100</v>
      </c>
      <c r="F37">
        <v>20.9</v>
      </c>
      <c r="G37" t="s">
        <v>177</v>
      </c>
      <c r="H37">
        <v>100</v>
      </c>
      <c r="I37">
        <v>14.2</v>
      </c>
      <c r="J37" t="s">
        <v>178</v>
      </c>
      <c r="K37">
        <v>100</v>
      </c>
      <c r="L37">
        <v>36.1</v>
      </c>
      <c r="M37" t="s">
        <v>178</v>
      </c>
      <c r="N37" t="s">
        <v>179</v>
      </c>
      <c r="O37">
        <v>0</v>
      </c>
    </row>
    <row r="38" spans="1:15" x14ac:dyDescent="0.3">
      <c r="A38" t="s">
        <v>176</v>
      </c>
      <c r="B38" s="66">
        <v>44721</v>
      </c>
      <c r="C38">
        <v>11.4</v>
      </c>
      <c r="D38" t="s">
        <v>177</v>
      </c>
      <c r="E38">
        <v>100</v>
      </c>
      <c r="F38">
        <v>23.4</v>
      </c>
      <c r="G38" t="s">
        <v>177</v>
      </c>
      <c r="H38">
        <v>100</v>
      </c>
      <c r="I38">
        <v>17.899999999999999</v>
      </c>
      <c r="J38" t="s">
        <v>178</v>
      </c>
      <c r="K38">
        <v>100</v>
      </c>
      <c r="L38">
        <v>36.1</v>
      </c>
      <c r="M38" t="s">
        <v>178</v>
      </c>
      <c r="N38" t="s">
        <v>179</v>
      </c>
      <c r="O38">
        <v>0</v>
      </c>
    </row>
    <row r="39" spans="1:15" x14ac:dyDescent="0.3">
      <c r="A39" t="s">
        <v>176</v>
      </c>
      <c r="B39" s="66">
        <v>44722</v>
      </c>
      <c r="C39">
        <v>11.9</v>
      </c>
      <c r="D39" t="s">
        <v>177</v>
      </c>
      <c r="E39">
        <v>100</v>
      </c>
      <c r="F39">
        <v>24.5</v>
      </c>
      <c r="G39" t="s">
        <v>177</v>
      </c>
      <c r="H39">
        <v>100</v>
      </c>
      <c r="I39">
        <v>19</v>
      </c>
      <c r="J39" t="s">
        <v>178</v>
      </c>
      <c r="K39">
        <v>100</v>
      </c>
      <c r="L39">
        <v>36.1</v>
      </c>
      <c r="M39" t="s">
        <v>178</v>
      </c>
      <c r="N39" t="s">
        <v>179</v>
      </c>
      <c r="O39">
        <v>0</v>
      </c>
    </row>
    <row r="40" spans="1:15" x14ac:dyDescent="0.3">
      <c r="A40" t="s">
        <v>176</v>
      </c>
      <c r="B40" s="66">
        <v>44723</v>
      </c>
      <c r="C40">
        <v>14.7</v>
      </c>
      <c r="D40" t="s">
        <v>177</v>
      </c>
      <c r="E40">
        <v>100</v>
      </c>
      <c r="F40">
        <v>24.4</v>
      </c>
      <c r="G40" t="s">
        <v>177</v>
      </c>
      <c r="H40">
        <v>100</v>
      </c>
      <c r="I40">
        <v>18.8</v>
      </c>
      <c r="J40" t="s">
        <v>178</v>
      </c>
      <c r="K40">
        <v>100</v>
      </c>
      <c r="L40">
        <v>36.299999999999997</v>
      </c>
      <c r="M40" t="s">
        <v>178</v>
      </c>
      <c r="N40" t="s">
        <v>179</v>
      </c>
      <c r="O40">
        <v>0.2</v>
      </c>
    </row>
    <row r="41" spans="1:15" x14ac:dyDescent="0.3">
      <c r="A41" t="s">
        <v>176</v>
      </c>
      <c r="B41" s="66">
        <v>44724</v>
      </c>
      <c r="C41">
        <v>8.1999999999999993</v>
      </c>
      <c r="D41" t="s">
        <v>177</v>
      </c>
      <c r="E41">
        <v>100</v>
      </c>
      <c r="F41">
        <v>23.3</v>
      </c>
      <c r="G41" t="s">
        <v>177</v>
      </c>
      <c r="H41">
        <v>100</v>
      </c>
      <c r="I41">
        <v>17</v>
      </c>
      <c r="J41" t="s">
        <v>178</v>
      </c>
      <c r="K41">
        <v>100</v>
      </c>
      <c r="L41">
        <v>36.299999999999997</v>
      </c>
      <c r="M41" t="s">
        <v>178</v>
      </c>
      <c r="N41" t="s">
        <v>179</v>
      </c>
      <c r="O41">
        <v>0</v>
      </c>
    </row>
    <row r="42" spans="1:15" x14ac:dyDescent="0.3">
      <c r="A42" t="s">
        <v>176</v>
      </c>
      <c r="B42" s="66">
        <v>44725</v>
      </c>
      <c r="C42">
        <v>7</v>
      </c>
      <c r="D42" t="s">
        <v>177</v>
      </c>
      <c r="E42">
        <v>100</v>
      </c>
      <c r="F42">
        <v>12.8</v>
      </c>
      <c r="G42" t="s">
        <v>177</v>
      </c>
      <c r="H42">
        <v>100</v>
      </c>
      <c r="I42">
        <v>10.3</v>
      </c>
      <c r="J42" t="s">
        <v>178</v>
      </c>
      <c r="K42">
        <v>100</v>
      </c>
      <c r="L42">
        <v>53.8</v>
      </c>
      <c r="M42" t="s">
        <v>178</v>
      </c>
      <c r="N42" t="s">
        <v>179</v>
      </c>
      <c r="O42">
        <v>17.5</v>
      </c>
    </row>
    <row r="43" spans="1:15" x14ac:dyDescent="0.3">
      <c r="A43" t="s">
        <v>176</v>
      </c>
      <c r="B43" s="66">
        <v>44726</v>
      </c>
      <c r="C43">
        <v>5.9</v>
      </c>
      <c r="D43" t="s">
        <v>177</v>
      </c>
      <c r="E43">
        <v>100</v>
      </c>
      <c r="F43">
        <v>12.6</v>
      </c>
      <c r="G43" t="s">
        <v>177</v>
      </c>
      <c r="H43">
        <v>100</v>
      </c>
      <c r="I43">
        <v>8.5</v>
      </c>
      <c r="J43" t="s">
        <v>178</v>
      </c>
      <c r="K43">
        <v>100</v>
      </c>
      <c r="L43">
        <v>91.3</v>
      </c>
      <c r="M43" t="s">
        <v>178</v>
      </c>
      <c r="N43" t="s">
        <v>179</v>
      </c>
      <c r="O43">
        <v>37.5</v>
      </c>
    </row>
    <row r="44" spans="1:15" x14ac:dyDescent="0.3">
      <c r="A44" t="s">
        <v>176</v>
      </c>
      <c r="B44" s="66">
        <v>44727</v>
      </c>
      <c r="C44">
        <v>7.8</v>
      </c>
      <c r="D44" t="s">
        <v>177</v>
      </c>
      <c r="E44">
        <v>100</v>
      </c>
      <c r="F44">
        <v>18.100000000000001</v>
      </c>
      <c r="G44" t="s">
        <v>177</v>
      </c>
      <c r="H44">
        <v>100</v>
      </c>
      <c r="I44">
        <v>13.3</v>
      </c>
      <c r="J44" t="s">
        <v>178</v>
      </c>
      <c r="K44">
        <v>100</v>
      </c>
      <c r="L44">
        <v>98.9</v>
      </c>
      <c r="M44" t="s">
        <v>178</v>
      </c>
      <c r="N44" t="s">
        <v>179</v>
      </c>
      <c r="O44">
        <v>7.6</v>
      </c>
    </row>
    <row r="45" spans="1:15" x14ac:dyDescent="0.3">
      <c r="A45" t="s">
        <v>176</v>
      </c>
      <c r="B45" s="66">
        <v>44728</v>
      </c>
      <c r="C45">
        <v>6.9</v>
      </c>
      <c r="D45" t="s">
        <v>177</v>
      </c>
      <c r="E45">
        <v>100</v>
      </c>
      <c r="F45">
        <v>21.3</v>
      </c>
      <c r="G45" t="s">
        <v>177</v>
      </c>
      <c r="H45">
        <v>100</v>
      </c>
      <c r="I45">
        <v>14.8</v>
      </c>
      <c r="J45" t="s">
        <v>178</v>
      </c>
      <c r="K45">
        <v>100</v>
      </c>
      <c r="L45">
        <v>98.9</v>
      </c>
      <c r="M45" t="s">
        <v>178</v>
      </c>
      <c r="N45" t="s">
        <v>179</v>
      </c>
      <c r="O45">
        <v>0</v>
      </c>
    </row>
    <row r="46" spans="1:15" x14ac:dyDescent="0.3">
      <c r="A46" t="s">
        <v>176</v>
      </c>
      <c r="B46" s="66">
        <v>44729</v>
      </c>
      <c r="C46">
        <v>10.4</v>
      </c>
      <c r="D46" t="s">
        <v>177</v>
      </c>
      <c r="E46">
        <v>100</v>
      </c>
      <c r="F46">
        <v>22.8</v>
      </c>
      <c r="G46" t="s">
        <v>177</v>
      </c>
      <c r="H46">
        <v>100</v>
      </c>
      <c r="I46">
        <v>16.5</v>
      </c>
      <c r="J46" t="s">
        <v>178</v>
      </c>
      <c r="K46">
        <v>100</v>
      </c>
      <c r="L46">
        <v>99.8</v>
      </c>
      <c r="M46" t="s">
        <v>178</v>
      </c>
      <c r="N46" t="s">
        <v>179</v>
      </c>
      <c r="O46">
        <v>0.9</v>
      </c>
    </row>
    <row r="47" spans="1:15" x14ac:dyDescent="0.3">
      <c r="A47" t="s">
        <v>176</v>
      </c>
      <c r="B47" s="66">
        <v>44730</v>
      </c>
      <c r="C47">
        <v>13.1</v>
      </c>
      <c r="D47" t="s">
        <v>177</v>
      </c>
      <c r="E47">
        <v>100</v>
      </c>
      <c r="F47">
        <v>23.3</v>
      </c>
      <c r="G47" t="s">
        <v>177</v>
      </c>
      <c r="H47">
        <v>100</v>
      </c>
      <c r="I47">
        <v>16.899999999999999</v>
      </c>
      <c r="J47" t="s">
        <v>178</v>
      </c>
      <c r="K47">
        <v>100</v>
      </c>
      <c r="L47">
        <v>100.9</v>
      </c>
      <c r="M47" t="s">
        <v>178</v>
      </c>
      <c r="N47" t="s">
        <v>179</v>
      </c>
      <c r="O47">
        <v>1.1000000000000001</v>
      </c>
    </row>
    <row r="48" spans="1:15" x14ac:dyDescent="0.3">
      <c r="A48" t="s">
        <v>176</v>
      </c>
      <c r="B48" s="66">
        <v>44731</v>
      </c>
      <c r="C48">
        <v>13.6</v>
      </c>
      <c r="D48" t="s">
        <v>177</v>
      </c>
      <c r="E48">
        <v>100</v>
      </c>
      <c r="F48">
        <v>23.1</v>
      </c>
      <c r="G48" t="s">
        <v>177</v>
      </c>
      <c r="H48">
        <v>100</v>
      </c>
      <c r="I48">
        <v>17.5</v>
      </c>
      <c r="J48" t="s">
        <v>178</v>
      </c>
      <c r="K48">
        <v>100</v>
      </c>
      <c r="L48">
        <v>101.1</v>
      </c>
      <c r="M48" t="s">
        <v>178</v>
      </c>
      <c r="N48" t="s">
        <v>179</v>
      </c>
      <c r="O48">
        <v>0.2</v>
      </c>
    </row>
    <row r="49" spans="1:15" x14ac:dyDescent="0.3">
      <c r="A49" t="s">
        <v>176</v>
      </c>
      <c r="B49" s="66">
        <v>44732</v>
      </c>
      <c r="C49">
        <v>10.4</v>
      </c>
      <c r="D49" t="s">
        <v>177</v>
      </c>
      <c r="E49">
        <v>100</v>
      </c>
      <c r="F49">
        <v>15.5</v>
      </c>
      <c r="G49" t="s">
        <v>177</v>
      </c>
      <c r="H49">
        <v>100</v>
      </c>
      <c r="I49">
        <v>12.9</v>
      </c>
      <c r="J49" t="s">
        <v>178</v>
      </c>
      <c r="K49">
        <v>100</v>
      </c>
      <c r="L49">
        <v>109.3</v>
      </c>
      <c r="M49" t="s">
        <v>178</v>
      </c>
      <c r="N49" t="s">
        <v>179</v>
      </c>
      <c r="O49">
        <v>8.1999999999999993</v>
      </c>
    </row>
    <row r="50" spans="1:15" x14ac:dyDescent="0.3">
      <c r="A50" t="s">
        <v>176</v>
      </c>
      <c r="B50" s="66">
        <v>44733</v>
      </c>
      <c r="C50">
        <v>9.6999999999999993</v>
      </c>
      <c r="D50" t="s">
        <v>177</v>
      </c>
      <c r="E50">
        <v>100</v>
      </c>
      <c r="F50">
        <v>23.4</v>
      </c>
      <c r="G50" t="s">
        <v>177</v>
      </c>
      <c r="H50">
        <v>100</v>
      </c>
      <c r="I50">
        <v>17</v>
      </c>
      <c r="J50" t="s">
        <v>178</v>
      </c>
      <c r="K50">
        <v>100</v>
      </c>
      <c r="L50">
        <v>109.4</v>
      </c>
      <c r="M50" t="s">
        <v>178</v>
      </c>
      <c r="N50" t="s">
        <v>179</v>
      </c>
      <c r="O50">
        <v>0.1</v>
      </c>
    </row>
    <row r="51" spans="1:15" x14ac:dyDescent="0.3">
      <c r="A51" t="s">
        <v>176</v>
      </c>
      <c r="B51" s="66">
        <v>44734</v>
      </c>
      <c r="C51">
        <v>11.7</v>
      </c>
      <c r="D51" t="s">
        <v>177</v>
      </c>
      <c r="E51">
        <v>100</v>
      </c>
      <c r="F51">
        <v>24.6</v>
      </c>
      <c r="G51" t="s">
        <v>177</v>
      </c>
      <c r="H51">
        <v>100</v>
      </c>
      <c r="I51">
        <v>19.2</v>
      </c>
      <c r="J51" t="s">
        <v>178</v>
      </c>
      <c r="K51">
        <v>100</v>
      </c>
      <c r="L51">
        <v>109.4</v>
      </c>
      <c r="M51" t="s">
        <v>178</v>
      </c>
      <c r="N51" t="s">
        <v>179</v>
      </c>
      <c r="O51">
        <v>0</v>
      </c>
    </row>
    <row r="52" spans="1:15" x14ac:dyDescent="0.3">
      <c r="A52" t="s">
        <v>176</v>
      </c>
      <c r="B52" s="66">
        <v>44735</v>
      </c>
      <c r="C52">
        <v>7</v>
      </c>
      <c r="D52" t="s">
        <v>177</v>
      </c>
      <c r="E52">
        <v>100</v>
      </c>
      <c r="F52">
        <v>23.4</v>
      </c>
      <c r="G52" t="s">
        <v>177</v>
      </c>
      <c r="H52">
        <v>100</v>
      </c>
      <c r="I52">
        <v>15.7</v>
      </c>
      <c r="J52" t="s">
        <v>178</v>
      </c>
      <c r="K52">
        <v>100</v>
      </c>
      <c r="L52">
        <v>109.4</v>
      </c>
      <c r="M52" t="s">
        <v>178</v>
      </c>
      <c r="N52" t="s">
        <v>179</v>
      </c>
      <c r="O52">
        <v>0</v>
      </c>
    </row>
    <row r="53" spans="1:15" x14ac:dyDescent="0.3">
      <c r="A53" t="s">
        <v>176</v>
      </c>
      <c r="B53" s="66">
        <v>44736</v>
      </c>
      <c r="C53">
        <v>3.2</v>
      </c>
      <c r="D53" t="s">
        <v>177</v>
      </c>
      <c r="E53">
        <v>100</v>
      </c>
      <c r="F53">
        <v>13.9</v>
      </c>
      <c r="G53" t="s">
        <v>177</v>
      </c>
      <c r="H53">
        <v>100</v>
      </c>
      <c r="I53">
        <v>9.1</v>
      </c>
      <c r="J53" t="s">
        <v>178</v>
      </c>
      <c r="K53">
        <v>100</v>
      </c>
      <c r="L53">
        <v>117.1</v>
      </c>
      <c r="M53" t="s">
        <v>178</v>
      </c>
      <c r="N53" t="s">
        <v>179</v>
      </c>
      <c r="O53">
        <v>7.7</v>
      </c>
    </row>
    <row r="54" spans="1:15" x14ac:dyDescent="0.3">
      <c r="A54" t="s">
        <v>176</v>
      </c>
      <c r="B54" s="66">
        <v>44737</v>
      </c>
      <c r="C54">
        <v>6.6</v>
      </c>
      <c r="D54" t="s">
        <v>177</v>
      </c>
      <c r="E54">
        <v>100</v>
      </c>
      <c r="F54">
        <v>19.899999999999999</v>
      </c>
      <c r="G54" t="s">
        <v>177</v>
      </c>
      <c r="H54">
        <v>100</v>
      </c>
      <c r="I54">
        <v>13.7</v>
      </c>
      <c r="J54" t="s">
        <v>178</v>
      </c>
      <c r="K54">
        <v>100</v>
      </c>
      <c r="L54">
        <v>117.1</v>
      </c>
      <c r="M54" t="s">
        <v>178</v>
      </c>
      <c r="N54" t="s">
        <v>179</v>
      </c>
      <c r="O54">
        <v>0</v>
      </c>
    </row>
    <row r="55" spans="1:15" x14ac:dyDescent="0.3">
      <c r="A55" t="s">
        <v>176</v>
      </c>
      <c r="B55" s="66">
        <v>44738</v>
      </c>
      <c r="C55">
        <v>5.0999999999999996</v>
      </c>
      <c r="D55" t="s">
        <v>177</v>
      </c>
      <c r="E55">
        <v>100</v>
      </c>
      <c r="F55">
        <v>24.9</v>
      </c>
      <c r="G55" t="s">
        <v>177</v>
      </c>
      <c r="H55">
        <v>100</v>
      </c>
      <c r="I55">
        <v>16.5</v>
      </c>
      <c r="J55" t="s">
        <v>178</v>
      </c>
      <c r="K55">
        <v>100</v>
      </c>
      <c r="L55">
        <v>117.1</v>
      </c>
      <c r="M55" t="s">
        <v>178</v>
      </c>
      <c r="N55" t="s">
        <v>179</v>
      </c>
      <c r="O55">
        <v>0</v>
      </c>
    </row>
    <row r="56" spans="1:15" x14ac:dyDescent="0.3">
      <c r="A56" t="s">
        <v>176</v>
      </c>
      <c r="B56" s="66">
        <v>44739</v>
      </c>
      <c r="C56">
        <v>7.8</v>
      </c>
      <c r="D56" t="s">
        <v>177</v>
      </c>
      <c r="E56">
        <v>100</v>
      </c>
      <c r="F56">
        <v>27.9</v>
      </c>
      <c r="G56" t="s">
        <v>177</v>
      </c>
      <c r="H56">
        <v>100</v>
      </c>
      <c r="I56">
        <v>18.100000000000001</v>
      </c>
      <c r="J56" t="s">
        <v>178</v>
      </c>
      <c r="K56">
        <v>100</v>
      </c>
      <c r="L56">
        <v>117.1</v>
      </c>
      <c r="M56" t="s">
        <v>178</v>
      </c>
      <c r="N56" t="s">
        <v>179</v>
      </c>
      <c r="O56">
        <v>0</v>
      </c>
    </row>
    <row r="57" spans="1:15" x14ac:dyDescent="0.3">
      <c r="A57" t="s">
        <v>176</v>
      </c>
      <c r="B57" s="66">
        <v>44740</v>
      </c>
      <c r="C57">
        <v>11.4</v>
      </c>
      <c r="D57" t="s">
        <v>177</v>
      </c>
      <c r="E57">
        <v>100</v>
      </c>
      <c r="F57">
        <v>25.2</v>
      </c>
      <c r="G57" t="s">
        <v>177</v>
      </c>
      <c r="H57">
        <v>100</v>
      </c>
      <c r="I57">
        <v>17.899999999999999</v>
      </c>
      <c r="J57" t="s">
        <v>178</v>
      </c>
      <c r="K57">
        <v>100</v>
      </c>
      <c r="L57">
        <v>117.1</v>
      </c>
      <c r="M57" t="s">
        <v>178</v>
      </c>
      <c r="N57" t="s">
        <v>179</v>
      </c>
      <c r="O57">
        <v>0</v>
      </c>
    </row>
    <row r="58" spans="1:15" x14ac:dyDescent="0.3">
      <c r="A58" t="s">
        <v>176</v>
      </c>
      <c r="B58" s="66">
        <v>44741</v>
      </c>
      <c r="C58">
        <v>10.199999999999999</v>
      </c>
      <c r="D58" t="s">
        <v>177</v>
      </c>
      <c r="E58">
        <v>100</v>
      </c>
      <c r="F58">
        <v>21.7</v>
      </c>
      <c r="G58" t="s">
        <v>177</v>
      </c>
      <c r="H58">
        <v>100</v>
      </c>
      <c r="I58">
        <v>17.600000000000001</v>
      </c>
      <c r="J58" t="s">
        <v>178</v>
      </c>
      <c r="K58">
        <v>100</v>
      </c>
      <c r="L58">
        <v>117.1</v>
      </c>
      <c r="M58" t="s">
        <v>178</v>
      </c>
      <c r="N58" t="s">
        <v>179</v>
      </c>
      <c r="O58">
        <v>0</v>
      </c>
    </row>
    <row r="59" spans="1:15" x14ac:dyDescent="0.3">
      <c r="A59" t="s">
        <v>176</v>
      </c>
      <c r="B59" s="66">
        <v>44742</v>
      </c>
      <c r="C59">
        <v>8.1999999999999993</v>
      </c>
      <c r="D59" t="s">
        <v>177</v>
      </c>
      <c r="E59">
        <v>100</v>
      </c>
      <c r="F59">
        <v>23.4</v>
      </c>
      <c r="G59" t="s">
        <v>177</v>
      </c>
      <c r="H59">
        <v>100</v>
      </c>
      <c r="I59">
        <v>15.9</v>
      </c>
      <c r="J59" t="s">
        <v>178</v>
      </c>
      <c r="K59">
        <v>100</v>
      </c>
      <c r="L59">
        <v>117.1</v>
      </c>
      <c r="M59" t="s">
        <v>178</v>
      </c>
      <c r="N59" t="s">
        <v>179</v>
      </c>
      <c r="O59">
        <v>0</v>
      </c>
    </row>
    <row r="60" spans="1:15" x14ac:dyDescent="0.3">
      <c r="A60" t="s">
        <v>176</v>
      </c>
      <c r="B60" s="66">
        <v>44743</v>
      </c>
      <c r="C60">
        <v>7.4</v>
      </c>
      <c r="D60" t="s">
        <v>177</v>
      </c>
      <c r="E60">
        <v>100</v>
      </c>
      <c r="F60">
        <v>26.6</v>
      </c>
      <c r="G60" t="s">
        <v>177</v>
      </c>
      <c r="H60">
        <v>100</v>
      </c>
      <c r="I60">
        <v>17.3</v>
      </c>
      <c r="J60" t="s">
        <v>178</v>
      </c>
      <c r="K60">
        <v>100</v>
      </c>
      <c r="L60">
        <v>117.1</v>
      </c>
      <c r="M60" t="s">
        <v>178</v>
      </c>
      <c r="N60" t="s">
        <v>179</v>
      </c>
      <c r="O60">
        <v>0</v>
      </c>
    </row>
    <row r="61" spans="1:15" x14ac:dyDescent="0.3">
      <c r="A61" t="s">
        <v>176</v>
      </c>
      <c r="B61" s="66">
        <v>44744</v>
      </c>
      <c r="C61">
        <v>10.9</v>
      </c>
      <c r="D61" t="s">
        <v>177</v>
      </c>
      <c r="E61">
        <v>100</v>
      </c>
      <c r="F61">
        <v>21.9</v>
      </c>
      <c r="G61" t="s">
        <v>177</v>
      </c>
      <c r="H61">
        <v>100</v>
      </c>
      <c r="I61">
        <v>16</v>
      </c>
      <c r="J61" t="s">
        <v>178</v>
      </c>
      <c r="K61">
        <v>100</v>
      </c>
      <c r="L61">
        <v>119.4</v>
      </c>
      <c r="M61" t="s">
        <v>178</v>
      </c>
      <c r="N61" t="s">
        <v>179</v>
      </c>
      <c r="O61">
        <v>2.2999999999999998</v>
      </c>
    </row>
    <row r="62" spans="1:15" x14ac:dyDescent="0.3">
      <c r="A62" t="s">
        <v>176</v>
      </c>
      <c r="B62" s="66">
        <v>44745</v>
      </c>
      <c r="C62">
        <v>10.9</v>
      </c>
      <c r="D62" t="s">
        <v>177</v>
      </c>
      <c r="E62">
        <v>100</v>
      </c>
      <c r="F62">
        <v>14.5</v>
      </c>
      <c r="G62" t="s">
        <v>177</v>
      </c>
      <c r="H62">
        <v>100</v>
      </c>
      <c r="I62">
        <v>12.3</v>
      </c>
      <c r="J62" t="s">
        <v>178</v>
      </c>
      <c r="K62">
        <v>100</v>
      </c>
      <c r="L62">
        <v>130.30000000000001</v>
      </c>
      <c r="M62" t="s">
        <v>178</v>
      </c>
      <c r="N62" t="s">
        <v>179</v>
      </c>
      <c r="O62">
        <v>10.9</v>
      </c>
    </row>
    <row r="63" spans="1:15" x14ac:dyDescent="0.3">
      <c r="A63" t="s">
        <v>176</v>
      </c>
      <c r="B63" s="66">
        <v>44746</v>
      </c>
      <c r="C63">
        <v>12</v>
      </c>
      <c r="D63" t="s">
        <v>177</v>
      </c>
      <c r="E63">
        <v>100</v>
      </c>
      <c r="F63">
        <v>19.899999999999999</v>
      </c>
      <c r="G63" t="s">
        <v>177</v>
      </c>
      <c r="H63">
        <v>100</v>
      </c>
      <c r="I63">
        <v>14.3</v>
      </c>
      <c r="J63" t="s">
        <v>178</v>
      </c>
      <c r="K63">
        <v>100</v>
      </c>
      <c r="L63">
        <v>168.6</v>
      </c>
      <c r="M63" t="s">
        <v>178</v>
      </c>
      <c r="N63" t="s">
        <v>179</v>
      </c>
      <c r="O63">
        <v>38.299999999999997</v>
      </c>
    </row>
    <row r="64" spans="1:15" x14ac:dyDescent="0.3">
      <c r="A64" t="s">
        <v>176</v>
      </c>
      <c r="B64" s="66">
        <v>44747</v>
      </c>
      <c r="C64">
        <v>7.7</v>
      </c>
      <c r="D64" t="s">
        <v>177</v>
      </c>
      <c r="E64">
        <v>100</v>
      </c>
      <c r="F64">
        <v>22.3</v>
      </c>
      <c r="G64" t="s">
        <v>177</v>
      </c>
      <c r="H64">
        <v>100</v>
      </c>
      <c r="I64">
        <v>15.8</v>
      </c>
      <c r="J64" t="s">
        <v>178</v>
      </c>
      <c r="K64">
        <v>100</v>
      </c>
      <c r="L64">
        <v>168.8</v>
      </c>
      <c r="M64" t="s">
        <v>178</v>
      </c>
      <c r="N64" t="s">
        <v>179</v>
      </c>
      <c r="O64">
        <v>0.2</v>
      </c>
    </row>
    <row r="65" spans="1:15" x14ac:dyDescent="0.3">
      <c r="A65" t="s">
        <v>176</v>
      </c>
      <c r="B65" s="66">
        <v>44748</v>
      </c>
      <c r="C65">
        <v>8</v>
      </c>
      <c r="D65" t="s">
        <v>177</v>
      </c>
      <c r="E65">
        <v>100</v>
      </c>
      <c r="F65">
        <v>22.3</v>
      </c>
      <c r="G65" t="s">
        <v>177</v>
      </c>
      <c r="H65">
        <v>100</v>
      </c>
      <c r="I65">
        <v>15.4</v>
      </c>
      <c r="J65" t="s">
        <v>178</v>
      </c>
      <c r="K65">
        <v>100</v>
      </c>
      <c r="L65">
        <v>169.3</v>
      </c>
      <c r="M65" t="s">
        <v>178</v>
      </c>
      <c r="N65" t="s">
        <v>179</v>
      </c>
      <c r="O65">
        <v>0.5</v>
      </c>
    </row>
    <row r="66" spans="1:15" x14ac:dyDescent="0.3">
      <c r="A66" t="s">
        <v>176</v>
      </c>
      <c r="B66" s="66">
        <v>44749</v>
      </c>
      <c r="C66">
        <v>11.1</v>
      </c>
      <c r="D66" t="s">
        <v>177</v>
      </c>
      <c r="E66">
        <v>100</v>
      </c>
      <c r="F66">
        <v>25.2</v>
      </c>
      <c r="G66" t="s">
        <v>177</v>
      </c>
      <c r="H66">
        <v>100</v>
      </c>
      <c r="I66">
        <v>18.899999999999999</v>
      </c>
      <c r="J66" t="s">
        <v>178</v>
      </c>
      <c r="K66">
        <v>100</v>
      </c>
      <c r="L66">
        <v>169.3</v>
      </c>
      <c r="M66" t="s">
        <v>178</v>
      </c>
      <c r="N66" t="s">
        <v>179</v>
      </c>
      <c r="O66">
        <v>0</v>
      </c>
    </row>
    <row r="67" spans="1:15" x14ac:dyDescent="0.3">
      <c r="A67" t="s">
        <v>176</v>
      </c>
      <c r="B67" s="66">
        <v>44750</v>
      </c>
      <c r="C67">
        <v>12.8</v>
      </c>
      <c r="D67" t="s">
        <v>177</v>
      </c>
      <c r="E67">
        <v>100</v>
      </c>
      <c r="F67">
        <v>27.8</v>
      </c>
      <c r="G67" t="s">
        <v>177</v>
      </c>
      <c r="H67">
        <v>100</v>
      </c>
      <c r="I67">
        <v>21</v>
      </c>
      <c r="J67" t="s">
        <v>178</v>
      </c>
      <c r="K67">
        <v>100</v>
      </c>
      <c r="L67">
        <v>169.3</v>
      </c>
      <c r="M67" t="s">
        <v>178</v>
      </c>
      <c r="N67" t="s">
        <v>179</v>
      </c>
      <c r="O67">
        <v>0</v>
      </c>
    </row>
    <row r="68" spans="1:15" x14ac:dyDescent="0.3">
      <c r="A68" t="s">
        <v>176</v>
      </c>
      <c r="B68" s="66">
        <v>44751</v>
      </c>
      <c r="C68">
        <v>11.3</v>
      </c>
      <c r="D68" t="s">
        <v>177</v>
      </c>
      <c r="E68">
        <v>100</v>
      </c>
      <c r="F68">
        <v>27.2</v>
      </c>
      <c r="G68" t="s">
        <v>177</v>
      </c>
      <c r="H68">
        <v>100</v>
      </c>
      <c r="I68">
        <v>20.8</v>
      </c>
      <c r="J68" t="s">
        <v>178</v>
      </c>
      <c r="K68">
        <v>100</v>
      </c>
      <c r="L68">
        <v>169.4</v>
      </c>
      <c r="M68" t="s">
        <v>178</v>
      </c>
      <c r="N68" t="s">
        <v>179</v>
      </c>
      <c r="O68">
        <v>0.1</v>
      </c>
    </row>
    <row r="69" spans="1:15" x14ac:dyDescent="0.3">
      <c r="A69" t="s">
        <v>176</v>
      </c>
      <c r="B69" s="66">
        <v>44752</v>
      </c>
      <c r="C69">
        <v>11.2</v>
      </c>
      <c r="D69" t="s">
        <v>177</v>
      </c>
      <c r="E69">
        <v>100</v>
      </c>
      <c r="F69">
        <v>24</v>
      </c>
      <c r="G69" t="s">
        <v>177</v>
      </c>
      <c r="H69">
        <v>100</v>
      </c>
      <c r="I69">
        <v>17.899999999999999</v>
      </c>
      <c r="J69" t="s">
        <v>178</v>
      </c>
      <c r="K69">
        <v>100</v>
      </c>
      <c r="L69">
        <v>169.4</v>
      </c>
      <c r="M69" t="s">
        <v>178</v>
      </c>
      <c r="N69" t="s">
        <v>179</v>
      </c>
      <c r="O69">
        <v>0</v>
      </c>
    </row>
    <row r="70" spans="1:15" x14ac:dyDescent="0.3">
      <c r="A70" t="s">
        <v>176</v>
      </c>
      <c r="B70" s="66">
        <v>44753</v>
      </c>
      <c r="C70">
        <v>8.5</v>
      </c>
      <c r="D70" t="s">
        <v>177</v>
      </c>
      <c r="E70">
        <v>100</v>
      </c>
      <c r="F70">
        <v>26.6</v>
      </c>
      <c r="G70" t="s">
        <v>177</v>
      </c>
      <c r="H70">
        <v>100</v>
      </c>
      <c r="I70">
        <v>18.399999999999999</v>
      </c>
      <c r="J70" t="s">
        <v>178</v>
      </c>
      <c r="K70">
        <v>100</v>
      </c>
      <c r="L70">
        <v>169.4</v>
      </c>
      <c r="M70" t="s">
        <v>178</v>
      </c>
      <c r="N70" t="s">
        <v>179</v>
      </c>
      <c r="O70">
        <v>0</v>
      </c>
    </row>
    <row r="71" spans="1:15" x14ac:dyDescent="0.3">
      <c r="A71" t="s">
        <v>176</v>
      </c>
      <c r="B71" s="66">
        <v>44754</v>
      </c>
      <c r="C71">
        <v>10.199999999999999</v>
      </c>
      <c r="D71" t="s">
        <v>177</v>
      </c>
      <c r="E71">
        <v>100</v>
      </c>
      <c r="F71">
        <v>30.6</v>
      </c>
      <c r="G71" t="s">
        <v>177</v>
      </c>
      <c r="H71">
        <v>100</v>
      </c>
      <c r="I71">
        <v>21.3</v>
      </c>
      <c r="J71" t="s">
        <v>178</v>
      </c>
      <c r="K71">
        <v>100</v>
      </c>
      <c r="L71">
        <v>169.4</v>
      </c>
      <c r="M71" t="s">
        <v>178</v>
      </c>
      <c r="N71" t="s">
        <v>179</v>
      </c>
      <c r="O71">
        <v>0</v>
      </c>
    </row>
    <row r="72" spans="1:15" x14ac:dyDescent="0.3">
      <c r="A72" t="s">
        <v>176</v>
      </c>
      <c r="B72" s="66">
        <v>44755</v>
      </c>
      <c r="C72">
        <v>12.9</v>
      </c>
      <c r="D72" t="s">
        <v>177</v>
      </c>
      <c r="E72">
        <v>100</v>
      </c>
      <c r="F72">
        <v>29</v>
      </c>
      <c r="G72" t="s">
        <v>177</v>
      </c>
      <c r="H72">
        <v>100</v>
      </c>
      <c r="I72">
        <v>20.8</v>
      </c>
      <c r="J72" t="s">
        <v>178</v>
      </c>
      <c r="K72">
        <v>100</v>
      </c>
      <c r="L72">
        <v>169.4</v>
      </c>
      <c r="M72" t="s">
        <v>178</v>
      </c>
      <c r="N72" t="s">
        <v>179</v>
      </c>
      <c r="O72">
        <v>0</v>
      </c>
    </row>
    <row r="73" spans="1:15" x14ac:dyDescent="0.3">
      <c r="A73" t="s">
        <v>176</v>
      </c>
      <c r="B73" s="66">
        <v>44756</v>
      </c>
      <c r="C73">
        <v>10.8</v>
      </c>
      <c r="D73" t="s">
        <v>177</v>
      </c>
      <c r="E73">
        <v>100</v>
      </c>
      <c r="F73">
        <v>29.1</v>
      </c>
      <c r="G73" t="s">
        <v>177</v>
      </c>
      <c r="H73">
        <v>100</v>
      </c>
      <c r="I73">
        <v>20.7</v>
      </c>
      <c r="J73" t="s">
        <v>178</v>
      </c>
      <c r="K73">
        <v>100</v>
      </c>
      <c r="L73">
        <v>169.4</v>
      </c>
      <c r="M73" t="s">
        <v>178</v>
      </c>
      <c r="N73" t="s">
        <v>179</v>
      </c>
      <c r="O73">
        <v>0</v>
      </c>
    </row>
    <row r="74" spans="1:15" x14ac:dyDescent="0.3">
      <c r="A74" t="s">
        <v>176</v>
      </c>
      <c r="B74" s="66">
        <v>44757</v>
      </c>
      <c r="C74">
        <v>10.3</v>
      </c>
      <c r="D74" t="s">
        <v>177</v>
      </c>
      <c r="E74">
        <v>100</v>
      </c>
      <c r="F74">
        <v>29.2</v>
      </c>
      <c r="G74" t="s">
        <v>177</v>
      </c>
      <c r="H74">
        <v>100</v>
      </c>
      <c r="I74">
        <v>20.6</v>
      </c>
      <c r="J74" t="s">
        <v>178</v>
      </c>
      <c r="K74">
        <v>100</v>
      </c>
      <c r="L74">
        <v>169.4</v>
      </c>
      <c r="M74" t="s">
        <v>178</v>
      </c>
      <c r="N74" t="s">
        <v>179</v>
      </c>
      <c r="O74">
        <v>0</v>
      </c>
    </row>
    <row r="75" spans="1:15" x14ac:dyDescent="0.3">
      <c r="A75" t="s">
        <v>176</v>
      </c>
      <c r="B75" s="66">
        <v>44758</v>
      </c>
      <c r="C75">
        <v>16.399999999999999</v>
      </c>
      <c r="D75" t="s">
        <v>177</v>
      </c>
      <c r="E75">
        <v>100</v>
      </c>
      <c r="F75">
        <v>30.4</v>
      </c>
      <c r="G75" t="s">
        <v>177</v>
      </c>
      <c r="H75">
        <v>100</v>
      </c>
      <c r="I75">
        <v>23.7</v>
      </c>
      <c r="J75" t="s">
        <v>178</v>
      </c>
      <c r="K75">
        <v>100</v>
      </c>
      <c r="L75">
        <v>169.4</v>
      </c>
      <c r="M75" t="s">
        <v>178</v>
      </c>
      <c r="N75" t="s">
        <v>179</v>
      </c>
      <c r="O75">
        <v>0</v>
      </c>
    </row>
    <row r="76" spans="1:15" x14ac:dyDescent="0.3">
      <c r="A76" t="s">
        <v>176</v>
      </c>
      <c r="B76" s="66">
        <v>44759</v>
      </c>
      <c r="C76">
        <v>13.1</v>
      </c>
      <c r="D76" t="s">
        <v>177</v>
      </c>
      <c r="E76">
        <v>100</v>
      </c>
      <c r="F76">
        <v>27.2</v>
      </c>
      <c r="G76" t="s">
        <v>177</v>
      </c>
      <c r="H76">
        <v>100</v>
      </c>
      <c r="I76">
        <v>20.8</v>
      </c>
      <c r="J76" t="s">
        <v>178</v>
      </c>
      <c r="K76">
        <v>100</v>
      </c>
      <c r="L76">
        <v>169.4</v>
      </c>
      <c r="M76" t="s">
        <v>178</v>
      </c>
      <c r="N76" t="s">
        <v>179</v>
      </c>
      <c r="O76">
        <v>0</v>
      </c>
    </row>
    <row r="77" spans="1:15" x14ac:dyDescent="0.3">
      <c r="A77" t="s">
        <v>176</v>
      </c>
      <c r="B77" s="66">
        <v>44760</v>
      </c>
      <c r="C77">
        <v>11.2</v>
      </c>
      <c r="D77" t="s">
        <v>177</v>
      </c>
      <c r="E77">
        <v>100</v>
      </c>
      <c r="F77">
        <v>20.399999999999999</v>
      </c>
      <c r="G77" t="s">
        <v>177</v>
      </c>
      <c r="H77">
        <v>100</v>
      </c>
      <c r="I77">
        <v>15.5</v>
      </c>
      <c r="J77" t="s">
        <v>178</v>
      </c>
      <c r="K77">
        <v>100</v>
      </c>
      <c r="L77">
        <v>183.4</v>
      </c>
      <c r="M77" t="s">
        <v>178</v>
      </c>
      <c r="N77" t="s">
        <v>179</v>
      </c>
      <c r="O77">
        <v>14</v>
      </c>
    </row>
    <row r="78" spans="1:15" x14ac:dyDescent="0.3">
      <c r="A78" t="s">
        <v>176</v>
      </c>
      <c r="B78" s="66">
        <v>44761</v>
      </c>
      <c r="C78">
        <v>14</v>
      </c>
      <c r="D78" t="s">
        <v>177</v>
      </c>
      <c r="E78">
        <v>100</v>
      </c>
      <c r="F78">
        <v>27.1</v>
      </c>
      <c r="G78" t="s">
        <v>177</v>
      </c>
      <c r="H78">
        <v>100</v>
      </c>
      <c r="I78">
        <v>21</v>
      </c>
      <c r="J78" t="s">
        <v>178</v>
      </c>
      <c r="K78">
        <v>100</v>
      </c>
      <c r="L78">
        <v>183.4</v>
      </c>
      <c r="M78" t="s">
        <v>178</v>
      </c>
      <c r="N78" t="s">
        <v>179</v>
      </c>
      <c r="O78">
        <v>0</v>
      </c>
    </row>
    <row r="79" spans="1:15" x14ac:dyDescent="0.3">
      <c r="A79" t="s">
        <v>176</v>
      </c>
      <c r="B79" s="66">
        <v>44762</v>
      </c>
      <c r="C79">
        <v>11.5</v>
      </c>
      <c r="D79" t="s">
        <v>177</v>
      </c>
      <c r="E79">
        <v>100</v>
      </c>
      <c r="F79">
        <v>28.9</v>
      </c>
      <c r="G79" t="s">
        <v>177</v>
      </c>
      <c r="H79">
        <v>100</v>
      </c>
      <c r="I79">
        <v>20</v>
      </c>
      <c r="J79" t="s">
        <v>178</v>
      </c>
      <c r="K79">
        <v>100</v>
      </c>
      <c r="L79">
        <v>183.4</v>
      </c>
      <c r="M79" t="s">
        <v>178</v>
      </c>
      <c r="N79" t="s">
        <v>179</v>
      </c>
      <c r="O79">
        <v>0</v>
      </c>
    </row>
    <row r="80" spans="1:15" x14ac:dyDescent="0.3">
      <c r="A80" t="s">
        <v>176</v>
      </c>
      <c r="B80" s="66">
        <v>44763</v>
      </c>
      <c r="C80">
        <v>11.8</v>
      </c>
      <c r="D80" t="s">
        <v>177</v>
      </c>
      <c r="E80">
        <v>100</v>
      </c>
      <c r="F80">
        <v>30.8</v>
      </c>
      <c r="G80" t="s">
        <v>177</v>
      </c>
      <c r="H80">
        <v>100</v>
      </c>
      <c r="I80">
        <v>21.3</v>
      </c>
      <c r="J80" t="s">
        <v>178</v>
      </c>
      <c r="K80">
        <v>100</v>
      </c>
      <c r="L80">
        <v>183.4</v>
      </c>
      <c r="M80" t="s">
        <v>178</v>
      </c>
      <c r="N80" t="s">
        <v>179</v>
      </c>
      <c r="O80">
        <v>0</v>
      </c>
    </row>
    <row r="81" spans="1:15" x14ac:dyDescent="0.3">
      <c r="A81" t="s">
        <v>176</v>
      </c>
      <c r="B81" s="66">
        <v>44764</v>
      </c>
      <c r="C81">
        <v>14.3</v>
      </c>
      <c r="D81" t="s">
        <v>177</v>
      </c>
      <c r="E81">
        <v>100</v>
      </c>
      <c r="F81">
        <v>22.6</v>
      </c>
      <c r="G81" t="s">
        <v>177</v>
      </c>
      <c r="H81">
        <v>100</v>
      </c>
      <c r="I81">
        <v>18.3</v>
      </c>
      <c r="J81" t="s">
        <v>178</v>
      </c>
      <c r="K81">
        <v>100</v>
      </c>
      <c r="L81">
        <v>183.4</v>
      </c>
      <c r="M81" t="s">
        <v>178</v>
      </c>
      <c r="N81" t="s">
        <v>179</v>
      </c>
      <c r="O81">
        <v>0</v>
      </c>
    </row>
    <row r="82" spans="1:15" x14ac:dyDescent="0.3">
      <c r="A82" t="s">
        <v>176</v>
      </c>
      <c r="B82" s="66">
        <v>44765</v>
      </c>
      <c r="C82">
        <v>9.8000000000000007</v>
      </c>
      <c r="D82" t="s">
        <v>177</v>
      </c>
      <c r="E82">
        <v>100</v>
      </c>
      <c r="F82">
        <v>25.4</v>
      </c>
      <c r="G82" t="s">
        <v>177</v>
      </c>
      <c r="H82">
        <v>100</v>
      </c>
      <c r="I82">
        <v>17.7</v>
      </c>
      <c r="J82" t="s">
        <v>178</v>
      </c>
      <c r="K82">
        <v>100</v>
      </c>
      <c r="L82">
        <v>183.4</v>
      </c>
      <c r="M82" t="s">
        <v>178</v>
      </c>
      <c r="N82" t="s">
        <v>179</v>
      </c>
      <c r="O82">
        <v>0</v>
      </c>
    </row>
    <row r="83" spans="1:15" x14ac:dyDescent="0.3">
      <c r="A83" t="s">
        <v>176</v>
      </c>
      <c r="B83" s="66">
        <v>44766</v>
      </c>
      <c r="C83">
        <v>10.9</v>
      </c>
      <c r="D83" t="s">
        <v>177</v>
      </c>
      <c r="E83">
        <v>100</v>
      </c>
      <c r="F83">
        <v>30.4</v>
      </c>
      <c r="G83" t="s">
        <v>177</v>
      </c>
      <c r="H83">
        <v>100</v>
      </c>
      <c r="I83">
        <v>20.100000000000001</v>
      </c>
      <c r="J83" t="s">
        <v>178</v>
      </c>
      <c r="K83">
        <v>100</v>
      </c>
      <c r="L83">
        <v>183.4</v>
      </c>
      <c r="M83" t="s">
        <v>178</v>
      </c>
      <c r="N83" t="s">
        <v>179</v>
      </c>
      <c r="O83">
        <v>0</v>
      </c>
    </row>
    <row r="84" spans="1:15" x14ac:dyDescent="0.3">
      <c r="A84" t="s">
        <v>176</v>
      </c>
      <c r="B84" s="66">
        <v>44767</v>
      </c>
      <c r="C84">
        <v>14.4</v>
      </c>
      <c r="D84" t="s">
        <v>177</v>
      </c>
      <c r="E84">
        <v>100</v>
      </c>
      <c r="F84">
        <v>22.6</v>
      </c>
      <c r="G84" t="s">
        <v>177</v>
      </c>
      <c r="H84">
        <v>100</v>
      </c>
      <c r="I84">
        <v>18.100000000000001</v>
      </c>
      <c r="J84" t="s">
        <v>178</v>
      </c>
      <c r="K84">
        <v>100</v>
      </c>
      <c r="L84">
        <v>183.4</v>
      </c>
      <c r="M84" t="s">
        <v>178</v>
      </c>
      <c r="N84" t="s">
        <v>179</v>
      </c>
      <c r="O84">
        <v>0</v>
      </c>
    </row>
    <row r="85" spans="1:15" x14ac:dyDescent="0.3">
      <c r="A85" t="s">
        <v>176</v>
      </c>
      <c r="B85" s="66">
        <v>44768</v>
      </c>
      <c r="C85">
        <v>12.6</v>
      </c>
      <c r="D85" t="s">
        <v>177</v>
      </c>
      <c r="E85">
        <v>100</v>
      </c>
      <c r="F85">
        <v>25.1</v>
      </c>
      <c r="G85" t="s">
        <v>177</v>
      </c>
      <c r="H85">
        <v>100</v>
      </c>
      <c r="I85">
        <v>19.2</v>
      </c>
      <c r="J85" t="s">
        <v>178</v>
      </c>
      <c r="K85">
        <v>100</v>
      </c>
      <c r="L85">
        <v>183.4</v>
      </c>
      <c r="M85" t="s">
        <v>178</v>
      </c>
      <c r="N85" t="s">
        <v>179</v>
      </c>
      <c r="O85">
        <v>0</v>
      </c>
    </row>
    <row r="86" spans="1:15" x14ac:dyDescent="0.3">
      <c r="A86" t="s">
        <v>176</v>
      </c>
      <c r="B86" s="66">
        <v>44769</v>
      </c>
      <c r="C86">
        <v>14.2</v>
      </c>
      <c r="D86" t="s">
        <v>177</v>
      </c>
      <c r="E86">
        <v>100</v>
      </c>
      <c r="F86">
        <v>26.1</v>
      </c>
      <c r="G86" t="s">
        <v>177</v>
      </c>
      <c r="H86">
        <v>100</v>
      </c>
      <c r="I86">
        <v>20.399999999999999</v>
      </c>
      <c r="J86" t="s">
        <v>178</v>
      </c>
      <c r="K86">
        <v>100</v>
      </c>
      <c r="L86">
        <v>183.4</v>
      </c>
      <c r="M86" t="s">
        <v>178</v>
      </c>
      <c r="N86" t="s">
        <v>179</v>
      </c>
      <c r="O86">
        <v>0</v>
      </c>
    </row>
    <row r="87" spans="1:15" x14ac:dyDescent="0.3">
      <c r="A87" t="s">
        <v>176</v>
      </c>
      <c r="B87" s="66">
        <v>44770</v>
      </c>
      <c r="C87">
        <v>11.7</v>
      </c>
      <c r="D87" t="s">
        <v>177</v>
      </c>
      <c r="E87">
        <v>100</v>
      </c>
      <c r="F87">
        <v>31</v>
      </c>
      <c r="G87" t="s">
        <v>177</v>
      </c>
      <c r="H87">
        <v>100</v>
      </c>
      <c r="I87">
        <v>21.7</v>
      </c>
      <c r="J87" t="s">
        <v>178</v>
      </c>
      <c r="K87">
        <v>100</v>
      </c>
      <c r="L87">
        <v>183.4</v>
      </c>
      <c r="M87" t="s">
        <v>178</v>
      </c>
      <c r="N87" t="s">
        <v>179</v>
      </c>
      <c r="O87">
        <v>0</v>
      </c>
    </row>
    <row r="88" spans="1:15" x14ac:dyDescent="0.3">
      <c r="A88" t="s">
        <v>176</v>
      </c>
      <c r="B88" s="66">
        <v>44771</v>
      </c>
      <c r="C88">
        <v>13.4</v>
      </c>
      <c r="D88" t="s">
        <v>177</v>
      </c>
      <c r="E88">
        <v>100</v>
      </c>
      <c r="F88">
        <v>32</v>
      </c>
      <c r="G88" t="s">
        <v>177</v>
      </c>
      <c r="H88">
        <v>100</v>
      </c>
      <c r="I88">
        <v>22.5</v>
      </c>
      <c r="J88" t="s">
        <v>178</v>
      </c>
      <c r="K88">
        <v>100</v>
      </c>
      <c r="L88">
        <v>183.4</v>
      </c>
      <c r="M88" t="s">
        <v>178</v>
      </c>
      <c r="N88" t="s">
        <v>179</v>
      </c>
      <c r="O88">
        <v>0</v>
      </c>
    </row>
    <row r="89" spans="1:15" x14ac:dyDescent="0.3">
      <c r="A89" t="s">
        <v>176</v>
      </c>
      <c r="B89" s="66">
        <v>44772</v>
      </c>
      <c r="C89">
        <v>14.5</v>
      </c>
      <c r="D89" t="s">
        <v>177</v>
      </c>
      <c r="E89">
        <v>100</v>
      </c>
      <c r="F89">
        <v>28.6</v>
      </c>
      <c r="G89" t="s">
        <v>177</v>
      </c>
      <c r="H89">
        <v>100</v>
      </c>
      <c r="I89">
        <v>21.2</v>
      </c>
      <c r="J89" t="s">
        <v>178</v>
      </c>
      <c r="K89">
        <v>100</v>
      </c>
      <c r="L89">
        <v>184.5</v>
      </c>
      <c r="M89" t="s">
        <v>178</v>
      </c>
      <c r="N89" t="s">
        <v>179</v>
      </c>
      <c r="O89">
        <v>1.1000000000000001</v>
      </c>
    </row>
    <row r="90" spans="1:15" x14ac:dyDescent="0.3">
      <c r="A90" t="s">
        <v>176</v>
      </c>
      <c r="B90" s="66">
        <v>44773</v>
      </c>
      <c r="C90">
        <v>12.4</v>
      </c>
      <c r="D90" t="s">
        <v>177</v>
      </c>
      <c r="E90">
        <v>100</v>
      </c>
      <c r="F90">
        <v>33</v>
      </c>
      <c r="G90" t="s">
        <v>177</v>
      </c>
      <c r="H90">
        <v>100</v>
      </c>
      <c r="I90">
        <v>22.6</v>
      </c>
      <c r="J90" t="s">
        <v>178</v>
      </c>
      <c r="K90">
        <v>100</v>
      </c>
      <c r="L90">
        <v>184.5</v>
      </c>
      <c r="M90" t="s">
        <v>178</v>
      </c>
      <c r="N90" t="s">
        <v>179</v>
      </c>
      <c r="O90">
        <v>0</v>
      </c>
    </row>
    <row r="91" spans="1:15" x14ac:dyDescent="0.3">
      <c r="A91" t="s">
        <v>176</v>
      </c>
      <c r="B91" s="66">
        <v>44774</v>
      </c>
      <c r="C91">
        <v>14.6</v>
      </c>
      <c r="D91" t="s">
        <v>177</v>
      </c>
      <c r="E91">
        <v>100</v>
      </c>
      <c r="F91">
        <v>32.6</v>
      </c>
      <c r="G91" t="s">
        <v>177</v>
      </c>
      <c r="H91">
        <v>100</v>
      </c>
      <c r="I91">
        <v>22.5</v>
      </c>
      <c r="J91" t="s">
        <v>178</v>
      </c>
      <c r="K91">
        <v>100</v>
      </c>
      <c r="L91">
        <v>184.6</v>
      </c>
      <c r="M91" t="s">
        <v>178</v>
      </c>
      <c r="N91" t="s">
        <v>179</v>
      </c>
      <c r="O91">
        <v>0.1</v>
      </c>
    </row>
    <row r="92" spans="1:15" x14ac:dyDescent="0.3">
      <c r="A92" t="s">
        <v>176</v>
      </c>
      <c r="B92" s="66">
        <v>44775</v>
      </c>
      <c r="C92">
        <v>11.5</v>
      </c>
      <c r="D92" t="s">
        <v>177</v>
      </c>
      <c r="E92">
        <v>100</v>
      </c>
      <c r="F92">
        <v>25.4</v>
      </c>
      <c r="G92" t="s">
        <v>177</v>
      </c>
      <c r="H92">
        <v>100</v>
      </c>
      <c r="I92">
        <v>19</v>
      </c>
      <c r="J92" t="s">
        <v>178</v>
      </c>
      <c r="K92">
        <v>100</v>
      </c>
      <c r="L92">
        <v>184.6</v>
      </c>
      <c r="M92" t="s">
        <v>178</v>
      </c>
      <c r="N92" t="s">
        <v>179</v>
      </c>
      <c r="O92">
        <v>0</v>
      </c>
    </row>
    <row r="93" spans="1:15" x14ac:dyDescent="0.3">
      <c r="A93" t="s">
        <v>176</v>
      </c>
      <c r="B93" s="66">
        <v>44776</v>
      </c>
      <c r="C93">
        <v>9.6999999999999993</v>
      </c>
      <c r="D93" t="s">
        <v>177</v>
      </c>
      <c r="E93">
        <v>100</v>
      </c>
      <c r="F93">
        <v>30.4</v>
      </c>
      <c r="G93" t="s">
        <v>177</v>
      </c>
      <c r="H93">
        <v>100</v>
      </c>
      <c r="I93">
        <v>20.2</v>
      </c>
      <c r="J93" t="s">
        <v>178</v>
      </c>
      <c r="K93">
        <v>100</v>
      </c>
      <c r="L93">
        <v>184.6</v>
      </c>
      <c r="M93" t="s">
        <v>178</v>
      </c>
      <c r="N93" t="s">
        <v>179</v>
      </c>
      <c r="O93">
        <v>0</v>
      </c>
    </row>
    <row r="94" spans="1:15" x14ac:dyDescent="0.3">
      <c r="A94" t="s">
        <v>176</v>
      </c>
      <c r="B94" s="66">
        <v>44777</v>
      </c>
      <c r="C94">
        <v>10.8</v>
      </c>
      <c r="D94" t="s">
        <v>177</v>
      </c>
      <c r="E94">
        <v>100</v>
      </c>
      <c r="F94">
        <v>28.4</v>
      </c>
      <c r="G94" t="s">
        <v>177</v>
      </c>
      <c r="H94">
        <v>100</v>
      </c>
      <c r="I94">
        <v>19.899999999999999</v>
      </c>
      <c r="J94" t="s">
        <v>178</v>
      </c>
      <c r="K94">
        <v>100</v>
      </c>
      <c r="L94">
        <v>184.6</v>
      </c>
      <c r="M94" t="s">
        <v>178</v>
      </c>
      <c r="N94" t="s">
        <v>179</v>
      </c>
      <c r="O94">
        <v>0</v>
      </c>
    </row>
    <row r="95" spans="1:15" x14ac:dyDescent="0.3">
      <c r="A95" t="s">
        <v>176</v>
      </c>
      <c r="B95" s="66">
        <v>44778</v>
      </c>
      <c r="C95">
        <v>6.7</v>
      </c>
      <c r="D95" t="s">
        <v>177</v>
      </c>
      <c r="E95">
        <v>100</v>
      </c>
      <c r="F95">
        <v>20.6</v>
      </c>
      <c r="G95" t="s">
        <v>177</v>
      </c>
      <c r="H95">
        <v>100</v>
      </c>
      <c r="I95">
        <v>14.1</v>
      </c>
      <c r="J95" t="s">
        <v>178</v>
      </c>
      <c r="K95">
        <v>100</v>
      </c>
      <c r="L95">
        <v>184.6</v>
      </c>
      <c r="M95" t="s">
        <v>178</v>
      </c>
      <c r="N95" t="s">
        <v>179</v>
      </c>
      <c r="O95">
        <v>0</v>
      </c>
    </row>
    <row r="96" spans="1:15" x14ac:dyDescent="0.3">
      <c r="A96" t="s">
        <v>176</v>
      </c>
      <c r="B96" s="66">
        <v>44779</v>
      </c>
      <c r="C96">
        <v>5</v>
      </c>
      <c r="D96" t="s">
        <v>177</v>
      </c>
      <c r="E96">
        <v>100</v>
      </c>
      <c r="F96">
        <v>25.6</v>
      </c>
      <c r="G96" t="s">
        <v>177</v>
      </c>
      <c r="H96">
        <v>100</v>
      </c>
      <c r="I96">
        <v>16</v>
      </c>
      <c r="J96" t="s">
        <v>178</v>
      </c>
      <c r="K96">
        <v>100</v>
      </c>
      <c r="L96">
        <v>184.6</v>
      </c>
      <c r="M96" t="s">
        <v>178</v>
      </c>
      <c r="N96" t="s">
        <v>179</v>
      </c>
      <c r="O96">
        <v>0</v>
      </c>
    </row>
    <row r="97" spans="1:15" x14ac:dyDescent="0.3">
      <c r="A97" t="s">
        <v>176</v>
      </c>
      <c r="B97" s="66">
        <v>44780</v>
      </c>
      <c r="C97">
        <v>9.4</v>
      </c>
      <c r="D97" t="s">
        <v>177</v>
      </c>
      <c r="E97">
        <v>100</v>
      </c>
      <c r="F97">
        <v>30.4</v>
      </c>
      <c r="G97" t="s">
        <v>177</v>
      </c>
      <c r="H97">
        <v>100</v>
      </c>
      <c r="I97">
        <v>20.100000000000001</v>
      </c>
      <c r="J97" t="s">
        <v>178</v>
      </c>
      <c r="K97">
        <v>100</v>
      </c>
      <c r="L97">
        <v>184.6</v>
      </c>
      <c r="M97" t="s">
        <v>178</v>
      </c>
      <c r="N97" t="s">
        <v>179</v>
      </c>
      <c r="O97">
        <v>0</v>
      </c>
    </row>
    <row r="98" spans="1:15" x14ac:dyDescent="0.3">
      <c r="A98" t="s">
        <v>176</v>
      </c>
      <c r="B98" s="66">
        <v>44781</v>
      </c>
      <c r="C98">
        <v>11.5</v>
      </c>
      <c r="D98" t="s">
        <v>177</v>
      </c>
      <c r="E98">
        <v>100</v>
      </c>
      <c r="F98" s="93">
        <v>34.299999999999997</v>
      </c>
      <c r="G98" t="s">
        <v>177</v>
      </c>
      <c r="H98">
        <v>100</v>
      </c>
      <c r="I98">
        <v>23.4</v>
      </c>
      <c r="J98" t="s">
        <v>178</v>
      </c>
      <c r="K98">
        <v>100</v>
      </c>
      <c r="L98">
        <v>184.6</v>
      </c>
      <c r="M98" t="s">
        <v>178</v>
      </c>
      <c r="N98" t="s">
        <v>179</v>
      </c>
      <c r="O98">
        <v>0</v>
      </c>
    </row>
    <row r="99" spans="1:15" x14ac:dyDescent="0.3">
      <c r="A99" t="s">
        <v>176</v>
      </c>
      <c r="B99" s="66">
        <v>44782</v>
      </c>
      <c r="C99">
        <v>8.6999999999999993</v>
      </c>
      <c r="D99" t="s">
        <v>177</v>
      </c>
      <c r="E99">
        <v>100</v>
      </c>
      <c r="F99">
        <v>30.7</v>
      </c>
      <c r="G99" t="s">
        <v>177</v>
      </c>
      <c r="H99">
        <v>100</v>
      </c>
      <c r="I99">
        <v>19.399999999999999</v>
      </c>
      <c r="J99" t="s">
        <v>178</v>
      </c>
      <c r="K99">
        <v>100</v>
      </c>
      <c r="L99">
        <v>184.6</v>
      </c>
      <c r="M99" t="s">
        <v>178</v>
      </c>
      <c r="N99" t="s">
        <v>179</v>
      </c>
      <c r="O99">
        <v>0</v>
      </c>
    </row>
    <row r="100" spans="1:15" x14ac:dyDescent="0.3">
      <c r="A100" t="s">
        <v>176</v>
      </c>
      <c r="B100" s="66">
        <v>44783</v>
      </c>
      <c r="C100">
        <v>13.6</v>
      </c>
      <c r="D100" t="s">
        <v>177</v>
      </c>
      <c r="E100">
        <v>100</v>
      </c>
      <c r="F100">
        <v>28.9</v>
      </c>
      <c r="G100" t="s">
        <v>177</v>
      </c>
      <c r="H100">
        <v>100</v>
      </c>
      <c r="I100">
        <v>20.399999999999999</v>
      </c>
      <c r="J100" t="s">
        <v>178</v>
      </c>
      <c r="K100">
        <v>100</v>
      </c>
      <c r="L100">
        <v>184.6</v>
      </c>
      <c r="M100" t="s">
        <v>178</v>
      </c>
      <c r="N100" t="s">
        <v>179</v>
      </c>
      <c r="O100">
        <v>0</v>
      </c>
    </row>
    <row r="101" spans="1:15" x14ac:dyDescent="0.3">
      <c r="A101" t="s">
        <v>176</v>
      </c>
      <c r="B101" s="66">
        <v>44784</v>
      </c>
      <c r="C101">
        <v>15.4</v>
      </c>
      <c r="D101" t="s">
        <v>177</v>
      </c>
      <c r="E101">
        <v>100</v>
      </c>
      <c r="F101" s="42">
        <v>34.700000000000003</v>
      </c>
      <c r="G101" t="s">
        <v>177</v>
      </c>
      <c r="H101">
        <v>100</v>
      </c>
      <c r="I101">
        <v>24.5</v>
      </c>
      <c r="J101" t="s">
        <v>178</v>
      </c>
      <c r="K101">
        <v>100</v>
      </c>
      <c r="L101">
        <v>184.6</v>
      </c>
      <c r="M101" t="s">
        <v>178</v>
      </c>
      <c r="N101" t="s">
        <v>179</v>
      </c>
      <c r="O101">
        <v>0</v>
      </c>
    </row>
    <row r="102" spans="1:15" x14ac:dyDescent="0.3">
      <c r="A102" t="s">
        <v>176</v>
      </c>
      <c r="B102" s="66">
        <v>44785</v>
      </c>
      <c r="C102">
        <v>14.1</v>
      </c>
      <c r="D102" t="s">
        <v>177</v>
      </c>
      <c r="E102">
        <v>100</v>
      </c>
      <c r="F102">
        <v>31</v>
      </c>
      <c r="G102" t="s">
        <v>177</v>
      </c>
      <c r="H102">
        <v>100</v>
      </c>
      <c r="I102">
        <v>22.1</v>
      </c>
      <c r="J102" t="s">
        <v>178</v>
      </c>
      <c r="K102">
        <v>100</v>
      </c>
      <c r="L102">
        <v>184.6</v>
      </c>
      <c r="M102" t="s">
        <v>178</v>
      </c>
      <c r="N102" t="s">
        <v>179</v>
      </c>
      <c r="O102">
        <v>0</v>
      </c>
    </row>
    <row r="103" spans="1:15" x14ac:dyDescent="0.3">
      <c r="A103" t="s">
        <v>176</v>
      </c>
      <c r="B103" s="66">
        <v>44786</v>
      </c>
      <c r="C103">
        <v>12.2</v>
      </c>
      <c r="D103" t="s">
        <v>177</v>
      </c>
      <c r="E103">
        <v>100</v>
      </c>
      <c r="F103">
        <v>33.700000000000003</v>
      </c>
      <c r="G103" t="s">
        <v>177</v>
      </c>
      <c r="H103">
        <v>100</v>
      </c>
      <c r="I103">
        <v>23.9</v>
      </c>
      <c r="J103" t="s">
        <v>178</v>
      </c>
      <c r="K103">
        <v>100</v>
      </c>
      <c r="L103">
        <v>184.7</v>
      </c>
      <c r="M103" t="s">
        <v>178</v>
      </c>
      <c r="N103" t="s">
        <v>179</v>
      </c>
      <c r="O103">
        <v>0.1</v>
      </c>
    </row>
    <row r="104" spans="1:15" x14ac:dyDescent="0.3">
      <c r="A104" t="s">
        <v>176</v>
      </c>
      <c r="B104" s="66">
        <v>44787</v>
      </c>
      <c r="C104">
        <v>13.1</v>
      </c>
      <c r="D104" t="s">
        <v>177</v>
      </c>
      <c r="E104">
        <v>100</v>
      </c>
      <c r="F104">
        <v>29.7</v>
      </c>
      <c r="G104" t="s">
        <v>177</v>
      </c>
      <c r="H104">
        <v>100</v>
      </c>
      <c r="I104">
        <v>22.1</v>
      </c>
      <c r="J104" t="s">
        <v>178</v>
      </c>
      <c r="K104">
        <v>100</v>
      </c>
      <c r="L104">
        <v>184.7</v>
      </c>
      <c r="M104" t="s">
        <v>178</v>
      </c>
      <c r="N104" t="s">
        <v>179</v>
      </c>
      <c r="O104">
        <v>0</v>
      </c>
    </row>
    <row r="105" spans="1:15" x14ac:dyDescent="0.3">
      <c r="A105" t="s">
        <v>176</v>
      </c>
      <c r="B105" s="66">
        <v>44788</v>
      </c>
      <c r="C105">
        <v>9</v>
      </c>
      <c r="D105" t="s">
        <v>177</v>
      </c>
      <c r="E105">
        <v>100</v>
      </c>
      <c r="F105">
        <v>30</v>
      </c>
      <c r="G105" t="s">
        <v>177</v>
      </c>
      <c r="H105">
        <v>100</v>
      </c>
      <c r="I105">
        <v>19.899999999999999</v>
      </c>
      <c r="J105" t="s">
        <v>178</v>
      </c>
      <c r="K105">
        <v>100</v>
      </c>
      <c r="L105">
        <v>184.7</v>
      </c>
      <c r="M105" t="s">
        <v>178</v>
      </c>
      <c r="N105" t="s">
        <v>179</v>
      </c>
      <c r="O105">
        <v>0</v>
      </c>
    </row>
    <row r="106" spans="1:15" x14ac:dyDescent="0.3">
      <c r="A106" t="s">
        <v>176</v>
      </c>
      <c r="B106" s="66">
        <v>44789</v>
      </c>
      <c r="C106">
        <v>9.6999999999999993</v>
      </c>
      <c r="D106" t="s">
        <v>177</v>
      </c>
      <c r="E106">
        <v>100</v>
      </c>
      <c r="F106">
        <v>33.4</v>
      </c>
      <c r="G106" t="s">
        <v>177</v>
      </c>
      <c r="H106">
        <v>100</v>
      </c>
      <c r="I106">
        <v>21.7</v>
      </c>
      <c r="J106" t="s">
        <v>178</v>
      </c>
      <c r="K106">
        <v>100</v>
      </c>
      <c r="L106">
        <v>184.7</v>
      </c>
      <c r="M106" t="s">
        <v>178</v>
      </c>
      <c r="N106" t="s">
        <v>179</v>
      </c>
      <c r="O106">
        <v>0</v>
      </c>
    </row>
    <row r="107" spans="1:15" x14ac:dyDescent="0.3">
      <c r="A107" t="s">
        <v>176</v>
      </c>
      <c r="B107" s="66">
        <v>44790</v>
      </c>
      <c r="C107">
        <v>14.6</v>
      </c>
      <c r="D107" t="s">
        <v>177</v>
      </c>
      <c r="E107">
        <v>100</v>
      </c>
      <c r="F107">
        <v>28.5</v>
      </c>
      <c r="G107" t="s">
        <v>177</v>
      </c>
      <c r="H107">
        <v>100</v>
      </c>
      <c r="I107">
        <v>21.4</v>
      </c>
      <c r="J107" t="s">
        <v>178</v>
      </c>
      <c r="K107">
        <v>100</v>
      </c>
      <c r="L107">
        <v>184.7</v>
      </c>
      <c r="M107" t="s">
        <v>178</v>
      </c>
      <c r="N107" t="s">
        <v>179</v>
      </c>
      <c r="O107">
        <v>0</v>
      </c>
    </row>
    <row r="108" spans="1:15" x14ac:dyDescent="0.3">
      <c r="A108" t="s">
        <v>176</v>
      </c>
      <c r="B108" s="66">
        <v>44791</v>
      </c>
      <c r="C108">
        <v>11.5</v>
      </c>
      <c r="D108" t="s">
        <v>177</v>
      </c>
      <c r="E108">
        <v>100</v>
      </c>
      <c r="F108">
        <v>32.1</v>
      </c>
      <c r="G108" t="s">
        <v>177</v>
      </c>
      <c r="H108">
        <v>100</v>
      </c>
      <c r="I108">
        <v>21.2</v>
      </c>
      <c r="J108" t="s">
        <v>178</v>
      </c>
      <c r="K108">
        <v>100</v>
      </c>
      <c r="L108">
        <v>184.7</v>
      </c>
      <c r="M108" t="s">
        <v>178</v>
      </c>
      <c r="N108" t="s">
        <v>179</v>
      </c>
      <c r="O108">
        <v>0</v>
      </c>
    </row>
    <row r="109" spans="1:15" x14ac:dyDescent="0.3">
      <c r="A109" t="s">
        <v>176</v>
      </c>
      <c r="B109" s="66">
        <v>44792</v>
      </c>
      <c r="C109">
        <v>11.2</v>
      </c>
      <c r="D109" t="s">
        <v>177</v>
      </c>
      <c r="E109">
        <v>100</v>
      </c>
      <c r="F109">
        <v>32.6</v>
      </c>
      <c r="G109" t="s">
        <v>177</v>
      </c>
      <c r="H109">
        <v>100</v>
      </c>
      <c r="I109">
        <v>22.5</v>
      </c>
      <c r="J109" t="s">
        <v>178</v>
      </c>
      <c r="K109">
        <v>100</v>
      </c>
      <c r="L109">
        <v>184.7</v>
      </c>
      <c r="M109" t="s">
        <v>178</v>
      </c>
      <c r="N109" t="s">
        <v>179</v>
      </c>
      <c r="O109">
        <v>0</v>
      </c>
    </row>
    <row r="110" spans="1:15" x14ac:dyDescent="0.3">
      <c r="A110" t="s">
        <v>176</v>
      </c>
      <c r="B110" s="66">
        <v>44793</v>
      </c>
      <c r="C110">
        <v>10.9</v>
      </c>
      <c r="D110" t="s">
        <v>177</v>
      </c>
      <c r="E110">
        <v>100</v>
      </c>
      <c r="F110">
        <v>31</v>
      </c>
      <c r="G110" t="s">
        <v>177</v>
      </c>
      <c r="H110">
        <v>100</v>
      </c>
      <c r="I110">
        <v>22</v>
      </c>
      <c r="J110" t="s">
        <v>178</v>
      </c>
      <c r="K110">
        <v>100</v>
      </c>
      <c r="L110">
        <v>184.8</v>
      </c>
      <c r="M110" t="s">
        <v>178</v>
      </c>
      <c r="N110" t="s">
        <v>179</v>
      </c>
      <c r="O110">
        <v>0.1</v>
      </c>
    </row>
    <row r="111" spans="1:15" x14ac:dyDescent="0.3">
      <c r="A111" t="s">
        <v>176</v>
      </c>
      <c r="B111" s="66">
        <v>44794</v>
      </c>
      <c r="C111">
        <v>15.6</v>
      </c>
      <c r="D111" t="s">
        <v>177</v>
      </c>
      <c r="E111">
        <v>100</v>
      </c>
      <c r="F111">
        <v>29.1</v>
      </c>
      <c r="G111" t="s">
        <v>177</v>
      </c>
      <c r="H111">
        <v>100</v>
      </c>
      <c r="I111">
        <v>22</v>
      </c>
      <c r="J111" t="s">
        <v>178</v>
      </c>
      <c r="K111">
        <v>100</v>
      </c>
      <c r="L111">
        <v>184.9</v>
      </c>
      <c r="M111" t="s">
        <v>178</v>
      </c>
      <c r="N111" t="s">
        <v>179</v>
      </c>
      <c r="O111">
        <v>0.1</v>
      </c>
    </row>
    <row r="112" spans="1:15" x14ac:dyDescent="0.3">
      <c r="A112" t="s">
        <v>176</v>
      </c>
      <c r="B112" s="66">
        <v>44795</v>
      </c>
      <c r="C112">
        <v>12.5</v>
      </c>
      <c r="D112" t="s">
        <v>177</v>
      </c>
      <c r="E112">
        <v>100</v>
      </c>
      <c r="F112">
        <v>29.7</v>
      </c>
      <c r="G112" t="s">
        <v>177</v>
      </c>
      <c r="H112">
        <v>100</v>
      </c>
      <c r="I112">
        <v>21</v>
      </c>
      <c r="J112" t="s">
        <v>178</v>
      </c>
      <c r="K112">
        <v>100</v>
      </c>
      <c r="L112">
        <v>184.9</v>
      </c>
      <c r="M112" t="s">
        <v>178</v>
      </c>
      <c r="N112" t="s">
        <v>179</v>
      </c>
      <c r="O112">
        <v>0</v>
      </c>
    </row>
    <row r="113" spans="15:15" x14ac:dyDescent="0.3">
      <c r="O113" s="92">
        <f>SUM(O2:O112)</f>
        <v>184.89999999999998</v>
      </c>
    </row>
  </sheetData>
  <autoFilter ref="F2:F112" xr:uid="{EFBA08AB-5DF4-4DE3-A171-B40224547F8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1:BX112"/>
  <sheetViews>
    <sheetView zoomScale="80" zoomScaleNormal="80" workbookViewId="0">
      <pane xSplit="8" ySplit="4" topLeftCell="BJ5" activePane="bottomRight" state="frozen"/>
      <selection pane="topRight" activeCell="J1" sqref="J1"/>
      <selection pane="bottomLeft" activeCell="A5" sqref="A5"/>
      <selection pane="bottomRight" activeCell="BQ81" sqref="BQ81"/>
    </sheetView>
  </sheetViews>
  <sheetFormatPr defaultColWidth="11" defaultRowHeight="15.6" x14ac:dyDescent="0.3"/>
  <cols>
    <col min="1" max="1" width="0" hidden="1" customWidth="1"/>
    <col min="2" max="2" width="5.5" bestFit="1" customWidth="1"/>
    <col min="3" max="3" width="10.19921875" customWidth="1"/>
    <col min="4" max="4" width="6.09765625" customWidth="1"/>
    <col min="5" max="5" width="3.8984375" customWidth="1"/>
    <col min="6" max="6" width="4.5" customWidth="1"/>
    <col min="7" max="7" width="13.69921875" customWidth="1"/>
    <col min="9" max="9" width="26.3984375" customWidth="1"/>
    <col min="10" max="11" width="10" customWidth="1"/>
    <col min="12" max="12" width="11.69921875" customWidth="1"/>
    <col min="63" max="63" width="9.19921875" bestFit="1" customWidth="1"/>
    <col min="64" max="64" width="10.69921875" customWidth="1"/>
    <col min="65" max="65" width="10.8984375" customWidth="1"/>
    <col min="67" max="67" width="12.69921875" customWidth="1"/>
    <col min="68" max="68" width="11" customWidth="1"/>
    <col min="70" max="70" width="11.69921875" customWidth="1"/>
    <col min="71" max="71" width="10.19921875" customWidth="1"/>
    <col min="72" max="72" width="11.69921875" customWidth="1"/>
  </cols>
  <sheetData>
    <row r="1" spans="2:76" ht="16.2" thickBot="1" x14ac:dyDescent="0.35">
      <c r="BJ1" s="10" t="s">
        <v>64</v>
      </c>
      <c r="BK1" s="10"/>
      <c r="BL1" s="45">
        <v>44685</v>
      </c>
      <c r="BO1" s="46" t="s">
        <v>192</v>
      </c>
      <c r="BP1" s="47">
        <v>44795</v>
      </c>
    </row>
    <row r="2" spans="2:76" ht="16.2" thickBot="1" x14ac:dyDescent="0.35">
      <c r="J2" s="51" t="s">
        <v>65</v>
      </c>
      <c r="K2" s="52"/>
      <c r="L2" s="52">
        <v>0.24129999999999999</v>
      </c>
      <c r="M2" s="50" t="s">
        <v>66</v>
      </c>
      <c r="N2" s="33"/>
      <c r="R2" s="50" t="s">
        <v>67</v>
      </c>
      <c r="S2" s="33"/>
      <c r="W2" s="50" t="s">
        <v>68</v>
      </c>
      <c r="X2" s="33"/>
      <c r="AB2" s="50" t="s">
        <v>69</v>
      </c>
      <c r="AC2" s="33"/>
      <c r="AG2" s="50" t="s">
        <v>154</v>
      </c>
      <c r="AH2" s="33"/>
      <c r="AL2" s="50" t="s">
        <v>70</v>
      </c>
      <c r="AM2" s="33"/>
      <c r="AR2" s="50" t="s">
        <v>154</v>
      </c>
      <c r="AS2" s="33"/>
      <c r="AW2" s="50" t="s">
        <v>70</v>
      </c>
      <c r="AX2" s="64">
        <v>44778</v>
      </c>
      <c r="BA2" s="50" t="s">
        <v>70</v>
      </c>
      <c r="BB2" s="64">
        <v>44795</v>
      </c>
      <c r="BE2" s="50" t="s">
        <v>70</v>
      </c>
      <c r="BF2" s="33" t="s">
        <v>190</v>
      </c>
      <c r="BJ2" s="46" t="s">
        <v>71</v>
      </c>
      <c r="BK2" s="46"/>
      <c r="BL2" s="47">
        <v>44778</v>
      </c>
      <c r="BO2" t="s">
        <v>72</v>
      </c>
      <c r="BP2" s="48">
        <v>1.2064999999999999</v>
      </c>
    </row>
    <row r="3" spans="2:76" ht="30" customHeight="1" x14ac:dyDescent="0.3">
      <c r="D3" s="12"/>
      <c r="J3" s="123" t="s">
        <v>73</v>
      </c>
      <c r="K3" s="124"/>
      <c r="L3" s="125"/>
      <c r="M3" s="126" t="s">
        <v>74</v>
      </c>
      <c r="N3" s="127"/>
      <c r="O3" s="127"/>
      <c r="P3" s="127"/>
      <c r="Q3" s="128"/>
      <c r="R3" s="126" t="s">
        <v>74</v>
      </c>
      <c r="S3" s="127"/>
      <c r="T3" s="127"/>
      <c r="U3" s="127"/>
      <c r="V3" s="128"/>
      <c r="W3" s="126" t="s">
        <v>74</v>
      </c>
      <c r="X3" s="127"/>
      <c r="Y3" s="127"/>
      <c r="Z3" s="127"/>
      <c r="AA3" s="128"/>
      <c r="AB3" s="126" t="s">
        <v>74</v>
      </c>
      <c r="AC3" s="127"/>
      <c r="AD3" s="127"/>
      <c r="AE3" s="127"/>
      <c r="AF3" s="128"/>
      <c r="AG3" s="126" t="s">
        <v>74</v>
      </c>
      <c r="AH3" s="127"/>
      <c r="AI3" s="127"/>
      <c r="AJ3" s="127"/>
      <c r="AK3" s="128"/>
      <c r="AL3" s="126" t="s">
        <v>74</v>
      </c>
      <c r="AM3" s="127"/>
      <c r="AN3" s="127"/>
      <c r="AO3" s="127"/>
      <c r="AP3" s="128"/>
      <c r="AQ3" s="1"/>
      <c r="AR3" s="126" t="s">
        <v>75</v>
      </c>
      <c r="AS3" s="127"/>
      <c r="AT3" s="127"/>
      <c r="AU3" s="127"/>
      <c r="AV3" s="128"/>
      <c r="AW3" s="126" t="s">
        <v>76</v>
      </c>
      <c r="AX3" s="127"/>
      <c r="AY3" s="127"/>
      <c r="AZ3" s="128"/>
      <c r="BA3" s="126" t="s">
        <v>77</v>
      </c>
      <c r="BB3" s="127"/>
      <c r="BC3" s="127"/>
      <c r="BD3" s="128"/>
      <c r="BE3" s="126" t="s">
        <v>78</v>
      </c>
      <c r="BF3" s="127"/>
      <c r="BG3" s="127"/>
      <c r="BH3" s="128"/>
      <c r="BI3" s="129" t="s">
        <v>79</v>
      </c>
      <c r="BJ3" s="130"/>
      <c r="BK3" s="130"/>
      <c r="BL3" s="130"/>
      <c r="BM3" s="130"/>
      <c r="BN3" s="131"/>
      <c r="BS3" t="s">
        <v>80</v>
      </c>
      <c r="BT3" s="3" t="s">
        <v>81</v>
      </c>
      <c r="BV3" t="s">
        <v>82</v>
      </c>
      <c r="BW3" t="s">
        <v>82</v>
      </c>
    </row>
    <row r="4" spans="2:76" ht="78.599999999999994" x14ac:dyDescent="0.3">
      <c r="B4" s="10" t="s">
        <v>83</v>
      </c>
      <c r="C4" s="10" t="s">
        <v>84</v>
      </c>
      <c r="D4" s="16" t="s">
        <v>85</v>
      </c>
      <c r="E4" s="17" t="s">
        <v>86</v>
      </c>
      <c r="F4" s="17" t="s">
        <v>10</v>
      </c>
      <c r="G4" s="17" t="s">
        <v>11</v>
      </c>
      <c r="H4" s="17" t="s">
        <v>12</v>
      </c>
      <c r="I4" s="13" t="s">
        <v>87</v>
      </c>
      <c r="J4" s="13" t="s">
        <v>88</v>
      </c>
      <c r="K4" s="14" t="s">
        <v>89</v>
      </c>
      <c r="L4" s="15" t="s">
        <v>90</v>
      </c>
      <c r="M4" s="13" t="s">
        <v>91</v>
      </c>
      <c r="N4" s="14" t="s">
        <v>92</v>
      </c>
      <c r="O4" s="14" t="s">
        <v>93</v>
      </c>
      <c r="P4" s="14" t="s">
        <v>94</v>
      </c>
      <c r="Q4" s="15" t="s">
        <v>95</v>
      </c>
      <c r="R4" s="13" t="s">
        <v>91</v>
      </c>
      <c r="S4" s="14" t="s">
        <v>92</v>
      </c>
      <c r="T4" s="14" t="s">
        <v>93</v>
      </c>
      <c r="U4" s="14" t="s">
        <v>94</v>
      </c>
      <c r="V4" s="15" t="s">
        <v>96</v>
      </c>
      <c r="W4" s="13" t="s">
        <v>91</v>
      </c>
      <c r="X4" s="14" t="s">
        <v>92</v>
      </c>
      <c r="Y4" s="14" t="s">
        <v>93</v>
      </c>
      <c r="Z4" s="14" t="s">
        <v>94</v>
      </c>
      <c r="AA4" s="15" t="s">
        <v>97</v>
      </c>
      <c r="AB4" s="13" t="s">
        <v>91</v>
      </c>
      <c r="AC4" s="14" t="s">
        <v>92</v>
      </c>
      <c r="AD4" s="14" t="s">
        <v>93</v>
      </c>
      <c r="AE4" s="14" t="s">
        <v>94</v>
      </c>
      <c r="AF4" s="15" t="s">
        <v>98</v>
      </c>
      <c r="AG4" s="13" t="s">
        <v>91</v>
      </c>
      <c r="AH4" s="14" t="s">
        <v>92</v>
      </c>
      <c r="AI4" s="14" t="s">
        <v>93</v>
      </c>
      <c r="AJ4" s="14" t="s">
        <v>94</v>
      </c>
      <c r="AK4" s="15" t="s">
        <v>99</v>
      </c>
      <c r="AL4" s="13" t="s">
        <v>91</v>
      </c>
      <c r="AM4" s="14" t="s">
        <v>92</v>
      </c>
      <c r="AN4" s="14" t="s">
        <v>93</v>
      </c>
      <c r="AO4" s="14" t="s">
        <v>94</v>
      </c>
      <c r="AP4" s="15" t="s">
        <v>100</v>
      </c>
      <c r="AQ4" s="43" t="s">
        <v>101</v>
      </c>
      <c r="AR4" s="13" t="s">
        <v>91</v>
      </c>
      <c r="AS4" s="14" t="s">
        <v>92</v>
      </c>
      <c r="AT4" s="14" t="s">
        <v>93</v>
      </c>
      <c r="AU4" s="14" t="s">
        <v>94</v>
      </c>
      <c r="AV4" s="43" t="s">
        <v>102</v>
      </c>
      <c r="AW4" s="13" t="s">
        <v>103</v>
      </c>
      <c r="AX4" s="14" t="s">
        <v>104</v>
      </c>
      <c r="AY4" s="14" t="s">
        <v>105</v>
      </c>
      <c r="AZ4" s="44" t="s">
        <v>106</v>
      </c>
      <c r="BA4" s="13" t="s">
        <v>103</v>
      </c>
      <c r="BB4" s="14" t="s">
        <v>104</v>
      </c>
      <c r="BC4" s="14" t="s">
        <v>105</v>
      </c>
      <c r="BD4" s="44" t="s">
        <v>107</v>
      </c>
      <c r="BE4" s="13" t="s">
        <v>103</v>
      </c>
      <c r="BF4" s="14" t="s">
        <v>104</v>
      </c>
      <c r="BG4" s="14" t="s">
        <v>105</v>
      </c>
      <c r="BH4" s="44" t="s">
        <v>108</v>
      </c>
      <c r="BI4" s="13" t="s">
        <v>109</v>
      </c>
      <c r="BJ4" s="14" t="s">
        <v>110</v>
      </c>
      <c r="BK4" s="14" t="s">
        <v>111</v>
      </c>
      <c r="BL4" s="14" t="s">
        <v>112</v>
      </c>
      <c r="BM4" s="14" t="s">
        <v>113</v>
      </c>
      <c r="BN4" s="70" t="s">
        <v>114</v>
      </c>
      <c r="BO4" s="13" t="s">
        <v>115</v>
      </c>
      <c r="BP4" s="14" t="s">
        <v>116</v>
      </c>
      <c r="BQ4" s="14" t="s">
        <v>117</v>
      </c>
      <c r="BR4" s="14" t="s">
        <v>118</v>
      </c>
      <c r="BS4" s="13" t="s">
        <v>119</v>
      </c>
      <c r="BT4" s="49" t="s">
        <v>120</v>
      </c>
      <c r="BU4" s="25" t="s">
        <v>121</v>
      </c>
      <c r="BV4" s="20" t="s">
        <v>122</v>
      </c>
      <c r="BW4" s="20" t="s">
        <v>123</v>
      </c>
      <c r="BX4" s="70" t="s">
        <v>124</v>
      </c>
    </row>
    <row r="5" spans="2:76" x14ac:dyDescent="0.3">
      <c r="B5">
        <v>2022</v>
      </c>
      <c r="C5" t="s">
        <v>125</v>
      </c>
      <c r="D5">
        <v>101</v>
      </c>
      <c r="E5">
        <v>1</v>
      </c>
      <c r="F5">
        <v>1</v>
      </c>
      <c r="G5" t="s">
        <v>15</v>
      </c>
      <c r="H5">
        <v>1</v>
      </c>
      <c r="I5" t="s">
        <v>16</v>
      </c>
      <c r="J5">
        <v>33</v>
      </c>
      <c r="K5">
        <v>55</v>
      </c>
      <c r="L5" s="22">
        <f>(AVERAGE(J5:K5))/L$2</f>
        <v>182.34562784915045</v>
      </c>
      <c r="M5">
        <v>35</v>
      </c>
      <c r="N5">
        <v>40</v>
      </c>
      <c r="O5">
        <v>38</v>
      </c>
      <c r="P5">
        <v>36</v>
      </c>
      <c r="Q5" s="21">
        <f>AVERAGE(M5:P5)</f>
        <v>37.25</v>
      </c>
      <c r="R5">
        <v>52</v>
      </c>
      <c r="S5">
        <v>51</v>
      </c>
      <c r="T5">
        <v>48</v>
      </c>
      <c r="U5">
        <v>50</v>
      </c>
      <c r="V5" s="21">
        <f>AVERAGE(R5:U5)</f>
        <v>50.25</v>
      </c>
      <c r="W5">
        <v>92</v>
      </c>
      <c r="X5">
        <v>93</v>
      </c>
      <c r="Y5">
        <v>91</v>
      </c>
      <c r="Z5">
        <v>87</v>
      </c>
      <c r="AA5" s="21">
        <f>AVERAGE(W5:Z5)</f>
        <v>90.75</v>
      </c>
      <c r="AB5">
        <v>106</v>
      </c>
      <c r="AC5">
        <v>105</v>
      </c>
      <c r="AD5">
        <v>103</v>
      </c>
      <c r="AE5">
        <v>99</v>
      </c>
      <c r="AF5" s="21">
        <f>AVERAGE(AB5:AE5)</f>
        <v>103.25</v>
      </c>
      <c r="AG5" s="22">
        <v>104</v>
      </c>
      <c r="AH5" s="22">
        <v>110</v>
      </c>
      <c r="AI5" s="22">
        <v>114</v>
      </c>
      <c r="AJ5" s="22">
        <v>106</v>
      </c>
      <c r="AK5" s="21">
        <f>AVERAGE(AG5:AJ5)</f>
        <v>108.5</v>
      </c>
      <c r="AL5" s="21"/>
      <c r="AM5" s="21"/>
      <c r="AN5" s="21"/>
      <c r="AO5" s="21"/>
      <c r="AP5" s="21" t="e">
        <f>AVERAGE(AL5:AO5)</f>
        <v>#DIV/0!</v>
      </c>
      <c r="AQ5" s="21"/>
      <c r="AR5">
        <v>104</v>
      </c>
      <c r="AS5">
        <v>110</v>
      </c>
      <c r="AT5">
        <v>114</v>
      </c>
      <c r="AU5">
        <v>106</v>
      </c>
      <c r="AV5" s="21">
        <f>AVERAGE(AR5:AU5)</f>
        <v>108.5</v>
      </c>
      <c r="AW5">
        <v>0</v>
      </c>
      <c r="AX5">
        <v>0</v>
      </c>
      <c r="AY5">
        <v>0</v>
      </c>
      <c r="AZ5" s="21">
        <f>((2*AW5)/3)+(AX5/3)+AY5</f>
        <v>0</v>
      </c>
      <c r="BA5">
        <v>0</v>
      </c>
      <c r="BB5">
        <v>0</v>
      </c>
      <c r="BC5">
        <v>0</v>
      </c>
      <c r="BD5" s="21">
        <f>((2*BA5)/3)+(BB5/3)+BC5</f>
        <v>0</v>
      </c>
      <c r="BE5">
        <v>0</v>
      </c>
      <c r="BF5">
        <v>0</v>
      </c>
      <c r="BG5">
        <v>0</v>
      </c>
      <c r="BH5" s="21">
        <f>((2*BE5)/3)+(BF5/3)+BG5</f>
        <v>0</v>
      </c>
      <c r="BI5">
        <v>22.6</v>
      </c>
      <c r="BJ5">
        <v>12.2</v>
      </c>
      <c r="BK5" s="18">
        <f>(BI5-BJ5)/BI5*100</f>
        <v>46.017699115044252</v>
      </c>
      <c r="BL5" s="18">
        <f>(BK5-35)/2.5</f>
        <v>4.4070796460177011</v>
      </c>
      <c r="BM5" s="19">
        <f>BL$2+BL5</f>
        <v>44782.407079646015</v>
      </c>
      <c r="BN5" s="71">
        <f>BM5-BL$1</f>
        <v>97.407079646014608</v>
      </c>
      <c r="BO5">
        <v>6</v>
      </c>
      <c r="BP5" s="23">
        <f>BO5*BP$2</f>
        <v>7.238999999999999</v>
      </c>
      <c r="BQ5">
        <v>7.88</v>
      </c>
      <c r="BR5" s="21">
        <v>8</v>
      </c>
      <c r="BS5" s="22">
        <f>(BQ5*(100-BR5)/(100-13.5))/BP5*10000</f>
        <v>11577.621857200922</v>
      </c>
      <c r="BT5" s="22">
        <f>BS5*(2.204/48)*(1/2.47)</f>
        <v>215.22502170437613</v>
      </c>
      <c r="BU5">
        <v>110.1</v>
      </c>
      <c r="BV5" s="21">
        <v>4.8499999999999996</v>
      </c>
      <c r="BW5" s="21">
        <v>4.54</v>
      </c>
      <c r="BX5" s="71">
        <f>(AVERAGE(BV5:BW5)*10)*((100-BR5)/(100-13.5))</f>
        <v>49.935260115606937</v>
      </c>
    </row>
    <row r="6" spans="2:76" x14ac:dyDescent="0.3">
      <c r="B6">
        <v>2022</v>
      </c>
      <c r="C6" t="s">
        <v>125</v>
      </c>
      <c r="D6">
        <v>102</v>
      </c>
      <c r="E6">
        <v>1</v>
      </c>
      <c r="F6">
        <v>2</v>
      </c>
      <c r="G6" t="s">
        <v>15</v>
      </c>
      <c r="H6">
        <v>2</v>
      </c>
      <c r="I6" t="s">
        <v>17</v>
      </c>
      <c r="J6">
        <v>56</v>
      </c>
      <c r="K6">
        <v>55</v>
      </c>
      <c r="L6" s="22">
        <f t="shared" ref="L6:L69" si="0">(AVERAGE(J6:K6))/L$2</f>
        <v>230.00414421881476</v>
      </c>
      <c r="M6">
        <v>36</v>
      </c>
      <c r="N6">
        <v>40</v>
      </c>
      <c r="O6">
        <v>35</v>
      </c>
      <c r="P6">
        <v>37</v>
      </c>
      <c r="Q6" s="21">
        <f t="shared" ref="Q6:Q69" si="1">AVERAGE(M6:P6)</f>
        <v>37</v>
      </c>
      <c r="R6">
        <v>53</v>
      </c>
      <c r="S6">
        <v>48</v>
      </c>
      <c r="T6">
        <v>52</v>
      </c>
      <c r="U6">
        <v>52</v>
      </c>
      <c r="V6" s="21">
        <f t="shared" ref="V6:V58" si="2">AVERAGE(R6:U6)</f>
        <v>51.25</v>
      </c>
      <c r="W6">
        <v>81</v>
      </c>
      <c r="X6">
        <v>88</v>
      </c>
      <c r="Y6">
        <v>88</v>
      </c>
      <c r="Z6">
        <v>89</v>
      </c>
      <c r="AA6" s="21">
        <f t="shared" ref="AA6:AA69" si="3">AVERAGE(W6:Z6)</f>
        <v>86.5</v>
      </c>
      <c r="AB6">
        <v>105</v>
      </c>
      <c r="AC6">
        <v>104</v>
      </c>
      <c r="AD6">
        <v>109</v>
      </c>
      <c r="AE6">
        <v>104</v>
      </c>
      <c r="AF6" s="21">
        <f t="shared" ref="AF6:AF69" si="4">AVERAGE(AB6:AE6)</f>
        <v>105.5</v>
      </c>
      <c r="AG6" s="22">
        <v>110</v>
      </c>
      <c r="AH6" s="22">
        <v>111</v>
      </c>
      <c r="AI6" s="22">
        <v>114</v>
      </c>
      <c r="AJ6" s="22">
        <v>113</v>
      </c>
      <c r="AK6" s="21">
        <f t="shared" ref="AK6:AK69" si="5">AVERAGE(AG6:AJ6)</f>
        <v>112</v>
      </c>
      <c r="AL6" s="21"/>
      <c r="AM6" s="21"/>
      <c r="AN6" s="21"/>
      <c r="AO6" s="21"/>
      <c r="AP6" s="21" t="e">
        <f t="shared" ref="AP6:AP69" si="6">AVERAGE(AL6:AO6)</f>
        <v>#DIV/0!</v>
      </c>
      <c r="AQ6" s="21"/>
      <c r="AR6">
        <v>110</v>
      </c>
      <c r="AS6">
        <v>111</v>
      </c>
      <c r="AT6">
        <v>114</v>
      </c>
      <c r="AU6">
        <v>113</v>
      </c>
      <c r="AV6" s="21">
        <f t="shared" ref="AV6:AV69" si="7">AVERAGE(AR6:AU6)</f>
        <v>112</v>
      </c>
      <c r="AW6">
        <v>0</v>
      </c>
      <c r="AX6">
        <v>0</v>
      </c>
      <c r="AY6">
        <v>0</v>
      </c>
      <c r="AZ6" s="21">
        <f t="shared" ref="AZ6:AZ69" si="8">((2*AW6)/3)+(AX6/3)+AY6</f>
        <v>0</v>
      </c>
      <c r="BA6">
        <v>0</v>
      </c>
      <c r="BB6">
        <v>0</v>
      </c>
      <c r="BC6">
        <v>0</v>
      </c>
      <c r="BD6" s="21">
        <f t="shared" ref="BD6:BD69" si="9">((2*BA6)/3)+(BB6/3)+BC6</f>
        <v>0</v>
      </c>
      <c r="BH6" s="21">
        <f t="shared" ref="BH6:BH69" si="10">((2*BE6)/3)+(BF6/3)+BG6</f>
        <v>0</v>
      </c>
      <c r="BI6">
        <v>24.3</v>
      </c>
      <c r="BJ6">
        <v>13.3</v>
      </c>
      <c r="BK6" s="18">
        <f t="shared" ref="BK6:BK69" si="11">(BI6-BJ6)/BI6*100</f>
        <v>45.267489711934154</v>
      </c>
      <c r="BL6" s="18">
        <f t="shared" ref="BL6:BL69" si="12">(BK6-35)/2.5</f>
        <v>4.1069958847736618</v>
      </c>
      <c r="BM6" s="19">
        <f t="shared" ref="BM6:BM69" si="13">BL$2+BL6</f>
        <v>44782.106995884773</v>
      </c>
      <c r="BN6" s="71">
        <f t="shared" ref="BN6:BN69" si="14">BM6-BL$1</f>
        <v>97.106995884772914</v>
      </c>
      <c r="BO6">
        <v>6</v>
      </c>
      <c r="BP6" s="23">
        <f t="shared" ref="BP6:BP69" si="15">BO6*BP$2</f>
        <v>7.238999999999999</v>
      </c>
      <c r="BQ6">
        <v>8.7200000000000006</v>
      </c>
      <c r="BR6" s="21">
        <v>7.5</v>
      </c>
      <c r="BS6" s="22">
        <f t="shared" ref="BS6:BS69" si="16">(BQ6*(100-BR6)/(100-13.5))/BP6*10000</f>
        <v>12881.413857341457</v>
      </c>
      <c r="BT6" s="22">
        <f t="shared" ref="BT6:BT69" si="17">BS6*(2.204/48)*(1/2.47)</f>
        <v>239.4621806813476</v>
      </c>
      <c r="BU6">
        <v>102</v>
      </c>
      <c r="BV6" s="21">
        <v>4.9799999999999995</v>
      </c>
      <c r="BW6" s="21">
        <v>4.8</v>
      </c>
      <c r="BX6" s="71">
        <f t="shared" ref="BX6:BX69" si="18">(AVERAGE(BV6:BW6)*10)*((100-BR6)/(100-13.5))</f>
        <v>52.291907514450862</v>
      </c>
    </row>
    <row r="7" spans="2:76" x14ac:dyDescent="0.3">
      <c r="B7">
        <v>2022</v>
      </c>
      <c r="C7" t="s">
        <v>125</v>
      </c>
      <c r="D7">
        <v>103</v>
      </c>
      <c r="E7">
        <v>1</v>
      </c>
      <c r="F7">
        <v>3</v>
      </c>
      <c r="G7" t="s">
        <v>15</v>
      </c>
      <c r="H7">
        <v>3</v>
      </c>
      <c r="I7" t="s">
        <v>18</v>
      </c>
      <c r="J7">
        <v>53</v>
      </c>
      <c r="K7">
        <v>51</v>
      </c>
      <c r="L7" s="22">
        <f t="shared" si="0"/>
        <v>215.4993783671778</v>
      </c>
      <c r="M7">
        <v>37</v>
      </c>
      <c r="N7">
        <v>40</v>
      </c>
      <c r="O7">
        <v>36</v>
      </c>
      <c r="P7">
        <v>39</v>
      </c>
      <c r="Q7" s="21">
        <f t="shared" si="1"/>
        <v>38</v>
      </c>
      <c r="R7">
        <v>51</v>
      </c>
      <c r="S7">
        <v>52</v>
      </c>
      <c r="T7">
        <v>45</v>
      </c>
      <c r="U7">
        <v>48</v>
      </c>
      <c r="V7" s="21">
        <f t="shared" si="2"/>
        <v>49</v>
      </c>
      <c r="W7">
        <v>85</v>
      </c>
      <c r="X7">
        <v>82</v>
      </c>
      <c r="Y7">
        <v>86</v>
      </c>
      <c r="Z7">
        <v>79</v>
      </c>
      <c r="AA7" s="21">
        <f t="shared" si="3"/>
        <v>83</v>
      </c>
      <c r="AB7">
        <v>101</v>
      </c>
      <c r="AC7">
        <v>100</v>
      </c>
      <c r="AD7">
        <v>97</v>
      </c>
      <c r="AE7">
        <v>95</v>
      </c>
      <c r="AF7" s="21">
        <f t="shared" si="4"/>
        <v>98.25</v>
      </c>
      <c r="AG7" s="22">
        <v>101</v>
      </c>
      <c r="AH7" s="22">
        <v>100</v>
      </c>
      <c r="AI7" s="22">
        <v>96</v>
      </c>
      <c r="AJ7" s="22">
        <v>111</v>
      </c>
      <c r="AK7" s="21">
        <f t="shared" si="5"/>
        <v>102</v>
      </c>
      <c r="AL7" s="21"/>
      <c r="AM7" s="21"/>
      <c r="AN7" s="21"/>
      <c r="AO7" s="21"/>
      <c r="AP7" s="21" t="e">
        <f t="shared" si="6"/>
        <v>#DIV/0!</v>
      </c>
      <c r="AQ7" s="21"/>
      <c r="AR7">
        <v>101</v>
      </c>
      <c r="AS7">
        <v>100</v>
      </c>
      <c r="AT7">
        <v>96</v>
      </c>
      <c r="AU7">
        <v>111</v>
      </c>
      <c r="AV7" s="21">
        <f t="shared" si="7"/>
        <v>102</v>
      </c>
      <c r="AW7">
        <v>0</v>
      </c>
      <c r="AX7">
        <v>0</v>
      </c>
      <c r="AY7">
        <v>0</v>
      </c>
      <c r="AZ7" s="21">
        <f t="shared" si="8"/>
        <v>0</v>
      </c>
      <c r="BA7">
        <v>0</v>
      </c>
      <c r="BB7">
        <v>0</v>
      </c>
      <c r="BC7">
        <v>0</v>
      </c>
      <c r="BD7" s="21">
        <f t="shared" si="9"/>
        <v>0</v>
      </c>
      <c r="BH7" s="21">
        <f t="shared" si="10"/>
        <v>0</v>
      </c>
      <c r="BI7">
        <v>27.1</v>
      </c>
      <c r="BJ7">
        <v>15.3</v>
      </c>
      <c r="BK7" s="18">
        <f t="shared" si="11"/>
        <v>43.542435424354245</v>
      </c>
      <c r="BL7" s="18">
        <f t="shared" si="12"/>
        <v>3.4169741697416982</v>
      </c>
      <c r="BM7" s="19">
        <f t="shared" si="13"/>
        <v>44781.416974169741</v>
      </c>
      <c r="BN7" s="71">
        <f t="shared" si="14"/>
        <v>96.41697416974057</v>
      </c>
      <c r="BO7">
        <v>6</v>
      </c>
      <c r="BP7" s="23">
        <f t="shared" si="15"/>
        <v>7.238999999999999</v>
      </c>
      <c r="BQ7">
        <v>8.68</v>
      </c>
      <c r="BR7" s="21">
        <v>7.7</v>
      </c>
      <c r="BS7" s="22">
        <f t="shared" si="16"/>
        <v>12794.600857430092</v>
      </c>
      <c r="BT7" s="22">
        <f t="shared" si="17"/>
        <v>237.84834927273891</v>
      </c>
      <c r="BU7">
        <v>98.8</v>
      </c>
      <c r="BV7" s="21">
        <v>4.83</v>
      </c>
      <c r="BW7" s="21">
        <v>4.76</v>
      </c>
      <c r="BX7" s="71">
        <f t="shared" si="18"/>
        <v>51.165144508670529</v>
      </c>
    </row>
    <row r="8" spans="2:76" x14ac:dyDescent="0.3">
      <c r="B8">
        <v>2022</v>
      </c>
      <c r="C8" t="s">
        <v>125</v>
      </c>
      <c r="D8">
        <v>104</v>
      </c>
      <c r="E8">
        <v>1</v>
      </c>
      <c r="F8">
        <v>4</v>
      </c>
      <c r="G8" t="s">
        <v>15</v>
      </c>
      <c r="H8">
        <v>4</v>
      </c>
      <c r="I8" t="s">
        <v>19</v>
      </c>
      <c r="J8">
        <v>51</v>
      </c>
      <c r="K8">
        <v>56</v>
      </c>
      <c r="L8" s="22">
        <f t="shared" si="0"/>
        <v>221.71570658930793</v>
      </c>
      <c r="M8">
        <v>39</v>
      </c>
      <c r="N8">
        <v>38</v>
      </c>
      <c r="O8">
        <v>34</v>
      </c>
      <c r="P8">
        <v>35</v>
      </c>
      <c r="Q8" s="21">
        <f t="shared" si="1"/>
        <v>36.5</v>
      </c>
      <c r="R8">
        <v>50</v>
      </c>
      <c r="S8">
        <v>48</v>
      </c>
      <c r="T8">
        <v>52</v>
      </c>
      <c r="U8">
        <v>52</v>
      </c>
      <c r="V8" s="21">
        <f t="shared" si="2"/>
        <v>50.5</v>
      </c>
      <c r="W8">
        <v>83</v>
      </c>
      <c r="X8">
        <v>86</v>
      </c>
      <c r="Y8">
        <v>84</v>
      </c>
      <c r="Z8">
        <v>88</v>
      </c>
      <c r="AA8" s="21">
        <f t="shared" si="3"/>
        <v>85.25</v>
      </c>
      <c r="AB8">
        <v>96</v>
      </c>
      <c r="AC8">
        <v>94</v>
      </c>
      <c r="AD8">
        <v>101</v>
      </c>
      <c r="AE8">
        <v>100</v>
      </c>
      <c r="AF8" s="21">
        <f t="shared" si="4"/>
        <v>97.75</v>
      </c>
      <c r="AG8" s="22">
        <v>114</v>
      </c>
      <c r="AH8" s="22">
        <v>114</v>
      </c>
      <c r="AI8" s="22">
        <v>98</v>
      </c>
      <c r="AJ8" s="22">
        <v>105</v>
      </c>
      <c r="AK8" s="21">
        <f t="shared" si="5"/>
        <v>107.75</v>
      </c>
      <c r="AL8" s="21"/>
      <c r="AM8" s="21"/>
      <c r="AN8" s="21"/>
      <c r="AO8" s="21"/>
      <c r="AP8" s="21" t="e">
        <f t="shared" si="6"/>
        <v>#DIV/0!</v>
      </c>
      <c r="AQ8" s="21"/>
      <c r="AR8">
        <v>114</v>
      </c>
      <c r="AS8">
        <v>114</v>
      </c>
      <c r="AT8">
        <v>98</v>
      </c>
      <c r="AU8">
        <v>105</v>
      </c>
      <c r="AV8" s="21">
        <f t="shared" si="7"/>
        <v>107.75</v>
      </c>
      <c r="AW8">
        <v>0</v>
      </c>
      <c r="AX8">
        <v>0</v>
      </c>
      <c r="AY8">
        <v>0</v>
      </c>
      <c r="AZ8" s="21">
        <f t="shared" si="8"/>
        <v>0</v>
      </c>
      <c r="BA8">
        <v>0</v>
      </c>
      <c r="BB8">
        <v>0</v>
      </c>
      <c r="BC8">
        <v>0</v>
      </c>
      <c r="BD8" s="21">
        <f t="shared" si="9"/>
        <v>0</v>
      </c>
      <c r="BH8" s="21">
        <f t="shared" si="10"/>
        <v>0</v>
      </c>
      <c r="BI8">
        <v>26.4</v>
      </c>
      <c r="BJ8">
        <v>14.9</v>
      </c>
      <c r="BK8" s="18">
        <f t="shared" si="11"/>
        <v>43.560606060606055</v>
      </c>
      <c r="BL8" s="18">
        <f t="shared" si="12"/>
        <v>3.4242424242424221</v>
      </c>
      <c r="BM8" s="19">
        <f t="shared" si="13"/>
        <v>44781.42424242424</v>
      </c>
      <c r="BN8" s="71">
        <f t="shared" si="14"/>
        <v>96.424242424240219</v>
      </c>
      <c r="BO8">
        <v>6</v>
      </c>
      <c r="BP8" s="23">
        <f t="shared" si="15"/>
        <v>7.238999999999999</v>
      </c>
      <c r="BQ8">
        <v>8.66</v>
      </c>
      <c r="BR8" s="21">
        <v>8.8000000000000007</v>
      </c>
      <c r="BS8" s="22">
        <f t="shared" si="16"/>
        <v>12612.98985025716</v>
      </c>
      <c r="BT8" s="22">
        <f t="shared" si="17"/>
        <v>234.472247216319</v>
      </c>
      <c r="BU8">
        <v>106.4</v>
      </c>
      <c r="BV8" s="21">
        <v>4.9399999999999995</v>
      </c>
      <c r="BW8" s="21">
        <v>4.9000000000000004</v>
      </c>
      <c r="BX8" s="71">
        <f t="shared" si="18"/>
        <v>51.873294797687869</v>
      </c>
    </row>
    <row r="9" spans="2:76" x14ac:dyDescent="0.3">
      <c r="B9">
        <v>2022</v>
      </c>
      <c r="C9" t="s">
        <v>125</v>
      </c>
      <c r="D9">
        <v>105</v>
      </c>
      <c r="E9">
        <v>1</v>
      </c>
      <c r="F9">
        <v>5</v>
      </c>
      <c r="G9" t="s">
        <v>15</v>
      </c>
      <c r="H9">
        <v>5</v>
      </c>
      <c r="I9" t="s">
        <v>20</v>
      </c>
      <c r="J9">
        <v>60</v>
      </c>
      <c r="K9">
        <v>64</v>
      </c>
      <c r="L9" s="22">
        <f t="shared" si="0"/>
        <v>256.94156651471201</v>
      </c>
      <c r="M9">
        <v>33</v>
      </c>
      <c r="N9">
        <v>34</v>
      </c>
      <c r="O9">
        <v>27</v>
      </c>
      <c r="P9">
        <v>28</v>
      </c>
      <c r="Q9" s="21">
        <f t="shared" si="1"/>
        <v>30.5</v>
      </c>
      <c r="R9">
        <v>43</v>
      </c>
      <c r="S9">
        <v>45</v>
      </c>
      <c r="T9">
        <v>45</v>
      </c>
      <c r="U9">
        <v>42</v>
      </c>
      <c r="V9" s="21">
        <f t="shared" si="2"/>
        <v>43.75</v>
      </c>
      <c r="W9">
        <v>69</v>
      </c>
      <c r="X9">
        <v>70</v>
      </c>
      <c r="Y9">
        <v>75</v>
      </c>
      <c r="Z9">
        <v>70</v>
      </c>
      <c r="AA9" s="21">
        <f t="shared" si="3"/>
        <v>71</v>
      </c>
      <c r="AB9">
        <v>83</v>
      </c>
      <c r="AC9">
        <v>86</v>
      </c>
      <c r="AD9">
        <v>99</v>
      </c>
      <c r="AE9">
        <v>86</v>
      </c>
      <c r="AF9" s="21">
        <f t="shared" si="4"/>
        <v>88.5</v>
      </c>
      <c r="AG9" s="22">
        <v>95</v>
      </c>
      <c r="AH9" s="22">
        <v>99</v>
      </c>
      <c r="AI9" s="22">
        <v>93</v>
      </c>
      <c r="AJ9" s="22">
        <v>97</v>
      </c>
      <c r="AK9" s="21">
        <f t="shared" si="5"/>
        <v>96</v>
      </c>
      <c r="AL9" s="21"/>
      <c r="AM9" s="21"/>
      <c r="AN9" s="21"/>
      <c r="AO9" s="21"/>
      <c r="AP9" s="21" t="e">
        <f t="shared" si="6"/>
        <v>#DIV/0!</v>
      </c>
      <c r="AQ9" s="21"/>
      <c r="AR9">
        <v>95</v>
      </c>
      <c r="AS9">
        <v>99</v>
      </c>
      <c r="AT9">
        <v>93</v>
      </c>
      <c r="AU9">
        <v>97</v>
      </c>
      <c r="AV9" s="21">
        <f t="shared" si="7"/>
        <v>96</v>
      </c>
      <c r="AW9">
        <v>0</v>
      </c>
      <c r="AX9">
        <v>0</v>
      </c>
      <c r="AY9">
        <v>0</v>
      </c>
      <c r="AZ9" s="21">
        <f t="shared" si="8"/>
        <v>0</v>
      </c>
      <c r="BA9">
        <v>0</v>
      </c>
      <c r="BB9">
        <v>0</v>
      </c>
      <c r="BC9">
        <v>0</v>
      </c>
      <c r="BD9" s="21">
        <f t="shared" si="9"/>
        <v>0</v>
      </c>
      <c r="BH9" s="21">
        <f t="shared" si="10"/>
        <v>0</v>
      </c>
      <c r="BI9">
        <v>26.7</v>
      </c>
      <c r="BJ9">
        <v>14.8</v>
      </c>
      <c r="BK9" s="18">
        <f t="shared" si="11"/>
        <v>44.569288389513105</v>
      </c>
      <c r="BL9" s="18">
        <f t="shared" si="12"/>
        <v>3.8277153558052417</v>
      </c>
      <c r="BM9" s="19">
        <f t="shared" si="13"/>
        <v>44781.827715355808</v>
      </c>
      <c r="BN9" s="71">
        <f t="shared" si="14"/>
        <v>96.827715355808323</v>
      </c>
      <c r="BO9">
        <v>6</v>
      </c>
      <c r="BP9" s="23">
        <f t="shared" si="15"/>
        <v>7.238999999999999</v>
      </c>
      <c r="BQ9">
        <v>8.9499999999999993</v>
      </c>
      <c r="BR9" s="21">
        <v>8.8000000000000007</v>
      </c>
      <c r="BS9" s="22">
        <f t="shared" si="16"/>
        <v>13035.364799053299</v>
      </c>
      <c r="BT9" s="22">
        <f t="shared" si="17"/>
        <v>242.32408921317028</v>
      </c>
      <c r="BU9">
        <v>107.7</v>
      </c>
      <c r="BV9" s="21">
        <v>4.91</v>
      </c>
      <c r="BW9" s="21">
        <v>4.7799999999999994</v>
      </c>
      <c r="BX9" s="71">
        <f t="shared" si="18"/>
        <v>51.082543352601157</v>
      </c>
    </row>
    <row r="10" spans="2:76" x14ac:dyDescent="0.3">
      <c r="B10">
        <v>2022</v>
      </c>
      <c r="C10" t="s">
        <v>125</v>
      </c>
      <c r="D10">
        <v>106</v>
      </c>
      <c r="E10">
        <v>1</v>
      </c>
      <c r="F10">
        <v>6</v>
      </c>
      <c r="G10" t="s">
        <v>15</v>
      </c>
      <c r="H10">
        <v>6</v>
      </c>
      <c r="I10" t="s">
        <v>21</v>
      </c>
      <c r="J10">
        <v>47</v>
      </c>
      <c r="K10">
        <v>58</v>
      </c>
      <c r="L10" s="22">
        <f t="shared" si="0"/>
        <v>217.5714877745545</v>
      </c>
      <c r="M10">
        <v>36</v>
      </c>
      <c r="N10">
        <v>39</v>
      </c>
      <c r="O10">
        <v>34</v>
      </c>
      <c r="P10">
        <v>35</v>
      </c>
      <c r="Q10" s="21">
        <f t="shared" si="1"/>
        <v>36</v>
      </c>
      <c r="R10">
        <v>50</v>
      </c>
      <c r="S10">
        <v>52</v>
      </c>
      <c r="T10">
        <v>50</v>
      </c>
      <c r="U10">
        <v>54</v>
      </c>
      <c r="V10" s="21">
        <f t="shared" si="2"/>
        <v>51.5</v>
      </c>
      <c r="W10">
        <v>73</v>
      </c>
      <c r="X10">
        <v>78</v>
      </c>
      <c r="Y10">
        <v>79</v>
      </c>
      <c r="Z10">
        <v>81</v>
      </c>
      <c r="AA10" s="21">
        <f t="shared" si="3"/>
        <v>77.75</v>
      </c>
      <c r="AB10">
        <v>89</v>
      </c>
      <c r="AC10">
        <v>94</v>
      </c>
      <c r="AD10">
        <v>79</v>
      </c>
      <c r="AE10">
        <v>89</v>
      </c>
      <c r="AF10" s="21">
        <f t="shared" si="4"/>
        <v>87.75</v>
      </c>
      <c r="AG10" s="22">
        <v>89</v>
      </c>
      <c r="AH10" s="22">
        <v>89</v>
      </c>
      <c r="AI10" s="22">
        <v>84</v>
      </c>
      <c r="AJ10" s="22">
        <v>87</v>
      </c>
      <c r="AK10" s="21">
        <f t="shared" si="5"/>
        <v>87.25</v>
      </c>
      <c r="AL10" s="21"/>
      <c r="AM10" s="21"/>
      <c r="AN10" s="21"/>
      <c r="AO10" s="21"/>
      <c r="AP10" s="21" t="e">
        <f t="shared" si="6"/>
        <v>#DIV/0!</v>
      </c>
      <c r="AQ10" s="21"/>
      <c r="AR10">
        <v>89</v>
      </c>
      <c r="AS10">
        <v>89</v>
      </c>
      <c r="AT10">
        <v>84</v>
      </c>
      <c r="AU10">
        <v>87</v>
      </c>
      <c r="AV10" s="21">
        <f t="shared" si="7"/>
        <v>87.25</v>
      </c>
      <c r="AW10">
        <v>0</v>
      </c>
      <c r="AX10">
        <v>0</v>
      </c>
      <c r="AY10">
        <v>0</v>
      </c>
      <c r="AZ10" s="21">
        <f t="shared" si="8"/>
        <v>0</v>
      </c>
      <c r="BA10">
        <v>0</v>
      </c>
      <c r="BB10">
        <v>0</v>
      </c>
      <c r="BC10">
        <v>0</v>
      </c>
      <c r="BD10" s="21">
        <f t="shared" si="9"/>
        <v>0</v>
      </c>
      <c r="BH10" s="21">
        <f t="shared" si="10"/>
        <v>0</v>
      </c>
      <c r="BI10">
        <v>21.4</v>
      </c>
      <c r="BJ10">
        <v>11.3</v>
      </c>
      <c r="BK10" s="18">
        <f t="shared" si="11"/>
        <v>47.196261682242984</v>
      </c>
      <c r="BL10" s="18">
        <f t="shared" si="12"/>
        <v>4.8785046728971935</v>
      </c>
      <c r="BM10" s="19">
        <f t="shared" si="13"/>
        <v>44782.878504672895</v>
      </c>
      <c r="BN10" s="71">
        <f t="shared" si="14"/>
        <v>97.87850467289536</v>
      </c>
      <c r="BO10">
        <v>6</v>
      </c>
      <c r="BP10" s="23">
        <f t="shared" si="15"/>
        <v>7.238999999999999</v>
      </c>
      <c r="BQ10">
        <v>8.4</v>
      </c>
      <c r="BR10" s="21">
        <v>8.5</v>
      </c>
      <c r="BS10" s="22">
        <f t="shared" si="16"/>
        <v>12274.553298726314</v>
      </c>
      <c r="BT10" s="22">
        <f t="shared" si="17"/>
        <v>228.18079850196355</v>
      </c>
      <c r="BU10">
        <v>103.5</v>
      </c>
      <c r="BV10" s="21">
        <v>4.63</v>
      </c>
      <c r="BW10" s="21">
        <v>4.74</v>
      </c>
      <c r="BX10" s="71">
        <f t="shared" si="18"/>
        <v>49.558092485549146</v>
      </c>
    </row>
    <row r="11" spans="2:76" x14ac:dyDescent="0.3">
      <c r="B11">
        <v>2022</v>
      </c>
      <c r="C11" t="s">
        <v>125</v>
      </c>
      <c r="D11">
        <v>107</v>
      </c>
      <c r="E11">
        <v>1</v>
      </c>
      <c r="F11">
        <v>7</v>
      </c>
      <c r="G11" t="s">
        <v>15</v>
      </c>
      <c r="H11">
        <v>7</v>
      </c>
      <c r="I11" t="s">
        <v>22</v>
      </c>
      <c r="J11">
        <v>61</v>
      </c>
      <c r="K11">
        <v>41</v>
      </c>
      <c r="L11" s="22">
        <f t="shared" si="0"/>
        <v>211.35515955242437</v>
      </c>
      <c r="M11">
        <v>35</v>
      </c>
      <c r="N11">
        <v>34</v>
      </c>
      <c r="O11">
        <v>37</v>
      </c>
      <c r="P11">
        <v>34</v>
      </c>
      <c r="Q11" s="21">
        <f t="shared" si="1"/>
        <v>35</v>
      </c>
      <c r="R11">
        <v>49</v>
      </c>
      <c r="S11">
        <v>50</v>
      </c>
      <c r="T11">
        <v>52</v>
      </c>
      <c r="U11">
        <v>55</v>
      </c>
      <c r="V11" s="21">
        <f t="shared" si="2"/>
        <v>51.5</v>
      </c>
      <c r="W11">
        <v>76</v>
      </c>
      <c r="X11">
        <v>75</v>
      </c>
      <c r="Y11">
        <v>77</v>
      </c>
      <c r="Z11">
        <v>78</v>
      </c>
      <c r="AA11" s="21">
        <f t="shared" si="3"/>
        <v>76.5</v>
      </c>
      <c r="AB11">
        <v>91</v>
      </c>
      <c r="AC11">
        <v>85</v>
      </c>
      <c r="AD11">
        <v>90</v>
      </c>
      <c r="AE11">
        <v>90</v>
      </c>
      <c r="AF11" s="21">
        <f t="shared" si="4"/>
        <v>89</v>
      </c>
      <c r="AG11" s="22">
        <v>89</v>
      </c>
      <c r="AH11" s="22">
        <v>95</v>
      </c>
      <c r="AI11" s="22">
        <v>98</v>
      </c>
      <c r="AJ11" s="22">
        <v>91</v>
      </c>
      <c r="AK11" s="21">
        <f t="shared" si="5"/>
        <v>93.25</v>
      </c>
      <c r="AL11" s="21"/>
      <c r="AM11" s="21"/>
      <c r="AN11" s="21"/>
      <c r="AO11" s="21"/>
      <c r="AP11" s="21" t="e">
        <f t="shared" si="6"/>
        <v>#DIV/0!</v>
      </c>
      <c r="AQ11" s="21"/>
      <c r="AR11">
        <v>89</v>
      </c>
      <c r="AS11">
        <v>95</v>
      </c>
      <c r="AT11">
        <v>98</v>
      </c>
      <c r="AU11">
        <v>91</v>
      </c>
      <c r="AV11" s="21">
        <f t="shared" si="7"/>
        <v>93.25</v>
      </c>
      <c r="AW11">
        <v>0</v>
      </c>
      <c r="AX11">
        <v>0</v>
      </c>
      <c r="AY11">
        <v>0</v>
      </c>
      <c r="AZ11" s="21">
        <f t="shared" si="8"/>
        <v>0</v>
      </c>
      <c r="BA11">
        <v>0</v>
      </c>
      <c r="BB11">
        <v>0</v>
      </c>
      <c r="BC11">
        <v>0</v>
      </c>
      <c r="BD11" s="21">
        <f t="shared" si="9"/>
        <v>0</v>
      </c>
      <c r="BH11" s="21">
        <f t="shared" si="10"/>
        <v>0</v>
      </c>
      <c r="BI11">
        <v>25.4</v>
      </c>
      <c r="BJ11">
        <v>14</v>
      </c>
      <c r="BK11" s="18">
        <f t="shared" si="11"/>
        <v>44.881889763779526</v>
      </c>
      <c r="BL11" s="18">
        <f t="shared" si="12"/>
        <v>3.9527559055118102</v>
      </c>
      <c r="BM11" s="19">
        <f t="shared" si="13"/>
        <v>44781.952755905513</v>
      </c>
      <c r="BN11" s="71">
        <f t="shared" si="14"/>
        <v>96.952755905513186</v>
      </c>
      <c r="BO11">
        <v>6</v>
      </c>
      <c r="BP11" s="23">
        <f t="shared" si="15"/>
        <v>7.238999999999999</v>
      </c>
      <c r="BQ11">
        <v>8.3000000000000007</v>
      </c>
      <c r="BR11" s="21">
        <v>5.5</v>
      </c>
      <c r="BS11" s="22">
        <f t="shared" si="16"/>
        <v>12526.08103025759</v>
      </c>
      <c r="BT11" s="22">
        <f t="shared" si="17"/>
        <v>232.85663453683983</v>
      </c>
      <c r="BU11">
        <v>71.400000000000006</v>
      </c>
      <c r="BV11" s="21">
        <v>4.7</v>
      </c>
      <c r="BW11" s="21">
        <v>4.84</v>
      </c>
      <c r="BX11" s="71">
        <f t="shared" si="18"/>
        <v>52.111560693641614</v>
      </c>
    </row>
    <row r="12" spans="2:76" x14ac:dyDescent="0.3">
      <c r="B12">
        <v>2022</v>
      </c>
      <c r="C12" t="s">
        <v>125</v>
      </c>
      <c r="D12">
        <v>108</v>
      </c>
      <c r="E12">
        <v>1</v>
      </c>
      <c r="F12">
        <v>8</v>
      </c>
      <c r="G12" t="s">
        <v>15</v>
      </c>
      <c r="H12">
        <v>8</v>
      </c>
      <c r="I12" t="s">
        <v>23</v>
      </c>
      <c r="J12">
        <v>36</v>
      </c>
      <c r="K12">
        <v>54</v>
      </c>
      <c r="L12" s="22">
        <f t="shared" si="0"/>
        <v>186.48984666390388</v>
      </c>
      <c r="M12">
        <v>32</v>
      </c>
      <c r="N12">
        <v>30</v>
      </c>
      <c r="O12">
        <v>35</v>
      </c>
      <c r="P12">
        <v>34</v>
      </c>
      <c r="Q12" s="21">
        <f t="shared" si="1"/>
        <v>32.75</v>
      </c>
      <c r="R12">
        <v>48</v>
      </c>
      <c r="S12">
        <v>50</v>
      </c>
      <c r="T12">
        <v>47</v>
      </c>
      <c r="U12">
        <v>53</v>
      </c>
      <c r="V12" s="21">
        <f t="shared" si="2"/>
        <v>49.5</v>
      </c>
      <c r="W12">
        <v>76</v>
      </c>
      <c r="X12">
        <v>75</v>
      </c>
      <c r="Y12">
        <v>75</v>
      </c>
      <c r="Z12">
        <v>75</v>
      </c>
      <c r="AA12" s="21">
        <f t="shared" si="3"/>
        <v>75.25</v>
      </c>
      <c r="AB12">
        <v>91</v>
      </c>
      <c r="AC12">
        <v>91</v>
      </c>
      <c r="AD12">
        <v>92</v>
      </c>
      <c r="AE12">
        <v>96</v>
      </c>
      <c r="AF12" s="21">
        <f t="shared" si="4"/>
        <v>92.5</v>
      </c>
      <c r="AG12" s="22">
        <v>100</v>
      </c>
      <c r="AH12" s="22">
        <v>105</v>
      </c>
      <c r="AI12" s="22">
        <v>98</v>
      </c>
      <c r="AJ12" s="22">
        <v>96</v>
      </c>
      <c r="AK12" s="21">
        <f t="shared" si="5"/>
        <v>99.75</v>
      </c>
      <c r="AL12" s="21"/>
      <c r="AM12" s="21"/>
      <c r="AN12" s="21"/>
      <c r="AO12" s="21"/>
      <c r="AP12" s="21" t="e">
        <f t="shared" si="6"/>
        <v>#DIV/0!</v>
      </c>
      <c r="AQ12" s="21"/>
      <c r="AR12">
        <v>100</v>
      </c>
      <c r="AS12">
        <v>105</v>
      </c>
      <c r="AT12">
        <v>98</v>
      </c>
      <c r="AU12">
        <v>96</v>
      </c>
      <c r="AV12" s="21">
        <f t="shared" si="7"/>
        <v>99.75</v>
      </c>
      <c r="AW12">
        <v>0</v>
      </c>
      <c r="AX12">
        <v>0</v>
      </c>
      <c r="AY12">
        <v>0</v>
      </c>
      <c r="AZ12" s="21">
        <f t="shared" si="8"/>
        <v>0</v>
      </c>
      <c r="BA12">
        <v>0</v>
      </c>
      <c r="BB12">
        <v>0</v>
      </c>
      <c r="BC12">
        <v>0</v>
      </c>
      <c r="BD12" s="21">
        <f t="shared" si="9"/>
        <v>0</v>
      </c>
      <c r="BH12" s="21">
        <f t="shared" si="10"/>
        <v>0</v>
      </c>
      <c r="BI12">
        <v>23.7</v>
      </c>
      <c r="BJ12">
        <v>13.6</v>
      </c>
      <c r="BK12" s="18">
        <f t="shared" si="11"/>
        <v>42.616033755274266</v>
      </c>
      <c r="BL12" s="18">
        <f t="shared" si="12"/>
        <v>3.0464135021097065</v>
      </c>
      <c r="BM12" s="19">
        <f t="shared" si="13"/>
        <v>44781.04641350211</v>
      </c>
      <c r="BN12" s="71">
        <f t="shared" si="14"/>
        <v>96.046413502110227</v>
      </c>
      <c r="BO12">
        <v>6</v>
      </c>
      <c r="BP12" s="23">
        <f t="shared" si="15"/>
        <v>7.238999999999999</v>
      </c>
      <c r="BQ12">
        <v>8.6199999999999992</v>
      </c>
      <c r="BR12" s="21">
        <v>7.6</v>
      </c>
      <c r="BS12" s="22">
        <f t="shared" si="16"/>
        <v>12719.925068691027</v>
      </c>
      <c r="BT12" s="22">
        <f t="shared" si="17"/>
        <v>236.46014550771781</v>
      </c>
      <c r="BU12">
        <v>99.3</v>
      </c>
      <c r="BV12" s="21">
        <v>4.75</v>
      </c>
      <c r="BW12" s="21">
        <v>4.58</v>
      </c>
      <c r="BX12" s="71">
        <f t="shared" si="18"/>
        <v>49.831907514450869</v>
      </c>
    </row>
    <row r="13" spans="2:76" x14ac:dyDescent="0.3">
      <c r="B13">
        <v>2022</v>
      </c>
      <c r="C13" t="s">
        <v>125</v>
      </c>
      <c r="D13">
        <v>109</v>
      </c>
      <c r="E13">
        <v>1</v>
      </c>
      <c r="F13">
        <v>9</v>
      </c>
      <c r="G13" t="s">
        <v>15</v>
      </c>
      <c r="H13">
        <v>9</v>
      </c>
      <c r="I13" t="s">
        <v>24</v>
      </c>
      <c r="J13">
        <v>54</v>
      </c>
      <c r="K13">
        <v>61</v>
      </c>
      <c r="L13" s="22">
        <f t="shared" si="0"/>
        <v>238.29258184832162</v>
      </c>
      <c r="M13">
        <v>37</v>
      </c>
      <c r="N13">
        <v>39</v>
      </c>
      <c r="O13">
        <v>36</v>
      </c>
      <c r="P13">
        <v>34</v>
      </c>
      <c r="Q13" s="21">
        <f t="shared" si="1"/>
        <v>36.5</v>
      </c>
      <c r="R13">
        <v>54</v>
      </c>
      <c r="S13">
        <v>58</v>
      </c>
      <c r="T13">
        <v>54</v>
      </c>
      <c r="U13">
        <v>56</v>
      </c>
      <c r="V13" s="21">
        <f t="shared" si="2"/>
        <v>55.5</v>
      </c>
      <c r="W13">
        <v>77</v>
      </c>
      <c r="X13">
        <v>77</v>
      </c>
      <c r="Y13">
        <v>77</v>
      </c>
      <c r="Z13">
        <v>77</v>
      </c>
      <c r="AA13" s="21">
        <f t="shared" si="3"/>
        <v>77</v>
      </c>
      <c r="AB13">
        <v>91</v>
      </c>
      <c r="AC13">
        <v>95</v>
      </c>
      <c r="AD13">
        <v>87</v>
      </c>
      <c r="AE13">
        <v>96</v>
      </c>
      <c r="AF13" s="21">
        <f t="shared" si="4"/>
        <v>92.25</v>
      </c>
      <c r="AG13" s="22">
        <v>93</v>
      </c>
      <c r="AH13" s="22">
        <v>104</v>
      </c>
      <c r="AI13" s="22">
        <v>97</v>
      </c>
      <c r="AJ13" s="22">
        <v>102</v>
      </c>
      <c r="AK13" s="21">
        <f t="shared" si="5"/>
        <v>99</v>
      </c>
      <c r="AL13" s="21"/>
      <c r="AM13" s="21"/>
      <c r="AN13" s="21"/>
      <c r="AO13" s="21"/>
      <c r="AP13" s="21" t="e">
        <f t="shared" si="6"/>
        <v>#DIV/0!</v>
      </c>
      <c r="AQ13" s="21"/>
      <c r="AR13">
        <v>93</v>
      </c>
      <c r="AS13">
        <v>104</v>
      </c>
      <c r="AT13">
        <v>97</v>
      </c>
      <c r="AU13">
        <v>102</v>
      </c>
      <c r="AV13" s="21">
        <f t="shared" si="7"/>
        <v>99</v>
      </c>
      <c r="AW13">
        <v>0</v>
      </c>
      <c r="AX13">
        <v>0</v>
      </c>
      <c r="AY13">
        <v>0</v>
      </c>
      <c r="AZ13" s="21">
        <f t="shared" si="8"/>
        <v>0</v>
      </c>
      <c r="BA13">
        <v>0</v>
      </c>
      <c r="BB13">
        <v>0</v>
      </c>
      <c r="BC13">
        <v>0</v>
      </c>
      <c r="BD13" s="21">
        <f t="shared" si="9"/>
        <v>0</v>
      </c>
      <c r="BH13" s="21">
        <f t="shared" si="10"/>
        <v>0</v>
      </c>
      <c r="BI13">
        <v>25.7</v>
      </c>
      <c r="BJ13">
        <v>14.2</v>
      </c>
      <c r="BK13" s="18">
        <f t="shared" si="11"/>
        <v>44.747081712062261</v>
      </c>
      <c r="BL13" s="18">
        <f t="shared" si="12"/>
        <v>3.8988326848249044</v>
      </c>
      <c r="BM13" s="19">
        <f t="shared" si="13"/>
        <v>44781.898832684827</v>
      </c>
      <c r="BN13" s="71">
        <f t="shared" si="14"/>
        <v>96.89883268482663</v>
      </c>
      <c r="BO13">
        <v>6</v>
      </c>
      <c r="BP13" s="23">
        <f t="shared" si="15"/>
        <v>7.238999999999999</v>
      </c>
      <c r="BQ13">
        <v>8.84</v>
      </c>
      <c r="BR13" s="21">
        <v>8.5</v>
      </c>
      <c r="BS13" s="22">
        <f t="shared" si="16"/>
        <v>12917.506090564359</v>
      </c>
      <c r="BT13" s="22">
        <f t="shared" si="17"/>
        <v>240.13312604254256</v>
      </c>
      <c r="BU13">
        <v>100.4</v>
      </c>
      <c r="BV13" s="21">
        <v>4.7299999999999995</v>
      </c>
      <c r="BW13" s="21">
        <v>4.71</v>
      </c>
      <c r="BX13" s="71">
        <f t="shared" si="18"/>
        <v>49.928323699421966</v>
      </c>
    </row>
    <row r="14" spans="2:76" x14ac:dyDescent="0.3">
      <c r="B14">
        <v>2022</v>
      </c>
      <c r="C14" t="s">
        <v>125</v>
      </c>
      <c r="D14">
        <v>110</v>
      </c>
      <c r="E14">
        <v>1</v>
      </c>
      <c r="F14">
        <v>10</v>
      </c>
      <c r="G14" t="s">
        <v>25</v>
      </c>
      <c r="H14">
        <v>1</v>
      </c>
      <c r="I14" t="s">
        <v>16</v>
      </c>
      <c r="J14">
        <v>49</v>
      </c>
      <c r="K14">
        <v>65</v>
      </c>
      <c r="L14" s="22">
        <f t="shared" si="0"/>
        <v>236.22047244094489</v>
      </c>
      <c r="M14">
        <v>47</v>
      </c>
      <c r="N14">
        <v>48</v>
      </c>
      <c r="O14">
        <v>42</v>
      </c>
      <c r="P14">
        <v>43</v>
      </c>
      <c r="Q14" s="21">
        <f t="shared" si="1"/>
        <v>45</v>
      </c>
      <c r="R14">
        <v>65</v>
      </c>
      <c r="S14">
        <v>70</v>
      </c>
      <c r="T14">
        <v>67</v>
      </c>
      <c r="U14">
        <v>65</v>
      </c>
      <c r="V14" s="21">
        <f t="shared" si="2"/>
        <v>66.75</v>
      </c>
      <c r="W14">
        <v>93</v>
      </c>
      <c r="X14">
        <v>98</v>
      </c>
      <c r="Y14">
        <v>97</v>
      </c>
      <c r="Z14">
        <v>101</v>
      </c>
      <c r="AA14" s="21">
        <f t="shared" si="3"/>
        <v>97.25</v>
      </c>
      <c r="AB14">
        <v>111</v>
      </c>
      <c r="AC14">
        <v>116</v>
      </c>
      <c r="AD14">
        <v>115</v>
      </c>
      <c r="AE14">
        <v>109</v>
      </c>
      <c r="AF14" s="21">
        <f t="shared" si="4"/>
        <v>112.75</v>
      </c>
      <c r="AG14" s="22">
        <v>112</v>
      </c>
      <c r="AH14" s="22">
        <v>109</v>
      </c>
      <c r="AI14" s="22">
        <v>111</v>
      </c>
      <c r="AJ14" s="22">
        <v>110</v>
      </c>
      <c r="AK14" s="21">
        <f t="shared" si="5"/>
        <v>110.5</v>
      </c>
      <c r="AL14" s="21"/>
      <c r="AM14" s="21"/>
      <c r="AN14" s="21"/>
      <c r="AO14" s="21"/>
      <c r="AP14" s="21" t="e">
        <f t="shared" si="6"/>
        <v>#DIV/0!</v>
      </c>
      <c r="AQ14" s="21"/>
      <c r="AR14">
        <v>112</v>
      </c>
      <c r="AS14">
        <v>109</v>
      </c>
      <c r="AT14">
        <v>111</v>
      </c>
      <c r="AU14">
        <v>110</v>
      </c>
      <c r="AV14" s="21">
        <f t="shared" si="7"/>
        <v>110.5</v>
      </c>
      <c r="AW14">
        <v>0</v>
      </c>
      <c r="AX14">
        <v>0</v>
      </c>
      <c r="AY14">
        <v>0</v>
      </c>
      <c r="AZ14" s="21">
        <f t="shared" si="8"/>
        <v>0</v>
      </c>
      <c r="BA14">
        <v>0</v>
      </c>
      <c r="BB14">
        <v>0</v>
      </c>
      <c r="BC14">
        <v>0</v>
      </c>
      <c r="BD14" s="21">
        <f t="shared" si="9"/>
        <v>0</v>
      </c>
      <c r="BH14" s="21">
        <f t="shared" si="10"/>
        <v>0</v>
      </c>
      <c r="BI14">
        <v>21.9</v>
      </c>
      <c r="BJ14">
        <v>14</v>
      </c>
      <c r="BK14" s="18">
        <f t="shared" si="11"/>
        <v>36.073059360730589</v>
      </c>
      <c r="BL14" s="18">
        <f t="shared" si="12"/>
        <v>0.42922374429223564</v>
      </c>
      <c r="BM14" s="19">
        <f t="shared" si="13"/>
        <v>44778.429223744293</v>
      </c>
      <c r="BN14" s="71">
        <f t="shared" si="14"/>
        <v>93.429223744293267</v>
      </c>
      <c r="BO14">
        <v>6</v>
      </c>
      <c r="BP14" s="23">
        <f t="shared" si="15"/>
        <v>7.238999999999999</v>
      </c>
      <c r="BQ14">
        <v>7.98</v>
      </c>
      <c r="BR14" s="21">
        <v>7.6</v>
      </c>
      <c r="BS14" s="22">
        <f t="shared" si="16"/>
        <v>11775.522279368262</v>
      </c>
      <c r="BT14" s="22">
        <f t="shared" si="17"/>
        <v>218.903939808769</v>
      </c>
      <c r="BU14">
        <v>103.8</v>
      </c>
      <c r="BV14" s="21">
        <v>4.4700000000000006</v>
      </c>
      <c r="BW14" s="21">
        <v>4.5299999999999994</v>
      </c>
      <c r="BX14" s="71">
        <f t="shared" si="18"/>
        <v>48.06936416184972</v>
      </c>
    </row>
    <row r="15" spans="2:76" x14ac:dyDescent="0.3">
      <c r="B15">
        <v>2022</v>
      </c>
      <c r="C15" t="s">
        <v>125</v>
      </c>
      <c r="D15">
        <v>111</v>
      </c>
      <c r="E15">
        <v>1</v>
      </c>
      <c r="F15">
        <v>11</v>
      </c>
      <c r="G15" t="s">
        <v>25</v>
      </c>
      <c r="H15">
        <v>2</v>
      </c>
      <c r="I15" t="s">
        <v>17</v>
      </c>
      <c r="J15">
        <v>57</v>
      </c>
      <c r="K15">
        <v>59</v>
      </c>
      <c r="L15" s="22">
        <f t="shared" si="0"/>
        <v>240.36469125569832</v>
      </c>
      <c r="M15">
        <v>36</v>
      </c>
      <c r="N15">
        <v>38</v>
      </c>
      <c r="O15">
        <v>45</v>
      </c>
      <c r="P15">
        <v>50</v>
      </c>
      <c r="Q15" s="21">
        <f t="shared" si="1"/>
        <v>42.25</v>
      </c>
      <c r="R15">
        <v>60</v>
      </c>
      <c r="S15">
        <v>68</v>
      </c>
      <c r="T15">
        <v>65</v>
      </c>
      <c r="U15">
        <v>67</v>
      </c>
      <c r="V15" s="21">
        <f t="shared" si="2"/>
        <v>65</v>
      </c>
      <c r="W15">
        <v>85</v>
      </c>
      <c r="X15">
        <v>96</v>
      </c>
      <c r="Y15">
        <v>96</v>
      </c>
      <c r="Z15">
        <v>93</v>
      </c>
      <c r="AA15" s="21">
        <f t="shared" si="3"/>
        <v>92.5</v>
      </c>
      <c r="AB15">
        <v>108</v>
      </c>
      <c r="AC15">
        <v>115</v>
      </c>
      <c r="AD15">
        <v>113</v>
      </c>
      <c r="AE15">
        <v>114</v>
      </c>
      <c r="AF15" s="21">
        <f t="shared" si="4"/>
        <v>112.5</v>
      </c>
      <c r="AG15" s="22">
        <v>107</v>
      </c>
      <c r="AH15" s="22">
        <v>110</v>
      </c>
      <c r="AI15" s="22">
        <v>110</v>
      </c>
      <c r="AJ15" s="22">
        <v>111</v>
      </c>
      <c r="AK15" s="21">
        <f t="shared" si="5"/>
        <v>109.5</v>
      </c>
      <c r="AL15" s="21"/>
      <c r="AM15" s="21"/>
      <c r="AN15" s="21"/>
      <c r="AO15" s="21"/>
      <c r="AP15" s="21" t="e">
        <f t="shared" si="6"/>
        <v>#DIV/0!</v>
      </c>
      <c r="AQ15" s="21"/>
      <c r="AR15">
        <v>107</v>
      </c>
      <c r="AS15">
        <v>110</v>
      </c>
      <c r="AT15">
        <v>110</v>
      </c>
      <c r="AU15">
        <v>111</v>
      </c>
      <c r="AV15" s="21">
        <f t="shared" si="7"/>
        <v>109.5</v>
      </c>
      <c r="AW15">
        <v>0</v>
      </c>
      <c r="AX15">
        <v>0</v>
      </c>
      <c r="AY15">
        <v>0</v>
      </c>
      <c r="AZ15" s="21">
        <f t="shared" si="8"/>
        <v>0</v>
      </c>
      <c r="BA15">
        <v>0</v>
      </c>
      <c r="BB15">
        <v>0</v>
      </c>
      <c r="BC15">
        <v>0</v>
      </c>
      <c r="BD15" s="21">
        <f t="shared" si="9"/>
        <v>0</v>
      </c>
      <c r="BH15" s="21">
        <f t="shared" si="10"/>
        <v>0</v>
      </c>
      <c r="BI15">
        <v>22.5</v>
      </c>
      <c r="BJ15">
        <v>13</v>
      </c>
      <c r="BK15" s="18">
        <f t="shared" si="11"/>
        <v>42.222222222222221</v>
      </c>
      <c r="BL15" s="18">
        <f t="shared" si="12"/>
        <v>2.8888888888888884</v>
      </c>
      <c r="BM15" s="19">
        <f t="shared" si="13"/>
        <v>44780.888888888891</v>
      </c>
      <c r="BN15" s="71">
        <f t="shared" si="14"/>
        <v>95.888888888890506</v>
      </c>
      <c r="BO15">
        <v>6</v>
      </c>
      <c r="BP15" s="23">
        <f t="shared" si="15"/>
        <v>7.238999999999999</v>
      </c>
      <c r="BQ15">
        <v>8.76</v>
      </c>
      <c r="BR15" s="21">
        <v>8</v>
      </c>
      <c r="BS15" s="22">
        <f t="shared" si="16"/>
        <v>12870.554247345184</v>
      </c>
      <c r="BT15" s="22">
        <f t="shared" si="17"/>
        <v>239.26030331603226</v>
      </c>
      <c r="BU15">
        <v>99.4</v>
      </c>
      <c r="BV15" s="21">
        <v>4.6399999999999997</v>
      </c>
      <c r="BW15" s="21">
        <v>4.3600000000000003</v>
      </c>
      <c r="BX15" s="71">
        <f t="shared" si="18"/>
        <v>47.861271676300575</v>
      </c>
    </row>
    <row r="16" spans="2:76" x14ac:dyDescent="0.3">
      <c r="B16">
        <v>2022</v>
      </c>
      <c r="C16" t="s">
        <v>125</v>
      </c>
      <c r="D16">
        <v>112</v>
      </c>
      <c r="E16">
        <v>1</v>
      </c>
      <c r="F16">
        <v>12</v>
      </c>
      <c r="G16" t="s">
        <v>25</v>
      </c>
      <c r="H16">
        <v>3</v>
      </c>
      <c r="I16" t="s">
        <v>18</v>
      </c>
      <c r="J16">
        <v>45</v>
      </c>
      <c r="K16">
        <v>59</v>
      </c>
      <c r="L16" s="22">
        <f t="shared" si="0"/>
        <v>215.4993783671778</v>
      </c>
      <c r="M16">
        <v>50</v>
      </c>
      <c r="N16">
        <v>49</v>
      </c>
      <c r="O16">
        <v>40</v>
      </c>
      <c r="P16">
        <v>36</v>
      </c>
      <c r="Q16" s="21">
        <f t="shared" si="1"/>
        <v>43.75</v>
      </c>
      <c r="R16">
        <v>65</v>
      </c>
      <c r="S16">
        <v>58</v>
      </c>
      <c r="T16">
        <v>55</v>
      </c>
      <c r="U16">
        <v>60</v>
      </c>
      <c r="V16" s="21">
        <f t="shared" si="2"/>
        <v>59.5</v>
      </c>
      <c r="W16">
        <v>90</v>
      </c>
      <c r="X16">
        <v>90</v>
      </c>
      <c r="Y16">
        <v>89</v>
      </c>
      <c r="Z16">
        <v>95</v>
      </c>
      <c r="AA16" s="21">
        <f t="shared" si="3"/>
        <v>91</v>
      </c>
      <c r="AB16">
        <v>114</v>
      </c>
      <c r="AC16">
        <v>110</v>
      </c>
      <c r="AD16">
        <v>109</v>
      </c>
      <c r="AE16">
        <v>109</v>
      </c>
      <c r="AF16" s="21">
        <v>109</v>
      </c>
      <c r="AG16" s="22">
        <v>111</v>
      </c>
      <c r="AH16" s="22">
        <v>103</v>
      </c>
      <c r="AI16" s="22">
        <v>105</v>
      </c>
      <c r="AJ16" s="22">
        <v>109</v>
      </c>
      <c r="AK16" s="21">
        <f t="shared" si="5"/>
        <v>107</v>
      </c>
      <c r="AL16" s="21"/>
      <c r="AM16" s="21"/>
      <c r="AN16" s="21"/>
      <c r="AO16" s="21"/>
      <c r="AP16" s="21" t="e">
        <f t="shared" si="6"/>
        <v>#DIV/0!</v>
      </c>
      <c r="AQ16" s="21"/>
      <c r="AR16">
        <v>111</v>
      </c>
      <c r="AS16">
        <v>103</v>
      </c>
      <c r="AT16">
        <v>105</v>
      </c>
      <c r="AU16">
        <v>109</v>
      </c>
      <c r="AV16" s="21">
        <f t="shared" si="7"/>
        <v>107</v>
      </c>
      <c r="AW16">
        <v>0</v>
      </c>
      <c r="AX16">
        <v>0</v>
      </c>
      <c r="AY16">
        <v>0</v>
      </c>
      <c r="AZ16" s="21">
        <f t="shared" si="8"/>
        <v>0</v>
      </c>
      <c r="BA16">
        <v>0</v>
      </c>
      <c r="BB16">
        <v>0</v>
      </c>
      <c r="BC16">
        <v>0</v>
      </c>
      <c r="BD16" s="21">
        <f t="shared" si="9"/>
        <v>0</v>
      </c>
      <c r="BH16" s="21">
        <f t="shared" si="10"/>
        <v>0</v>
      </c>
      <c r="BI16">
        <v>23.7</v>
      </c>
      <c r="BJ16">
        <v>13.8</v>
      </c>
      <c r="BK16" s="18">
        <f t="shared" si="11"/>
        <v>41.772151898734172</v>
      </c>
      <c r="BL16" s="18">
        <f t="shared" si="12"/>
        <v>2.7088607594936689</v>
      </c>
      <c r="BM16" s="19">
        <f t="shared" si="13"/>
        <v>44780.708860759492</v>
      </c>
      <c r="BN16" s="71">
        <f t="shared" si="14"/>
        <v>95.708860759492381</v>
      </c>
      <c r="BO16">
        <v>6</v>
      </c>
      <c r="BP16" s="23">
        <f t="shared" si="15"/>
        <v>7.238999999999999</v>
      </c>
      <c r="BQ16">
        <v>8.66</v>
      </c>
      <c r="BR16" s="21">
        <v>8.6999999999999993</v>
      </c>
      <c r="BS16" s="22">
        <f t="shared" si="16"/>
        <v>12626.819882987704</v>
      </c>
      <c r="BT16" s="22">
        <f t="shared" si="17"/>
        <v>234.72934397861755</v>
      </c>
      <c r="BU16">
        <v>97.7</v>
      </c>
      <c r="BV16" s="21">
        <v>4.45</v>
      </c>
      <c r="BW16" s="21">
        <v>4.3600000000000003</v>
      </c>
      <c r="BX16" s="71">
        <f t="shared" si="18"/>
        <v>46.494393063583821</v>
      </c>
    </row>
    <row r="17" spans="2:76" x14ac:dyDescent="0.3">
      <c r="B17">
        <v>2022</v>
      </c>
      <c r="C17" t="s">
        <v>125</v>
      </c>
      <c r="D17">
        <v>113</v>
      </c>
      <c r="E17">
        <v>1</v>
      </c>
      <c r="F17">
        <v>13</v>
      </c>
      <c r="G17" t="s">
        <v>25</v>
      </c>
      <c r="H17">
        <v>4</v>
      </c>
      <c r="I17" t="s">
        <v>19</v>
      </c>
      <c r="J17">
        <v>53</v>
      </c>
      <c r="K17">
        <v>56</v>
      </c>
      <c r="L17" s="22">
        <f t="shared" si="0"/>
        <v>225.85992540406136</v>
      </c>
      <c r="M17">
        <v>45</v>
      </c>
      <c r="N17">
        <v>44</v>
      </c>
      <c r="O17">
        <v>54</v>
      </c>
      <c r="P17">
        <v>47</v>
      </c>
      <c r="Q17" s="21">
        <f t="shared" si="1"/>
        <v>47.5</v>
      </c>
      <c r="R17">
        <v>65</v>
      </c>
      <c r="S17">
        <v>65</v>
      </c>
      <c r="T17">
        <v>68</v>
      </c>
      <c r="U17">
        <v>73</v>
      </c>
      <c r="V17" s="21">
        <f t="shared" si="2"/>
        <v>67.75</v>
      </c>
      <c r="W17">
        <v>92</v>
      </c>
      <c r="X17">
        <v>101</v>
      </c>
      <c r="Y17">
        <v>101</v>
      </c>
      <c r="Z17">
        <v>98</v>
      </c>
      <c r="AA17" s="21">
        <f t="shared" si="3"/>
        <v>98</v>
      </c>
      <c r="AB17">
        <v>103</v>
      </c>
      <c r="AC17">
        <v>109</v>
      </c>
      <c r="AD17">
        <v>110</v>
      </c>
      <c r="AE17">
        <v>112</v>
      </c>
      <c r="AF17" s="21">
        <f t="shared" si="4"/>
        <v>108.5</v>
      </c>
      <c r="AG17" s="22">
        <v>104</v>
      </c>
      <c r="AH17" s="22">
        <v>113</v>
      </c>
      <c r="AI17" s="22">
        <v>107</v>
      </c>
      <c r="AJ17" s="22">
        <v>110</v>
      </c>
      <c r="AK17" s="21">
        <f t="shared" si="5"/>
        <v>108.5</v>
      </c>
      <c r="AL17" s="21"/>
      <c r="AM17" s="21"/>
      <c r="AN17" s="21"/>
      <c r="AO17" s="21"/>
      <c r="AP17" s="21" t="e">
        <f t="shared" si="6"/>
        <v>#DIV/0!</v>
      </c>
      <c r="AQ17" s="21"/>
      <c r="AR17">
        <v>104</v>
      </c>
      <c r="AS17">
        <v>113</v>
      </c>
      <c r="AT17">
        <v>107</v>
      </c>
      <c r="AU17">
        <v>110</v>
      </c>
      <c r="AV17" s="21">
        <f t="shared" si="7"/>
        <v>108.5</v>
      </c>
      <c r="AW17">
        <v>0</v>
      </c>
      <c r="AX17">
        <v>0</v>
      </c>
      <c r="AY17">
        <v>0</v>
      </c>
      <c r="AZ17" s="21">
        <f t="shared" si="8"/>
        <v>0</v>
      </c>
      <c r="BA17">
        <v>0</v>
      </c>
      <c r="BB17">
        <v>0</v>
      </c>
      <c r="BC17">
        <v>0</v>
      </c>
      <c r="BD17" s="21">
        <f t="shared" si="9"/>
        <v>0</v>
      </c>
      <c r="BH17" s="21">
        <f t="shared" si="10"/>
        <v>0</v>
      </c>
      <c r="BI17">
        <v>20.6</v>
      </c>
      <c r="BJ17">
        <v>12.8</v>
      </c>
      <c r="BK17" s="18">
        <f t="shared" si="11"/>
        <v>37.864077669902912</v>
      </c>
      <c r="BL17" s="18">
        <f t="shared" si="12"/>
        <v>1.1456310679611648</v>
      </c>
      <c r="BM17" s="19">
        <f t="shared" si="13"/>
        <v>44779.145631067964</v>
      </c>
      <c r="BN17" s="71">
        <f t="shared" si="14"/>
        <v>94.145631067964132</v>
      </c>
      <c r="BO17">
        <v>6</v>
      </c>
      <c r="BP17" s="23">
        <f t="shared" si="15"/>
        <v>7.238999999999999</v>
      </c>
      <c r="BQ17">
        <v>8.9499999999999993</v>
      </c>
      <c r="BR17" s="21">
        <v>8.6999999999999993</v>
      </c>
      <c r="BS17" s="22">
        <f t="shared" si="16"/>
        <v>13049.657962210153</v>
      </c>
      <c r="BT17" s="22">
        <f t="shared" si="17"/>
        <v>242.58979545134258</v>
      </c>
      <c r="BU17">
        <v>99.9</v>
      </c>
      <c r="BV17" s="21">
        <v>4.6100000000000003</v>
      </c>
      <c r="BW17" s="21">
        <v>4.54</v>
      </c>
      <c r="BX17" s="71">
        <f t="shared" si="18"/>
        <v>48.288728323699424</v>
      </c>
    </row>
    <row r="18" spans="2:76" x14ac:dyDescent="0.3">
      <c r="B18">
        <v>2022</v>
      </c>
      <c r="C18" t="s">
        <v>125</v>
      </c>
      <c r="D18">
        <v>114</v>
      </c>
      <c r="E18">
        <v>1</v>
      </c>
      <c r="F18">
        <v>14</v>
      </c>
      <c r="G18" t="s">
        <v>25</v>
      </c>
      <c r="H18">
        <v>5</v>
      </c>
      <c r="I18" t="s">
        <v>20</v>
      </c>
      <c r="J18">
        <v>50</v>
      </c>
      <c r="K18">
        <v>53</v>
      </c>
      <c r="L18" s="22">
        <f t="shared" si="0"/>
        <v>213.4272689598011</v>
      </c>
      <c r="M18">
        <v>47</v>
      </c>
      <c r="N18">
        <v>44</v>
      </c>
      <c r="O18">
        <v>41</v>
      </c>
      <c r="P18">
        <v>40</v>
      </c>
      <c r="Q18" s="21">
        <f t="shared" si="1"/>
        <v>43</v>
      </c>
      <c r="R18">
        <v>62</v>
      </c>
      <c r="S18">
        <v>68</v>
      </c>
      <c r="T18">
        <v>60</v>
      </c>
      <c r="U18">
        <v>64</v>
      </c>
      <c r="V18" s="21">
        <f t="shared" si="2"/>
        <v>63.5</v>
      </c>
      <c r="W18">
        <v>83</v>
      </c>
      <c r="X18">
        <v>85</v>
      </c>
      <c r="Y18">
        <v>88</v>
      </c>
      <c r="Z18">
        <v>90</v>
      </c>
      <c r="AA18" s="21">
        <f t="shared" si="3"/>
        <v>86.5</v>
      </c>
      <c r="AB18">
        <v>105</v>
      </c>
      <c r="AC18">
        <v>104</v>
      </c>
      <c r="AD18">
        <v>100</v>
      </c>
      <c r="AE18">
        <v>99</v>
      </c>
      <c r="AF18" s="21">
        <f t="shared" si="4"/>
        <v>102</v>
      </c>
      <c r="AG18" s="22">
        <v>105</v>
      </c>
      <c r="AH18" s="22">
        <v>110</v>
      </c>
      <c r="AI18" s="22">
        <v>106</v>
      </c>
      <c r="AJ18" s="22">
        <v>106</v>
      </c>
      <c r="AK18" s="21">
        <f t="shared" si="5"/>
        <v>106.75</v>
      </c>
      <c r="AL18" s="21"/>
      <c r="AM18" s="21"/>
      <c r="AN18" s="21"/>
      <c r="AO18" s="21"/>
      <c r="AP18" s="21" t="e">
        <f t="shared" si="6"/>
        <v>#DIV/0!</v>
      </c>
      <c r="AQ18" s="21"/>
      <c r="AR18">
        <v>105</v>
      </c>
      <c r="AS18">
        <v>110</v>
      </c>
      <c r="AT18">
        <v>106</v>
      </c>
      <c r="AU18">
        <v>106</v>
      </c>
      <c r="AV18" s="21">
        <f t="shared" si="7"/>
        <v>106.75</v>
      </c>
      <c r="AW18">
        <v>0</v>
      </c>
      <c r="AX18">
        <v>0</v>
      </c>
      <c r="AY18">
        <v>0</v>
      </c>
      <c r="AZ18" s="21">
        <f t="shared" si="8"/>
        <v>0</v>
      </c>
      <c r="BA18">
        <v>0</v>
      </c>
      <c r="BB18">
        <v>0</v>
      </c>
      <c r="BC18">
        <v>0</v>
      </c>
      <c r="BD18" s="21">
        <f t="shared" si="9"/>
        <v>0</v>
      </c>
      <c r="BH18" s="21">
        <f t="shared" si="10"/>
        <v>0</v>
      </c>
      <c r="BI18">
        <v>22.1</v>
      </c>
      <c r="BJ18">
        <v>11.9</v>
      </c>
      <c r="BK18" s="18">
        <f t="shared" si="11"/>
        <v>46.153846153846153</v>
      </c>
      <c r="BL18" s="18">
        <f t="shared" si="12"/>
        <v>4.4615384615384617</v>
      </c>
      <c r="BM18" s="19">
        <f t="shared" si="13"/>
        <v>44782.461538461539</v>
      </c>
      <c r="BN18" s="71">
        <f t="shared" si="14"/>
        <v>97.461538461539021</v>
      </c>
      <c r="BO18">
        <v>6</v>
      </c>
      <c r="BP18" s="23">
        <f t="shared" si="15"/>
        <v>7.238999999999999</v>
      </c>
      <c r="BQ18">
        <v>8.64</v>
      </c>
      <c r="BR18" s="21">
        <v>7.7</v>
      </c>
      <c r="BS18" s="22">
        <f t="shared" si="16"/>
        <v>12735.639563156221</v>
      </c>
      <c r="BT18" s="22">
        <f t="shared" si="17"/>
        <v>236.75227393046819</v>
      </c>
      <c r="BU18">
        <v>95.6</v>
      </c>
      <c r="BV18" s="21">
        <v>4.33</v>
      </c>
      <c r="BW18" s="21">
        <v>4.3499999999999996</v>
      </c>
      <c r="BX18" s="71">
        <f t="shared" si="18"/>
        <v>46.310057803468212</v>
      </c>
    </row>
    <row r="19" spans="2:76" x14ac:dyDescent="0.3">
      <c r="B19">
        <v>2022</v>
      </c>
      <c r="C19" t="s">
        <v>125</v>
      </c>
      <c r="D19">
        <v>115</v>
      </c>
      <c r="E19">
        <v>1</v>
      </c>
      <c r="F19">
        <v>15</v>
      </c>
      <c r="G19" t="s">
        <v>25</v>
      </c>
      <c r="H19">
        <v>6</v>
      </c>
      <c r="I19" t="s">
        <v>21</v>
      </c>
      <c r="J19">
        <v>55</v>
      </c>
      <c r="K19">
        <v>49</v>
      </c>
      <c r="L19" s="22">
        <f t="shared" si="0"/>
        <v>215.4993783671778</v>
      </c>
      <c r="M19">
        <v>52</v>
      </c>
      <c r="N19">
        <v>49</v>
      </c>
      <c r="O19">
        <v>50</v>
      </c>
      <c r="P19">
        <v>48</v>
      </c>
      <c r="Q19" s="21">
        <f t="shared" si="1"/>
        <v>49.75</v>
      </c>
      <c r="R19">
        <v>74</v>
      </c>
      <c r="S19">
        <v>72</v>
      </c>
      <c r="T19">
        <v>75</v>
      </c>
      <c r="U19">
        <v>78</v>
      </c>
      <c r="V19" s="21">
        <f t="shared" si="2"/>
        <v>74.75</v>
      </c>
      <c r="W19">
        <v>95</v>
      </c>
      <c r="X19">
        <v>86</v>
      </c>
      <c r="Y19">
        <v>90</v>
      </c>
      <c r="Z19">
        <v>93</v>
      </c>
      <c r="AA19" s="21">
        <f t="shared" si="3"/>
        <v>91</v>
      </c>
      <c r="AB19">
        <v>96</v>
      </c>
      <c r="AC19">
        <v>99</v>
      </c>
      <c r="AD19">
        <v>100</v>
      </c>
      <c r="AE19">
        <v>100</v>
      </c>
      <c r="AF19" s="21"/>
      <c r="AG19" s="22">
        <v>94</v>
      </c>
      <c r="AH19" s="22">
        <v>94</v>
      </c>
      <c r="AI19" s="22">
        <v>99</v>
      </c>
      <c r="AJ19" s="22">
        <v>96</v>
      </c>
      <c r="AK19" s="21">
        <f t="shared" si="5"/>
        <v>95.75</v>
      </c>
      <c r="AL19" s="21"/>
      <c r="AM19" s="21"/>
      <c r="AN19" s="21"/>
      <c r="AO19" s="21"/>
      <c r="AP19" s="21" t="e">
        <f t="shared" si="6"/>
        <v>#DIV/0!</v>
      </c>
      <c r="AQ19" s="21"/>
      <c r="AR19">
        <v>94</v>
      </c>
      <c r="AS19">
        <v>94</v>
      </c>
      <c r="AT19">
        <v>99</v>
      </c>
      <c r="AU19">
        <v>96</v>
      </c>
      <c r="AV19" s="21">
        <f t="shared" si="7"/>
        <v>95.75</v>
      </c>
      <c r="AW19">
        <v>0</v>
      </c>
      <c r="AX19">
        <v>0</v>
      </c>
      <c r="AY19">
        <v>0</v>
      </c>
      <c r="AZ19" s="21">
        <f t="shared" si="8"/>
        <v>0</v>
      </c>
      <c r="BA19">
        <v>0</v>
      </c>
      <c r="BB19">
        <v>0</v>
      </c>
      <c r="BC19">
        <v>0</v>
      </c>
      <c r="BD19" s="21">
        <f t="shared" si="9"/>
        <v>0</v>
      </c>
      <c r="BH19" s="21">
        <f t="shared" si="10"/>
        <v>0</v>
      </c>
      <c r="BI19">
        <v>21.5</v>
      </c>
      <c r="BJ19">
        <v>11.7</v>
      </c>
      <c r="BK19" s="18">
        <f t="shared" si="11"/>
        <v>45.581395348837212</v>
      </c>
      <c r="BL19" s="18">
        <f t="shared" si="12"/>
        <v>4.232558139534885</v>
      </c>
      <c r="BM19" s="19">
        <f t="shared" si="13"/>
        <v>44782.232558139534</v>
      </c>
      <c r="BN19" s="71">
        <f t="shared" si="14"/>
        <v>97.232558139534376</v>
      </c>
      <c r="BO19">
        <v>6</v>
      </c>
      <c r="BP19" s="23">
        <f t="shared" si="15"/>
        <v>7.238999999999999</v>
      </c>
      <c r="BQ19">
        <v>8.3800000000000008</v>
      </c>
      <c r="BR19" s="21">
        <v>9.1</v>
      </c>
      <c r="BS19" s="22">
        <f t="shared" si="16"/>
        <v>12165.030937910984</v>
      </c>
      <c r="BT19" s="22">
        <f t="shared" si="17"/>
        <v>226.14480589706318</v>
      </c>
      <c r="BU19">
        <v>101.4</v>
      </c>
      <c r="BV19" s="21">
        <v>4.5</v>
      </c>
      <c r="BW19" s="21">
        <v>4.49</v>
      </c>
      <c r="BX19" s="71">
        <f t="shared" si="18"/>
        <v>47.236473988439307</v>
      </c>
    </row>
    <row r="20" spans="2:76" x14ac:dyDescent="0.3">
      <c r="B20">
        <v>2022</v>
      </c>
      <c r="C20" t="s">
        <v>125</v>
      </c>
      <c r="D20">
        <v>116</v>
      </c>
      <c r="E20">
        <v>1</v>
      </c>
      <c r="F20">
        <v>16</v>
      </c>
      <c r="G20" t="s">
        <v>25</v>
      </c>
      <c r="H20">
        <v>7</v>
      </c>
      <c r="I20" t="s">
        <v>22</v>
      </c>
      <c r="J20">
        <v>51</v>
      </c>
      <c r="K20">
        <v>52</v>
      </c>
      <c r="L20" s="22">
        <f t="shared" si="0"/>
        <v>213.4272689598011</v>
      </c>
      <c r="M20">
        <v>45</v>
      </c>
      <c r="N20">
        <v>46</v>
      </c>
      <c r="O20">
        <v>45</v>
      </c>
      <c r="P20">
        <v>35</v>
      </c>
      <c r="Q20" s="21">
        <f t="shared" si="1"/>
        <v>42.75</v>
      </c>
      <c r="R20">
        <v>70</v>
      </c>
      <c r="S20">
        <v>70</v>
      </c>
      <c r="T20">
        <v>65</v>
      </c>
      <c r="U20">
        <v>60</v>
      </c>
      <c r="V20" s="21">
        <f t="shared" si="2"/>
        <v>66.25</v>
      </c>
      <c r="W20">
        <v>81</v>
      </c>
      <c r="X20">
        <v>87</v>
      </c>
      <c r="Y20">
        <v>91</v>
      </c>
      <c r="Z20">
        <v>97</v>
      </c>
      <c r="AA20" s="21">
        <f t="shared" si="3"/>
        <v>89</v>
      </c>
      <c r="AB20">
        <v>105</v>
      </c>
      <c r="AC20">
        <v>108</v>
      </c>
      <c r="AD20">
        <v>107</v>
      </c>
      <c r="AE20">
        <v>99</v>
      </c>
      <c r="AF20" s="21">
        <f t="shared" si="4"/>
        <v>104.75</v>
      </c>
      <c r="AG20" s="22">
        <v>105</v>
      </c>
      <c r="AH20" s="22">
        <v>100</v>
      </c>
      <c r="AI20" s="22">
        <v>103</v>
      </c>
      <c r="AJ20" s="22">
        <v>106</v>
      </c>
      <c r="AK20" s="21">
        <f t="shared" si="5"/>
        <v>103.5</v>
      </c>
      <c r="AL20" s="21"/>
      <c r="AM20" s="21"/>
      <c r="AN20" s="21"/>
      <c r="AO20" s="21"/>
      <c r="AP20" s="21" t="e">
        <f t="shared" si="6"/>
        <v>#DIV/0!</v>
      </c>
      <c r="AQ20" s="21"/>
      <c r="AR20">
        <v>105</v>
      </c>
      <c r="AS20">
        <v>100</v>
      </c>
      <c r="AT20">
        <v>103</v>
      </c>
      <c r="AU20">
        <v>106</v>
      </c>
      <c r="AV20" s="21">
        <f t="shared" si="7"/>
        <v>103.5</v>
      </c>
      <c r="AW20">
        <v>0</v>
      </c>
      <c r="AX20">
        <v>0</v>
      </c>
      <c r="AY20">
        <v>0</v>
      </c>
      <c r="AZ20" s="21">
        <f t="shared" si="8"/>
        <v>0</v>
      </c>
      <c r="BA20">
        <v>0</v>
      </c>
      <c r="BB20">
        <v>0</v>
      </c>
      <c r="BC20">
        <v>0</v>
      </c>
      <c r="BD20" s="21">
        <f t="shared" si="9"/>
        <v>0</v>
      </c>
      <c r="BH20" s="21">
        <f t="shared" si="10"/>
        <v>0</v>
      </c>
      <c r="BI20">
        <v>21.4</v>
      </c>
      <c r="BJ20">
        <v>10.6</v>
      </c>
      <c r="BK20" s="18">
        <f t="shared" si="11"/>
        <v>50.467289719626166</v>
      </c>
      <c r="BL20" s="18">
        <f t="shared" si="12"/>
        <v>6.186915887850466</v>
      </c>
      <c r="BM20" s="19">
        <f t="shared" si="13"/>
        <v>44784.186915887847</v>
      </c>
      <c r="BN20" s="71">
        <f t="shared" si="14"/>
        <v>99.186915887847135</v>
      </c>
      <c r="BO20">
        <v>6</v>
      </c>
      <c r="BP20" s="23">
        <f t="shared" si="15"/>
        <v>7.238999999999999</v>
      </c>
      <c r="BQ20">
        <v>8.94</v>
      </c>
      <c r="BR20" s="21">
        <v>8.1</v>
      </c>
      <c r="BS20" s="22">
        <f t="shared" si="16"/>
        <v>13120.740497641629</v>
      </c>
      <c r="BT20" s="22">
        <f t="shared" si="17"/>
        <v>243.91120155872261</v>
      </c>
      <c r="BU20">
        <v>97.7</v>
      </c>
      <c r="BV20" s="21">
        <v>4.4799999999999995</v>
      </c>
      <c r="BW20" s="21">
        <v>4.49</v>
      </c>
      <c r="BX20" s="71">
        <f t="shared" si="18"/>
        <v>47.64988439306358</v>
      </c>
    </row>
    <row r="21" spans="2:76" x14ac:dyDescent="0.3">
      <c r="B21">
        <v>2022</v>
      </c>
      <c r="C21" t="s">
        <v>125</v>
      </c>
      <c r="D21">
        <v>117</v>
      </c>
      <c r="E21">
        <v>1</v>
      </c>
      <c r="F21">
        <v>17</v>
      </c>
      <c r="G21" t="s">
        <v>25</v>
      </c>
      <c r="H21">
        <v>8</v>
      </c>
      <c r="I21" t="s">
        <v>23</v>
      </c>
      <c r="J21">
        <v>61</v>
      </c>
      <c r="K21">
        <v>55</v>
      </c>
      <c r="L21" s="22">
        <f t="shared" si="0"/>
        <v>240.36469125569832</v>
      </c>
      <c r="M21">
        <v>45</v>
      </c>
      <c r="N21">
        <v>44</v>
      </c>
      <c r="O21">
        <v>43</v>
      </c>
      <c r="P21">
        <v>40</v>
      </c>
      <c r="Q21" s="21">
        <f t="shared" si="1"/>
        <v>43</v>
      </c>
      <c r="R21">
        <v>65</v>
      </c>
      <c r="S21">
        <v>65</v>
      </c>
      <c r="T21">
        <v>60</v>
      </c>
      <c r="U21">
        <v>63</v>
      </c>
      <c r="V21" s="21">
        <f t="shared" si="2"/>
        <v>63.25</v>
      </c>
      <c r="W21">
        <v>90</v>
      </c>
      <c r="X21">
        <v>89</v>
      </c>
      <c r="Y21">
        <v>86</v>
      </c>
      <c r="Z21">
        <v>84</v>
      </c>
      <c r="AA21" s="21">
        <f t="shared" si="3"/>
        <v>87.25</v>
      </c>
      <c r="AB21">
        <v>104</v>
      </c>
      <c r="AC21">
        <v>105</v>
      </c>
      <c r="AD21">
        <v>104</v>
      </c>
      <c r="AE21">
        <v>106</v>
      </c>
      <c r="AF21" s="21">
        <f t="shared" si="4"/>
        <v>104.75</v>
      </c>
      <c r="AG21" s="22">
        <v>106</v>
      </c>
      <c r="AH21" s="22">
        <v>103</v>
      </c>
      <c r="AI21" s="22">
        <v>107</v>
      </c>
      <c r="AJ21" s="22">
        <v>104</v>
      </c>
      <c r="AK21" s="21">
        <f t="shared" si="5"/>
        <v>105</v>
      </c>
      <c r="AL21" s="21"/>
      <c r="AM21" s="21"/>
      <c r="AN21" s="21"/>
      <c r="AO21" s="21"/>
      <c r="AP21" s="21" t="e">
        <f t="shared" si="6"/>
        <v>#DIV/0!</v>
      </c>
      <c r="AQ21" s="21"/>
      <c r="AR21">
        <v>106</v>
      </c>
      <c r="AS21">
        <v>103</v>
      </c>
      <c r="AT21">
        <v>107</v>
      </c>
      <c r="AU21">
        <v>104</v>
      </c>
      <c r="AV21" s="21">
        <f t="shared" si="7"/>
        <v>105</v>
      </c>
      <c r="AW21">
        <v>0</v>
      </c>
      <c r="AX21">
        <v>0</v>
      </c>
      <c r="AY21">
        <v>0</v>
      </c>
      <c r="AZ21" s="21">
        <f t="shared" si="8"/>
        <v>0</v>
      </c>
      <c r="BA21">
        <v>0</v>
      </c>
      <c r="BB21">
        <v>0</v>
      </c>
      <c r="BC21">
        <v>0</v>
      </c>
      <c r="BD21" s="21">
        <f t="shared" si="9"/>
        <v>0</v>
      </c>
      <c r="BH21" s="21">
        <f t="shared" si="10"/>
        <v>0</v>
      </c>
      <c r="BI21">
        <v>23.6</v>
      </c>
      <c r="BJ21">
        <v>12.8</v>
      </c>
      <c r="BK21" s="18">
        <f t="shared" si="11"/>
        <v>45.762711864406782</v>
      </c>
      <c r="BL21" s="18">
        <f t="shared" si="12"/>
        <v>4.3050847457627128</v>
      </c>
      <c r="BM21" s="19">
        <f t="shared" si="13"/>
        <v>44782.305084745763</v>
      </c>
      <c r="BN21" s="71">
        <f t="shared" si="14"/>
        <v>97.305084745763452</v>
      </c>
      <c r="BO21">
        <v>6</v>
      </c>
      <c r="BP21" s="23">
        <f t="shared" si="15"/>
        <v>7.238999999999999</v>
      </c>
      <c r="BQ21">
        <v>9.25</v>
      </c>
      <c r="BR21" s="21">
        <v>8.6</v>
      </c>
      <c r="BS21" s="22">
        <f t="shared" si="16"/>
        <v>13501.848928451942</v>
      </c>
      <c r="BT21" s="22">
        <f t="shared" si="17"/>
        <v>250.99590956737586</v>
      </c>
      <c r="BU21">
        <v>97.8</v>
      </c>
      <c r="BV21" s="21">
        <v>4.5</v>
      </c>
      <c r="BW21" s="21">
        <v>4.51</v>
      </c>
      <c r="BX21" s="71">
        <f t="shared" si="18"/>
        <v>47.601965317919074</v>
      </c>
    </row>
    <row r="22" spans="2:76" x14ac:dyDescent="0.3">
      <c r="B22">
        <v>2022</v>
      </c>
      <c r="C22" t="s">
        <v>125</v>
      </c>
      <c r="D22">
        <v>118</v>
      </c>
      <c r="E22">
        <v>1</v>
      </c>
      <c r="F22">
        <v>18</v>
      </c>
      <c r="G22" t="s">
        <v>25</v>
      </c>
      <c r="H22">
        <v>9</v>
      </c>
      <c r="I22" t="s">
        <v>24</v>
      </c>
      <c r="J22">
        <v>37</v>
      </c>
      <c r="K22">
        <v>45</v>
      </c>
      <c r="L22" s="22">
        <f t="shared" si="0"/>
        <v>169.91297140489019</v>
      </c>
      <c r="M22">
        <v>46</v>
      </c>
      <c r="N22">
        <v>45</v>
      </c>
      <c r="O22">
        <v>42</v>
      </c>
      <c r="P22">
        <v>38</v>
      </c>
      <c r="Q22" s="21">
        <f t="shared" si="1"/>
        <v>42.75</v>
      </c>
      <c r="R22">
        <v>68</v>
      </c>
      <c r="S22">
        <v>70</v>
      </c>
      <c r="T22">
        <v>70</v>
      </c>
      <c r="U22">
        <v>58</v>
      </c>
      <c r="V22" s="21">
        <f t="shared" si="2"/>
        <v>66.5</v>
      </c>
      <c r="W22">
        <v>87</v>
      </c>
      <c r="X22">
        <v>92</v>
      </c>
      <c r="Y22">
        <v>91</v>
      </c>
      <c r="Z22">
        <v>84</v>
      </c>
      <c r="AA22" s="21">
        <f t="shared" si="3"/>
        <v>88.5</v>
      </c>
      <c r="AB22">
        <v>91</v>
      </c>
      <c r="AC22">
        <v>105</v>
      </c>
      <c r="AD22">
        <v>106</v>
      </c>
      <c r="AE22">
        <v>101</v>
      </c>
      <c r="AF22" s="21">
        <f t="shared" si="4"/>
        <v>100.75</v>
      </c>
      <c r="AG22" s="22">
        <v>113</v>
      </c>
      <c r="AH22" s="22">
        <v>107</v>
      </c>
      <c r="AI22" s="22">
        <v>105</v>
      </c>
      <c r="AJ22" s="22">
        <v>104</v>
      </c>
      <c r="AK22" s="21">
        <f t="shared" si="5"/>
        <v>107.25</v>
      </c>
      <c r="AL22" s="21"/>
      <c r="AM22" s="21"/>
      <c r="AN22" s="21"/>
      <c r="AO22" s="21"/>
      <c r="AP22" s="21" t="e">
        <f t="shared" si="6"/>
        <v>#DIV/0!</v>
      </c>
      <c r="AQ22" s="21"/>
      <c r="AR22">
        <v>113</v>
      </c>
      <c r="AS22">
        <v>107</v>
      </c>
      <c r="AT22">
        <v>105</v>
      </c>
      <c r="AU22">
        <v>104</v>
      </c>
      <c r="AV22" s="21">
        <f t="shared" si="7"/>
        <v>107.25</v>
      </c>
      <c r="AW22">
        <v>0</v>
      </c>
      <c r="AX22">
        <v>0</v>
      </c>
      <c r="AY22">
        <v>0</v>
      </c>
      <c r="AZ22" s="21">
        <f t="shared" si="8"/>
        <v>0</v>
      </c>
      <c r="BA22">
        <v>0</v>
      </c>
      <c r="BB22">
        <v>0</v>
      </c>
      <c r="BC22">
        <v>0</v>
      </c>
      <c r="BD22" s="21">
        <f t="shared" si="9"/>
        <v>0</v>
      </c>
      <c r="BH22" s="21">
        <f t="shared" si="10"/>
        <v>0</v>
      </c>
      <c r="BI22">
        <v>22.6</v>
      </c>
      <c r="BJ22">
        <v>12</v>
      </c>
      <c r="BK22" s="18">
        <f t="shared" si="11"/>
        <v>46.902654867256636</v>
      </c>
      <c r="BL22" s="18">
        <f t="shared" si="12"/>
        <v>4.7610619469026547</v>
      </c>
      <c r="BM22" s="19">
        <f t="shared" si="13"/>
        <v>44782.761061946905</v>
      </c>
      <c r="BN22" s="71">
        <f t="shared" si="14"/>
        <v>97.761061946905102</v>
      </c>
      <c r="BO22">
        <v>6</v>
      </c>
      <c r="BP22" s="23">
        <f t="shared" si="15"/>
        <v>7.238999999999999</v>
      </c>
      <c r="BQ22">
        <v>8.2899999999999991</v>
      </c>
      <c r="BR22" s="21">
        <v>8.4</v>
      </c>
      <c r="BS22" s="22">
        <f t="shared" si="16"/>
        <v>12127.054242953433</v>
      </c>
      <c r="BT22" s="22">
        <f t="shared" si="17"/>
        <v>225.43882887541639</v>
      </c>
      <c r="BU22">
        <v>98.8</v>
      </c>
      <c r="BV22" s="21">
        <v>4.43</v>
      </c>
      <c r="BW22" s="21">
        <v>4.4000000000000004</v>
      </c>
      <c r="BX22" s="71">
        <f t="shared" si="18"/>
        <v>46.75306358381502</v>
      </c>
    </row>
    <row r="23" spans="2:76" x14ac:dyDescent="0.3">
      <c r="B23">
        <v>2022</v>
      </c>
      <c r="C23" t="s">
        <v>125</v>
      </c>
      <c r="D23">
        <v>119</v>
      </c>
      <c r="E23">
        <v>1</v>
      </c>
      <c r="F23">
        <v>19</v>
      </c>
      <c r="G23" t="s">
        <v>27</v>
      </c>
      <c r="H23">
        <v>1</v>
      </c>
      <c r="I23" t="s">
        <v>16</v>
      </c>
      <c r="J23">
        <v>69</v>
      </c>
      <c r="K23">
        <v>68</v>
      </c>
      <c r="L23" s="22">
        <f t="shared" si="0"/>
        <v>283.8789888106092</v>
      </c>
      <c r="M23">
        <v>30</v>
      </c>
      <c r="N23">
        <v>33</v>
      </c>
      <c r="O23">
        <v>32</v>
      </c>
      <c r="P23">
        <v>35</v>
      </c>
      <c r="Q23" s="21">
        <f t="shared" si="1"/>
        <v>32.5</v>
      </c>
      <c r="R23">
        <v>45</v>
      </c>
      <c r="S23">
        <v>47</v>
      </c>
      <c r="T23">
        <v>50</v>
      </c>
      <c r="U23">
        <v>52</v>
      </c>
      <c r="V23" s="21">
        <f t="shared" si="2"/>
        <v>48.5</v>
      </c>
      <c r="W23">
        <v>77</v>
      </c>
      <c r="X23">
        <v>82</v>
      </c>
      <c r="Y23">
        <v>81</v>
      </c>
      <c r="Z23">
        <v>84</v>
      </c>
      <c r="AA23" s="21">
        <f t="shared" si="3"/>
        <v>81</v>
      </c>
      <c r="AB23">
        <v>95</v>
      </c>
      <c r="AC23">
        <v>95</v>
      </c>
      <c r="AD23">
        <v>99</v>
      </c>
      <c r="AE23">
        <v>87</v>
      </c>
      <c r="AF23" s="21">
        <f t="shared" si="4"/>
        <v>94</v>
      </c>
      <c r="AG23" s="22">
        <v>89</v>
      </c>
      <c r="AH23" s="22">
        <v>89</v>
      </c>
      <c r="AI23" s="22">
        <v>91</v>
      </c>
      <c r="AJ23" s="22">
        <v>92</v>
      </c>
      <c r="AK23" s="21">
        <f t="shared" si="5"/>
        <v>90.25</v>
      </c>
      <c r="AL23" s="21"/>
      <c r="AM23" s="21"/>
      <c r="AN23" s="21"/>
      <c r="AO23" s="21"/>
      <c r="AP23" s="21" t="e">
        <f t="shared" si="6"/>
        <v>#DIV/0!</v>
      </c>
      <c r="AQ23" s="21"/>
      <c r="AR23">
        <v>89</v>
      </c>
      <c r="AS23">
        <v>89</v>
      </c>
      <c r="AT23">
        <v>91</v>
      </c>
      <c r="AU23">
        <v>92</v>
      </c>
      <c r="AV23" s="21">
        <f t="shared" si="7"/>
        <v>90.25</v>
      </c>
      <c r="AW23">
        <v>5</v>
      </c>
      <c r="AX23">
        <v>0</v>
      </c>
      <c r="AY23">
        <v>0</v>
      </c>
      <c r="AZ23" s="21">
        <f t="shared" si="8"/>
        <v>3.3333333333333335</v>
      </c>
      <c r="BA23">
        <v>0</v>
      </c>
      <c r="BB23">
        <v>0</v>
      </c>
      <c r="BC23">
        <v>0</v>
      </c>
      <c r="BD23" s="21">
        <f t="shared" si="9"/>
        <v>0</v>
      </c>
      <c r="BH23" s="21">
        <f t="shared" si="10"/>
        <v>0</v>
      </c>
      <c r="BI23">
        <v>21.1</v>
      </c>
      <c r="BJ23">
        <v>11.2</v>
      </c>
      <c r="BK23" s="18">
        <f t="shared" si="11"/>
        <v>46.919431279620859</v>
      </c>
      <c r="BL23" s="18">
        <f t="shared" si="12"/>
        <v>4.7677725118483441</v>
      </c>
      <c r="BM23" s="19">
        <f t="shared" si="13"/>
        <v>44782.767772511848</v>
      </c>
      <c r="BN23" s="71">
        <f t="shared" si="14"/>
        <v>97.767772511848307</v>
      </c>
      <c r="BO23">
        <v>6</v>
      </c>
      <c r="BP23" s="23">
        <f t="shared" si="15"/>
        <v>7.238999999999999</v>
      </c>
      <c r="BQ23">
        <v>8.6999999999999993</v>
      </c>
      <c r="BR23" s="21">
        <v>7.3</v>
      </c>
      <c r="BS23" s="22">
        <f t="shared" si="16"/>
        <v>12879.657155724415</v>
      </c>
      <c r="BT23" s="22">
        <f t="shared" si="17"/>
        <v>239.4295240487231</v>
      </c>
      <c r="BU23">
        <v>106.6</v>
      </c>
      <c r="BV23" s="21">
        <v>5.35</v>
      </c>
      <c r="BW23" s="21">
        <v>5.17</v>
      </c>
      <c r="BX23" s="71">
        <f t="shared" si="18"/>
        <v>56.370173410404625</v>
      </c>
    </row>
    <row r="24" spans="2:76" x14ac:dyDescent="0.3">
      <c r="B24">
        <v>2022</v>
      </c>
      <c r="C24" t="s">
        <v>125</v>
      </c>
      <c r="D24">
        <v>120</v>
      </c>
      <c r="E24">
        <v>1</v>
      </c>
      <c r="F24">
        <v>20</v>
      </c>
      <c r="G24" t="s">
        <v>27</v>
      </c>
      <c r="H24">
        <v>2</v>
      </c>
      <c r="I24" t="s">
        <v>17</v>
      </c>
      <c r="J24">
        <v>46</v>
      </c>
      <c r="K24">
        <v>58</v>
      </c>
      <c r="L24" s="22">
        <f>(AVERAGE(J24:K24))/L$2</f>
        <v>215.4993783671778</v>
      </c>
      <c r="M24">
        <v>40</v>
      </c>
      <c r="N24">
        <v>37</v>
      </c>
      <c r="O24">
        <v>30</v>
      </c>
      <c r="P24">
        <v>35</v>
      </c>
      <c r="Q24" s="21">
        <f t="shared" si="1"/>
        <v>35.5</v>
      </c>
      <c r="R24">
        <v>58</v>
      </c>
      <c r="S24">
        <v>55</v>
      </c>
      <c r="T24">
        <v>55</v>
      </c>
      <c r="U24">
        <v>57</v>
      </c>
      <c r="V24" s="21">
        <f t="shared" si="2"/>
        <v>56.25</v>
      </c>
      <c r="W24">
        <v>79</v>
      </c>
      <c r="X24">
        <v>82</v>
      </c>
      <c r="Y24">
        <v>85</v>
      </c>
      <c r="Z24">
        <v>86</v>
      </c>
      <c r="AA24" s="21">
        <f t="shared" si="3"/>
        <v>83</v>
      </c>
      <c r="AB24">
        <v>90</v>
      </c>
      <c r="AC24">
        <v>91</v>
      </c>
      <c r="AD24">
        <v>93</v>
      </c>
      <c r="AE24">
        <v>92</v>
      </c>
      <c r="AF24" s="21">
        <f t="shared" si="4"/>
        <v>91.5</v>
      </c>
      <c r="AG24" s="22">
        <v>90</v>
      </c>
      <c r="AH24" s="22">
        <v>91</v>
      </c>
      <c r="AI24" s="22">
        <v>86</v>
      </c>
      <c r="AJ24" s="22">
        <v>85</v>
      </c>
      <c r="AK24" s="21">
        <f t="shared" si="5"/>
        <v>88</v>
      </c>
      <c r="AL24" s="21"/>
      <c r="AM24" s="21"/>
      <c r="AN24" s="21"/>
      <c r="AO24" s="21"/>
      <c r="AP24" s="21" t="e">
        <f t="shared" si="6"/>
        <v>#DIV/0!</v>
      </c>
      <c r="AQ24" s="21"/>
      <c r="AR24">
        <v>90</v>
      </c>
      <c r="AS24">
        <v>91</v>
      </c>
      <c r="AT24">
        <v>86</v>
      </c>
      <c r="AU24">
        <v>85</v>
      </c>
      <c r="AV24" s="21">
        <f t="shared" si="7"/>
        <v>88</v>
      </c>
      <c r="AW24">
        <v>0</v>
      </c>
      <c r="AX24">
        <v>25</v>
      </c>
      <c r="AY24">
        <v>0</v>
      </c>
      <c r="AZ24" s="21">
        <f t="shared" si="8"/>
        <v>8.3333333333333339</v>
      </c>
      <c r="BA24">
        <v>0</v>
      </c>
      <c r="BB24">
        <v>0</v>
      </c>
      <c r="BC24">
        <v>20</v>
      </c>
      <c r="BD24" s="21">
        <f t="shared" si="9"/>
        <v>20</v>
      </c>
      <c r="BH24" s="21">
        <f t="shared" si="10"/>
        <v>0</v>
      </c>
      <c r="BI24">
        <v>20.8</v>
      </c>
      <c r="BJ24">
        <v>11.1</v>
      </c>
      <c r="BK24" s="18">
        <f t="shared" si="11"/>
        <v>46.634615384615387</v>
      </c>
      <c r="BL24" s="18">
        <f t="shared" si="12"/>
        <v>4.6538461538461551</v>
      </c>
      <c r="BM24" s="19">
        <f t="shared" si="13"/>
        <v>44782.653846153844</v>
      </c>
      <c r="BN24" s="71">
        <f t="shared" si="14"/>
        <v>97.653846153843915</v>
      </c>
      <c r="BO24">
        <v>6</v>
      </c>
      <c r="BP24" s="23">
        <f t="shared" si="15"/>
        <v>7.238999999999999</v>
      </c>
      <c r="BQ24">
        <v>8.9600000000000009</v>
      </c>
      <c r="BR24" s="21">
        <v>7.2</v>
      </c>
      <c r="BS24" s="22">
        <f t="shared" si="16"/>
        <v>13278.875583204979</v>
      </c>
      <c r="BT24" s="22">
        <f t="shared" si="17"/>
        <v>246.85089225188744</v>
      </c>
      <c r="BU24">
        <v>99.1</v>
      </c>
      <c r="BV24" s="21">
        <v>5.04</v>
      </c>
      <c r="BW24" s="21">
        <v>5.08</v>
      </c>
      <c r="BX24" s="71">
        <f t="shared" si="18"/>
        <v>54.285317919075148</v>
      </c>
    </row>
    <row r="25" spans="2:76" x14ac:dyDescent="0.3">
      <c r="B25">
        <v>2022</v>
      </c>
      <c r="C25" t="s">
        <v>125</v>
      </c>
      <c r="D25">
        <v>121</v>
      </c>
      <c r="E25">
        <v>1</v>
      </c>
      <c r="F25">
        <v>21</v>
      </c>
      <c r="G25" t="s">
        <v>27</v>
      </c>
      <c r="H25">
        <v>3</v>
      </c>
      <c r="I25" t="s">
        <v>18</v>
      </c>
      <c r="J25">
        <v>68</v>
      </c>
      <c r="K25">
        <v>57</v>
      </c>
      <c r="L25" s="22">
        <f t="shared" si="0"/>
        <v>259.01367592208868</v>
      </c>
      <c r="M25">
        <v>32</v>
      </c>
      <c r="N25">
        <v>30</v>
      </c>
      <c r="O25">
        <v>37</v>
      </c>
      <c r="P25">
        <v>40</v>
      </c>
      <c r="Q25" s="21">
        <f t="shared" si="1"/>
        <v>34.75</v>
      </c>
      <c r="R25">
        <v>45</v>
      </c>
      <c r="S25">
        <v>53</v>
      </c>
      <c r="T25">
        <v>50</v>
      </c>
      <c r="U25">
        <v>48</v>
      </c>
      <c r="V25" s="21">
        <f t="shared" si="2"/>
        <v>49</v>
      </c>
      <c r="W25">
        <v>80</v>
      </c>
      <c r="X25">
        <v>79</v>
      </c>
      <c r="Y25">
        <v>84</v>
      </c>
      <c r="Z25">
        <v>83</v>
      </c>
      <c r="AA25" s="21">
        <f t="shared" si="3"/>
        <v>81.5</v>
      </c>
      <c r="AB25">
        <v>93</v>
      </c>
      <c r="AC25">
        <v>92</v>
      </c>
      <c r="AD25">
        <v>91</v>
      </c>
      <c r="AE25">
        <v>90</v>
      </c>
      <c r="AF25" s="21">
        <f t="shared" si="4"/>
        <v>91.5</v>
      </c>
      <c r="AG25" s="22">
        <v>91</v>
      </c>
      <c r="AH25" s="22">
        <v>90</v>
      </c>
      <c r="AI25" s="22">
        <v>85</v>
      </c>
      <c r="AJ25" s="22">
        <v>96</v>
      </c>
      <c r="AK25" s="21">
        <f t="shared" si="5"/>
        <v>90.5</v>
      </c>
      <c r="AL25" s="21"/>
      <c r="AM25" s="21"/>
      <c r="AN25" s="21"/>
      <c r="AO25" s="21"/>
      <c r="AP25" s="21" t="e">
        <f t="shared" si="6"/>
        <v>#DIV/0!</v>
      </c>
      <c r="AQ25" s="21"/>
      <c r="AR25">
        <v>91</v>
      </c>
      <c r="AS25">
        <v>90</v>
      </c>
      <c r="AT25">
        <v>85</v>
      </c>
      <c r="AU25">
        <v>96</v>
      </c>
      <c r="AV25" s="21">
        <f t="shared" si="7"/>
        <v>90.5</v>
      </c>
      <c r="AW25">
        <v>0</v>
      </c>
      <c r="AX25">
        <v>5</v>
      </c>
      <c r="AY25">
        <v>0</v>
      </c>
      <c r="AZ25" s="21">
        <f t="shared" si="8"/>
        <v>1.6666666666666667</v>
      </c>
      <c r="BA25">
        <v>0</v>
      </c>
      <c r="BB25">
        <v>0</v>
      </c>
      <c r="BC25">
        <v>0</v>
      </c>
      <c r="BD25" s="21">
        <f t="shared" si="9"/>
        <v>0</v>
      </c>
      <c r="BH25" s="21">
        <f t="shared" si="10"/>
        <v>0</v>
      </c>
      <c r="BI25">
        <v>20</v>
      </c>
      <c r="BJ25">
        <v>12.4</v>
      </c>
      <c r="BK25" s="18">
        <f t="shared" si="11"/>
        <v>38</v>
      </c>
      <c r="BL25" s="18">
        <f t="shared" si="12"/>
        <v>1.2</v>
      </c>
      <c r="BM25" s="19">
        <f t="shared" si="13"/>
        <v>44779.199999999997</v>
      </c>
      <c r="BN25" s="71">
        <f t="shared" si="14"/>
        <v>94.19999999999709</v>
      </c>
      <c r="BO25">
        <v>6</v>
      </c>
      <c r="BP25" s="23">
        <f t="shared" si="15"/>
        <v>7.238999999999999</v>
      </c>
      <c r="BQ25">
        <v>9.24</v>
      </c>
      <c r="BR25" s="21">
        <v>7.2</v>
      </c>
      <c r="BS25" s="22">
        <f t="shared" si="16"/>
        <v>13693.840445180133</v>
      </c>
      <c r="BT25" s="22">
        <f t="shared" si="17"/>
        <v>254.56498263475888</v>
      </c>
      <c r="BU25">
        <v>98.7</v>
      </c>
      <c r="BV25" s="21">
        <v>5.41</v>
      </c>
      <c r="BW25" s="21">
        <v>5.34</v>
      </c>
      <c r="BX25" s="71">
        <f t="shared" si="18"/>
        <v>57.664739884393057</v>
      </c>
    </row>
    <row r="26" spans="2:76" x14ac:dyDescent="0.3">
      <c r="B26">
        <v>2022</v>
      </c>
      <c r="C26" t="s">
        <v>125</v>
      </c>
      <c r="D26">
        <v>122</v>
      </c>
      <c r="E26">
        <v>1</v>
      </c>
      <c r="F26">
        <v>22</v>
      </c>
      <c r="G26" t="s">
        <v>27</v>
      </c>
      <c r="H26">
        <v>4</v>
      </c>
      <c r="I26" t="s">
        <v>19</v>
      </c>
      <c r="J26">
        <v>60</v>
      </c>
      <c r="K26">
        <v>52</v>
      </c>
      <c r="L26" s="22">
        <f t="shared" si="0"/>
        <v>232.07625362619149</v>
      </c>
      <c r="M26">
        <v>40</v>
      </c>
      <c r="N26">
        <v>37</v>
      </c>
      <c r="O26">
        <v>30</v>
      </c>
      <c r="P26">
        <v>27</v>
      </c>
      <c r="Q26" s="21">
        <f t="shared" si="1"/>
        <v>33.5</v>
      </c>
      <c r="R26">
        <v>54</v>
      </c>
      <c r="S26">
        <v>55</v>
      </c>
      <c r="T26">
        <v>45</v>
      </c>
      <c r="U26">
        <v>48</v>
      </c>
      <c r="V26" s="21">
        <f t="shared" si="2"/>
        <v>50.5</v>
      </c>
      <c r="W26">
        <v>80</v>
      </c>
      <c r="X26">
        <v>76</v>
      </c>
      <c r="Y26">
        <v>81</v>
      </c>
      <c r="Z26">
        <v>82</v>
      </c>
      <c r="AA26" s="21">
        <f t="shared" si="3"/>
        <v>79.75</v>
      </c>
      <c r="AB26">
        <v>91</v>
      </c>
      <c r="AC26">
        <v>90</v>
      </c>
      <c r="AD26">
        <v>94</v>
      </c>
      <c r="AE26">
        <v>92</v>
      </c>
      <c r="AF26" s="21">
        <f t="shared" si="4"/>
        <v>91.75</v>
      </c>
      <c r="AG26" s="22">
        <v>91</v>
      </c>
      <c r="AH26" s="22">
        <v>89</v>
      </c>
      <c r="AI26" s="22">
        <v>86</v>
      </c>
      <c r="AJ26" s="22">
        <v>85</v>
      </c>
      <c r="AK26" s="21">
        <f t="shared" si="5"/>
        <v>87.75</v>
      </c>
      <c r="AL26" s="21"/>
      <c r="AM26" s="21"/>
      <c r="AN26" s="21"/>
      <c r="AO26" s="21"/>
      <c r="AP26" s="21" t="e">
        <f t="shared" si="6"/>
        <v>#DIV/0!</v>
      </c>
      <c r="AQ26" s="21"/>
      <c r="AR26">
        <v>91</v>
      </c>
      <c r="AS26">
        <v>89</v>
      </c>
      <c r="AT26">
        <v>86</v>
      </c>
      <c r="AU26">
        <v>85</v>
      </c>
      <c r="AV26" s="21">
        <f t="shared" si="7"/>
        <v>87.75</v>
      </c>
      <c r="AW26">
        <v>0</v>
      </c>
      <c r="AX26">
        <v>0</v>
      </c>
      <c r="AY26">
        <v>0</v>
      </c>
      <c r="AZ26" s="21">
        <f t="shared" si="8"/>
        <v>0</v>
      </c>
      <c r="BA26">
        <v>0</v>
      </c>
      <c r="BB26">
        <v>0</v>
      </c>
      <c r="BC26">
        <v>0</v>
      </c>
      <c r="BD26" s="21">
        <f t="shared" si="9"/>
        <v>0</v>
      </c>
      <c r="BH26" s="21">
        <f t="shared" si="10"/>
        <v>0</v>
      </c>
      <c r="BI26">
        <v>19.7</v>
      </c>
      <c r="BJ26">
        <v>10.1</v>
      </c>
      <c r="BK26" s="18">
        <f t="shared" si="11"/>
        <v>48.73096446700508</v>
      </c>
      <c r="BL26" s="18">
        <f t="shared" si="12"/>
        <v>5.492385786802032</v>
      </c>
      <c r="BM26" s="19">
        <f t="shared" si="13"/>
        <v>44783.492385786805</v>
      </c>
      <c r="BN26" s="71">
        <f t="shared" si="14"/>
        <v>98.492385786805244</v>
      </c>
      <c r="BO26">
        <v>6</v>
      </c>
      <c r="BP26" s="23">
        <f t="shared" si="15"/>
        <v>7.238999999999999</v>
      </c>
      <c r="BQ26">
        <v>8.8000000000000007</v>
      </c>
      <c r="BR26" s="21">
        <v>6</v>
      </c>
      <c r="BS26" s="22">
        <f t="shared" si="16"/>
        <v>13210.396160169666</v>
      </c>
      <c r="BT26" s="22">
        <f t="shared" si="17"/>
        <v>245.57787733648738</v>
      </c>
      <c r="BU26">
        <v>99.6</v>
      </c>
      <c r="BV26" s="21">
        <v>4.83</v>
      </c>
      <c r="BW26" s="21">
        <v>5</v>
      </c>
      <c r="BX26" s="71">
        <f t="shared" si="18"/>
        <v>53.411560693641611</v>
      </c>
    </row>
    <row r="27" spans="2:76" x14ac:dyDescent="0.3">
      <c r="B27">
        <v>2022</v>
      </c>
      <c r="C27" t="s">
        <v>125</v>
      </c>
      <c r="D27">
        <v>123</v>
      </c>
      <c r="E27">
        <v>1</v>
      </c>
      <c r="F27">
        <v>23</v>
      </c>
      <c r="G27" t="s">
        <v>27</v>
      </c>
      <c r="H27">
        <v>5</v>
      </c>
      <c r="I27" t="s">
        <v>20</v>
      </c>
      <c r="J27">
        <v>63</v>
      </c>
      <c r="K27">
        <v>51</v>
      </c>
      <c r="L27" s="22">
        <f t="shared" si="0"/>
        <v>236.22047244094489</v>
      </c>
      <c r="M27">
        <v>25</v>
      </c>
      <c r="N27">
        <v>33</v>
      </c>
      <c r="O27">
        <v>31</v>
      </c>
      <c r="P27">
        <v>33</v>
      </c>
      <c r="Q27" s="21">
        <f t="shared" si="1"/>
        <v>30.5</v>
      </c>
      <c r="R27">
        <v>48</v>
      </c>
      <c r="S27">
        <v>45</v>
      </c>
      <c r="T27">
        <v>58</v>
      </c>
      <c r="U27">
        <v>55</v>
      </c>
      <c r="V27" s="21">
        <f t="shared" si="2"/>
        <v>51.5</v>
      </c>
      <c r="W27">
        <v>77</v>
      </c>
      <c r="X27">
        <v>84</v>
      </c>
      <c r="Y27">
        <v>84</v>
      </c>
      <c r="Z27">
        <v>83</v>
      </c>
      <c r="AA27" s="21">
        <f t="shared" si="3"/>
        <v>82</v>
      </c>
      <c r="AB27">
        <v>92</v>
      </c>
      <c r="AC27">
        <v>92</v>
      </c>
      <c r="AD27">
        <v>92</v>
      </c>
      <c r="AE27">
        <v>90</v>
      </c>
      <c r="AF27" s="21">
        <f t="shared" si="4"/>
        <v>91.5</v>
      </c>
      <c r="AG27" s="22">
        <v>84</v>
      </c>
      <c r="AH27" s="22">
        <v>96</v>
      </c>
      <c r="AI27" s="22">
        <v>90</v>
      </c>
      <c r="AJ27" s="22">
        <v>91</v>
      </c>
      <c r="AK27" s="21">
        <f t="shared" si="5"/>
        <v>90.25</v>
      </c>
      <c r="AL27" s="21"/>
      <c r="AM27" s="21"/>
      <c r="AN27" s="21"/>
      <c r="AO27" s="21"/>
      <c r="AP27" s="21" t="e">
        <f t="shared" si="6"/>
        <v>#DIV/0!</v>
      </c>
      <c r="AQ27" s="21"/>
      <c r="AR27">
        <v>84</v>
      </c>
      <c r="AS27">
        <v>96</v>
      </c>
      <c r="AT27">
        <v>90</v>
      </c>
      <c r="AU27">
        <v>91</v>
      </c>
      <c r="AV27" s="21">
        <f t="shared" si="7"/>
        <v>90.25</v>
      </c>
      <c r="AW27">
        <v>0</v>
      </c>
      <c r="AX27">
        <v>0</v>
      </c>
      <c r="AY27">
        <v>0</v>
      </c>
      <c r="AZ27" s="21">
        <f t="shared" si="8"/>
        <v>0</v>
      </c>
      <c r="BA27">
        <v>0</v>
      </c>
      <c r="BB27">
        <v>0</v>
      </c>
      <c r="BC27">
        <v>0</v>
      </c>
      <c r="BD27" s="21">
        <f t="shared" si="9"/>
        <v>0</v>
      </c>
      <c r="BH27" s="21">
        <f t="shared" si="10"/>
        <v>0</v>
      </c>
      <c r="BI27">
        <v>23.7</v>
      </c>
      <c r="BJ27">
        <v>12.5</v>
      </c>
      <c r="BK27" s="18">
        <f t="shared" si="11"/>
        <v>47.257383966244724</v>
      </c>
      <c r="BL27" s="18">
        <f t="shared" si="12"/>
        <v>4.9029535864978895</v>
      </c>
      <c r="BM27" s="19">
        <f t="shared" si="13"/>
        <v>44782.902953586497</v>
      </c>
      <c r="BN27" s="71">
        <f t="shared" si="14"/>
        <v>97.90295358649746</v>
      </c>
      <c r="BO27">
        <v>6</v>
      </c>
      <c r="BP27" s="23">
        <f t="shared" si="15"/>
        <v>7.238999999999999</v>
      </c>
      <c r="BQ27">
        <v>9.2100000000000009</v>
      </c>
      <c r="BR27" s="21">
        <v>7.3</v>
      </c>
      <c r="BS27" s="22">
        <f t="shared" si="16"/>
        <v>13634.671540715157</v>
      </c>
      <c r="BT27" s="22">
        <f t="shared" si="17"/>
        <v>253.46504787226897</v>
      </c>
      <c r="BU27">
        <v>100.5</v>
      </c>
      <c r="BV27" s="21">
        <v>5.2</v>
      </c>
      <c r="BW27" s="21">
        <v>5.25</v>
      </c>
      <c r="BX27" s="71">
        <f t="shared" si="18"/>
        <v>55.995086705202318</v>
      </c>
    </row>
    <row r="28" spans="2:76" x14ac:dyDescent="0.3">
      <c r="B28">
        <v>2022</v>
      </c>
      <c r="C28" t="s">
        <v>125</v>
      </c>
      <c r="D28">
        <v>124</v>
      </c>
      <c r="E28">
        <v>1</v>
      </c>
      <c r="F28">
        <v>24</v>
      </c>
      <c r="G28" t="s">
        <v>27</v>
      </c>
      <c r="H28">
        <v>6</v>
      </c>
      <c r="I28" t="s">
        <v>21</v>
      </c>
      <c r="J28">
        <v>55</v>
      </c>
      <c r="K28">
        <v>58</v>
      </c>
      <c r="L28" s="22">
        <f t="shared" si="0"/>
        <v>234.14836303356819</v>
      </c>
      <c r="M28">
        <v>38</v>
      </c>
      <c r="N28">
        <v>34</v>
      </c>
      <c r="O28">
        <v>27</v>
      </c>
      <c r="P28">
        <v>25</v>
      </c>
      <c r="Q28" s="21">
        <f t="shared" si="1"/>
        <v>31</v>
      </c>
      <c r="R28">
        <v>55</v>
      </c>
      <c r="S28">
        <v>53</v>
      </c>
      <c r="T28">
        <v>55</v>
      </c>
      <c r="U28">
        <v>48</v>
      </c>
      <c r="V28" s="21">
        <f t="shared" si="2"/>
        <v>52.75</v>
      </c>
      <c r="W28">
        <v>78</v>
      </c>
      <c r="X28">
        <v>80</v>
      </c>
      <c r="Y28">
        <v>73</v>
      </c>
      <c r="Z28">
        <v>77</v>
      </c>
      <c r="AA28" s="21">
        <f t="shared" si="3"/>
        <v>77</v>
      </c>
      <c r="AB28">
        <v>83</v>
      </c>
      <c r="AC28">
        <v>87</v>
      </c>
      <c r="AD28">
        <v>85</v>
      </c>
      <c r="AE28">
        <v>80</v>
      </c>
      <c r="AF28" s="21">
        <f t="shared" si="4"/>
        <v>83.75</v>
      </c>
      <c r="AG28" s="22">
        <v>82</v>
      </c>
      <c r="AH28" s="22">
        <v>82</v>
      </c>
      <c r="AI28" s="22">
        <v>85</v>
      </c>
      <c r="AJ28" s="22">
        <v>91</v>
      </c>
      <c r="AK28" s="21">
        <f t="shared" si="5"/>
        <v>85</v>
      </c>
      <c r="AL28" s="21"/>
      <c r="AM28" s="21"/>
      <c r="AN28" s="21"/>
      <c r="AO28" s="21"/>
      <c r="AP28" s="21" t="e">
        <f t="shared" si="6"/>
        <v>#DIV/0!</v>
      </c>
      <c r="AQ28" s="21"/>
      <c r="AR28">
        <v>82</v>
      </c>
      <c r="AS28">
        <v>82</v>
      </c>
      <c r="AT28">
        <v>85</v>
      </c>
      <c r="AU28">
        <v>91</v>
      </c>
      <c r="AV28" s="21">
        <f t="shared" si="7"/>
        <v>85</v>
      </c>
      <c r="AW28">
        <v>0</v>
      </c>
      <c r="AX28">
        <v>10</v>
      </c>
      <c r="AY28">
        <v>0</v>
      </c>
      <c r="AZ28" s="21">
        <f t="shared" si="8"/>
        <v>3.3333333333333335</v>
      </c>
      <c r="BA28">
        <v>0</v>
      </c>
      <c r="BB28">
        <v>0</v>
      </c>
      <c r="BC28">
        <v>0</v>
      </c>
      <c r="BD28" s="21">
        <f t="shared" si="9"/>
        <v>0</v>
      </c>
      <c r="BH28" s="21">
        <f t="shared" si="10"/>
        <v>0</v>
      </c>
      <c r="BI28">
        <v>21.2</v>
      </c>
      <c r="BJ28">
        <v>10.8</v>
      </c>
      <c r="BK28" s="18">
        <f t="shared" si="11"/>
        <v>49.056603773584904</v>
      </c>
      <c r="BL28" s="18">
        <f t="shared" si="12"/>
        <v>5.6226415094339615</v>
      </c>
      <c r="BM28" s="19">
        <f t="shared" si="13"/>
        <v>44783.622641509435</v>
      </c>
      <c r="BN28" s="71">
        <f t="shared" si="14"/>
        <v>98.622641509435198</v>
      </c>
      <c r="BO28">
        <v>6</v>
      </c>
      <c r="BP28" s="23">
        <f t="shared" si="15"/>
        <v>7.238999999999999</v>
      </c>
      <c r="BQ28">
        <v>8.14</v>
      </c>
      <c r="BR28" s="21">
        <v>7.3</v>
      </c>
      <c r="BS28" s="22">
        <f t="shared" si="16"/>
        <v>12050.621752597326</v>
      </c>
      <c r="BT28" s="22">
        <f t="shared" si="17"/>
        <v>224.01796847777081</v>
      </c>
      <c r="BU28">
        <v>99.7</v>
      </c>
      <c r="BV28" s="21">
        <v>5.2799999999999994</v>
      </c>
      <c r="BW28" s="21">
        <v>4.7</v>
      </c>
      <c r="BX28" s="71">
        <f t="shared" si="18"/>
        <v>53.476647398843937</v>
      </c>
    </row>
    <row r="29" spans="2:76" x14ac:dyDescent="0.3">
      <c r="B29">
        <v>2022</v>
      </c>
      <c r="C29" t="s">
        <v>125</v>
      </c>
      <c r="D29">
        <v>125</v>
      </c>
      <c r="E29">
        <v>1</v>
      </c>
      <c r="F29">
        <v>25</v>
      </c>
      <c r="G29" t="s">
        <v>27</v>
      </c>
      <c r="H29">
        <v>7</v>
      </c>
      <c r="I29" t="s">
        <v>22</v>
      </c>
      <c r="J29">
        <v>76</v>
      </c>
      <c r="K29">
        <v>55</v>
      </c>
      <c r="L29" s="22">
        <f t="shared" si="0"/>
        <v>271.44633236634894</v>
      </c>
      <c r="M29">
        <v>24</v>
      </c>
      <c r="N29">
        <v>26</v>
      </c>
      <c r="O29">
        <v>34</v>
      </c>
      <c r="P29">
        <v>38</v>
      </c>
      <c r="Q29" s="21">
        <f t="shared" si="1"/>
        <v>30.5</v>
      </c>
      <c r="R29">
        <v>50</v>
      </c>
      <c r="S29">
        <v>55</v>
      </c>
      <c r="T29">
        <v>57</v>
      </c>
      <c r="U29">
        <v>55</v>
      </c>
      <c r="V29" s="21">
        <f t="shared" si="2"/>
        <v>54.25</v>
      </c>
      <c r="W29">
        <v>77</v>
      </c>
      <c r="X29">
        <v>83</v>
      </c>
      <c r="Y29">
        <v>84</v>
      </c>
      <c r="Z29">
        <v>81</v>
      </c>
      <c r="AA29" s="21">
        <f t="shared" si="3"/>
        <v>81.25</v>
      </c>
      <c r="AB29">
        <v>86</v>
      </c>
      <c r="AC29">
        <v>87</v>
      </c>
      <c r="AD29">
        <v>92</v>
      </c>
      <c r="AE29">
        <v>90</v>
      </c>
      <c r="AF29" s="21">
        <f t="shared" si="4"/>
        <v>88.75</v>
      </c>
      <c r="AG29" s="22">
        <v>90</v>
      </c>
      <c r="AH29" s="22">
        <v>95</v>
      </c>
      <c r="AI29" s="22">
        <v>92</v>
      </c>
      <c r="AJ29" s="22">
        <v>85</v>
      </c>
      <c r="AK29" s="21">
        <f t="shared" si="5"/>
        <v>90.5</v>
      </c>
      <c r="AL29" s="21"/>
      <c r="AM29" s="21"/>
      <c r="AN29" s="21"/>
      <c r="AO29" s="21"/>
      <c r="AP29" s="21" t="e">
        <f t="shared" si="6"/>
        <v>#DIV/0!</v>
      </c>
      <c r="AQ29" s="21"/>
      <c r="AR29">
        <v>90</v>
      </c>
      <c r="AS29">
        <v>95</v>
      </c>
      <c r="AT29">
        <v>92</v>
      </c>
      <c r="AU29">
        <v>85</v>
      </c>
      <c r="AV29" s="21">
        <f t="shared" si="7"/>
        <v>90.5</v>
      </c>
      <c r="AW29">
        <v>5</v>
      </c>
      <c r="AX29">
        <v>0</v>
      </c>
      <c r="AY29">
        <v>0</v>
      </c>
      <c r="AZ29" s="21">
        <f t="shared" si="8"/>
        <v>3.3333333333333335</v>
      </c>
      <c r="BA29">
        <v>0</v>
      </c>
      <c r="BB29">
        <v>0</v>
      </c>
      <c r="BC29">
        <v>0</v>
      </c>
      <c r="BD29" s="21">
        <f t="shared" si="9"/>
        <v>0</v>
      </c>
      <c r="BH29" s="21">
        <f t="shared" si="10"/>
        <v>0</v>
      </c>
      <c r="BI29">
        <v>22.4</v>
      </c>
      <c r="BJ29">
        <v>11.6</v>
      </c>
      <c r="BK29" s="18">
        <f t="shared" si="11"/>
        <v>48.214285714285715</v>
      </c>
      <c r="BL29" s="18">
        <f t="shared" si="12"/>
        <v>5.2857142857142865</v>
      </c>
      <c r="BM29" s="19">
        <f t="shared" si="13"/>
        <v>44783.285714285717</v>
      </c>
      <c r="BN29" s="71">
        <f t="shared" si="14"/>
        <v>98.285714285717404</v>
      </c>
      <c r="BO29">
        <v>6</v>
      </c>
      <c r="BP29" s="23">
        <f t="shared" si="15"/>
        <v>7.238999999999999</v>
      </c>
      <c r="BQ29">
        <v>8.4499999999999993</v>
      </c>
      <c r="BR29" s="21">
        <v>7.6</v>
      </c>
      <c r="BS29" s="22">
        <f t="shared" si="16"/>
        <v>12469.068077777169</v>
      </c>
      <c r="BT29" s="22">
        <f t="shared" si="17"/>
        <v>231.79677836893453</v>
      </c>
      <c r="BU29">
        <v>95.7</v>
      </c>
      <c r="BV29" s="21">
        <v>5.18</v>
      </c>
      <c r="BW29" s="21">
        <v>5.16</v>
      </c>
      <c r="BX29" s="71">
        <f t="shared" si="18"/>
        <v>55.226358381502898</v>
      </c>
    </row>
    <row r="30" spans="2:76" x14ac:dyDescent="0.3">
      <c r="B30">
        <v>2022</v>
      </c>
      <c r="C30" t="s">
        <v>125</v>
      </c>
      <c r="D30">
        <v>126</v>
      </c>
      <c r="E30">
        <v>1</v>
      </c>
      <c r="F30">
        <v>26</v>
      </c>
      <c r="G30" t="s">
        <v>27</v>
      </c>
      <c r="H30">
        <v>8</v>
      </c>
      <c r="I30" t="s">
        <v>23</v>
      </c>
      <c r="J30">
        <v>55</v>
      </c>
      <c r="K30">
        <v>56</v>
      </c>
      <c r="L30" s="22">
        <f t="shared" si="0"/>
        <v>230.00414421881476</v>
      </c>
      <c r="M30">
        <v>35</v>
      </c>
      <c r="N30">
        <v>39</v>
      </c>
      <c r="O30">
        <v>34</v>
      </c>
      <c r="P30">
        <v>35</v>
      </c>
      <c r="Q30" s="21">
        <f t="shared" si="1"/>
        <v>35.75</v>
      </c>
      <c r="R30">
        <v>60</v>
      </c>
      <c r="S30">
        <v>48</v>
      </c>
      <c r="T30">
        <v>50</v>
      </c>
      <c r="U30">
        <v>53</v>
      </c>
      <c r="V30" s="21">
        <f t="shared" si="2"/>
        <v>52.75</v>
      </c>
      <c r="W30">
        <v>81</v>
      </c>
      <c r="X30">
        <v>77</v>
      </c>
      <c r="Y30">
        <v>76</v>
      </c>
      <c r="Z30">
        <v>78</v>
      </c>
      <c r="AA30" s="21">
        <f t="shared" si="3"/>
        <v>78</v>
      </c>
      <c r="AB30">
        <v>90</v>
      </c>
      <c r="AC30">
        <v>94</v>
      </c>
      <c r="AD30">
        <v>91</v>
      </c>
      <c r="AE30">
        <v>93</v>
      </c>
      <c r="AF30" s="21">
        <f t="shared" si="4"/>
        <v>92</v>
      </c>
      <c r="AG30" s="22">
        <v>84</v>
      </c>
      <c r="AH30" s="22">
        <v>89</v>
      </c>
      <c r="AI30" s="22">
        <v>90</v>
      </c>
      <c r="AJ30" s="22">
        <v>91</v>
      </c>
      <c r="AK30" s="21">
        <f t="shared" si="5"/>
        <v>88.5</v>
      </c>
      <c r="AL30" s="21"/>
      <c r="AM30" s="21"/>
      <c r="AN30" s="21"/>
      <c r="AO30" s="21"/>
      <c r="AP30" s="21" t="e">
        <f t="shared" si="6"/>
        <v>#DIV/0!</v>
      </c>
      <c r="AQ30" s="21"/>
      <c r="AR30">
        <v>84</v>
      </c>
      <c r="AS30">
        <v>89</v>
      </c>
      <c r="AT30">
        <v>90</v>
      </c>
      <c r="AU30">
        <v>91</v>
      </c>
      <c r="AV30" s="21">
        <f t="shared" si="7"/>
        <v>88.5</v>
      </c>
      <c r="AW30">
        <v>20</v>
      </c>
      <c r="AX30">
        <v>0</v>
      </c>
      <c r="AY30">
        <v>0</v>
      </c>
      <c r="AZ30" s="21">
        <f t="shared" si="8"/>
        <v>13.333333333333334</v>
      </c>
      <c r="BA30">
        <v>0</v>
      </c>
      <c r="BB30">
        <v>0</v>
      </c>
      <c r="BC30">
        <v>0</v>
      </c>
      <c r="BD30" s="21">
        <f t="shared" si="9"/>
        <v>0</v>
      </c>
      <c r="BH30" s="21">
        <f t="shared" si="10"/>
        <v>0</v>
      </c>
      <c r="BI30">
        <v>24.1</v>
      </c>
      <c r="BJ30">
        <v>12.7</v>
      </c>
      <c r="BK30" s="18">
        <f t="shared" si="11"/>
        <v>47.302904564315355</v>
      </c>
      <c r="BL30" s="18">
        <f t="shared" si="12"/>
        <v>4.9211618257261422</v>
      </c>
      <c r="BM30" s="19">
        <f t="shared" si="13"/>
        <v>44782.921161825725</v>
      </c>
      <c r="BN30" s="71">
        <f t="shared" si="14"/>
        <v>97.921161825724994</v>
      </c>
      <c r="BO30">
        <v>6</v>
      </c>
      <c r="BP30" s="23">
        <f t="shared" si="15"/>
        <v>7.238999999999999</v>
      </c>
      <c r="BQ30">
        <v>8.86</v>
      </c>
      <c r="BR30" s="21">
        <v>7.5</v>
      </c>
      <c r="BS30" s="22">
        <f t="shared" si="16"/>
        <v>13088.225547711618</v>
      </c>
      <c r="BT30" s="22">
        <f t="shared" si="17"/>
        <v>243.30675697669034</v>
      </c>
      <c r="BU30">
        <v>101.1</v>
      </c>
      <c r="BV30" s="21">
        <v>5.41</v>
      </c>
      <c r="BW30" s="21">
        <v>5.37</v>
      </c>
      <c r="BX30" s="71">
        <f t="shared" si="18"/>
        <v>57.638728323699425</v>
      </c>
    </row>
    <row r="31" spans="2:76" x14ac:dyDescent="0.3">
      <c r="B31">
        <v>2022</v>
      </c>
      <c r="C31" t="s">
        <v>125</v>
      </c>
      <c r="D31">
        <v>127</v>
      </c>
      <c r="E31">
        <v>1</v>
      </c>
      <c r="F31">
        <v>27</v>
      </c>
      <c r="G31" t="s">
        <v>27</v>
      </c>
      <c r="H31">
        <v>9</v>
      </c>
      <c r="I31" t="s">
        <v>24</v>
      </c>
      <c r="J31">
        <v>59</v>
      </c>
      <c r="K31">
        <v>52</v>
      </c>
      <c r="L31" s="22">
        <f t="shared" si="0"/>
        <v>230.00414421881476</v>
      </c>
      <c r="M31">
        <v>30</v>
      </c>
      <c r="N31">
        <v>29</v>
      </c>
      <c r="O31">
        <v>34</v>
      </c>
      <c r="P31">
        <v>35</v>
      </c>
      <c r="Q31" s="21">
        <f t="shared" si="1"/>
        <v>32</v>
      </c>
      <c r="R31">
        <v>45</v>
      </c>
      <c r="S31">
        <v>45</v>
      </c>
      <c r="T31">
        <v>50</v>
      </c>
      <c r="U31">
        <v>48</v>
      </c>
      <c r="V31" s="21">
        <f t="shared" si="2"/>
        <v>47</v>
      </c>
      <c r="W31">
        <v>70</v>
      </c>
      <c r="X31">
        <v>74</v>
      </c>
      <c r="Y31">
        <v>76</v>
      </c>
      <c r="Z31">
        <v>80</v>
      </c>
      <c r="AA31" s="21">
        <f t="shared" si="3"/>
        <v>75</v>
      </c>
      <c r="AB31">
        <v>89</v>
      </c>
      <c r="AC31">
        <v>91</v>
      </c>
      <c r="AD31">
        <v>86</v>
      </c>
      <c r="AE31">
        <v>86</v>
      </c>
      <c r="AF31" s="21">
        <f t="shared" si="4"/>
        <v>88</v>
      </c>
      <c r="AG31" s="22">
        <v>98</v>
      </c>
      <c r="AH31" s="22">
        <v>85</v>
      </c>
      <c r="AI31" s="22">
        <v>82</v>
      </c>
      <c r="AJ31" s="22">
        <v>90</v>
      </c>
      <c r="AK31" s="21">
        <f t="shared" si="5"/>
        <v>88.75</v>
      </c>
      <c r="AL31" s="21"/>
      <c r="AM31" s="21"/>
      <c r="AN31" s="21"/>
      <c r="AO31" s="21"/>
      <c r="AP31" s="21" t="e">
        <f t="shared" si="6"/>
        <v>#DIV/0!</v>
      </c>
      <c r="AQ31" s="21"/>
      <c r="AR31">
        <v>98</v>
      </c>
      <c r="AS31">
        <v>85</v>
      </c>
      <c r="AT31">
        <v>82</v>
      </c>
      <c r="AU31">
        <v>90</v>
      </c>
      <c r="AV31" s="21">
        <f t="shared" si="7"/>
        <v>88.75</v>
      </c>
      <c r="AW31">
        <v>0</v>
      </c>
      <c r="AX31">
        <v>0</v>
      </c>
      <c r="AY31">
        <v>0</v>
      </c>
      <c r="AZ31" s="21">
        <f t="shared" si="8"/>
        <v>0</v>
      </c>
      <c r="BA31">
        <v>0</v>
      </c>
      <c r="BB31">
        <v>0</v>
      </c>
      <c r="BC31">
        <v>0</v>
      </c>
      <c r="BD31" s="21">
        <f t="shared" si="9"/>
        <v>0</v>
      </c>
      <c r="BH31" s="21">
        <f t="shared" si="10"/>
        <v>0</v>
      </c>
      <c r="BI31">
        <v>19.899999999999999</v>
      </c>
      <c r="BJ31">
        <v>10.1</v>
      </c>
      <c r="BK31" s="18">
        <f t="shared" si="11"/>
        <v>49.246231155778894</v>
      </c>
      <c r="BL31" s="18">
        <f t="shared" si="12"/>
        <v>5.6984924623115578</v>
      </c>
      <c r="BM31" s="19">
        <f t="shared" si="13"/>
        <v>44783.69849246231</v>
      </c>
      <c r="BN31" s="71">
        <f t="shared" si="14"/>
        <v>98.698492462310242</v>
      </c>
      <c r="BO31">
        <v>6</v>
      </c>
      <c r="BP31" s="23">
        <f t="shared" si="15"/>
        <v>7.238999999999999</v>
      </c>
      <c r="BQ31">
        <v>8.14</v>
      </c>
      <c r="BR31" s="21">
        <v>7.4</v>
      </c>
      <c r="BS31" s="22">
        <f t="shared" si="16"/>
        <v>12037.622160631201</v>
      </c>
      <c r="BT31" s="22">
        <f t="shared" si="17"/>
        <v>223.77630939634926</v>
      </c>
      <c r="BU31">
        <v>102.5</v>
      </c>
      <c r="BV31" s="21">
        <v>5.35</v>
      </c>
      <c r="BW31" s="21">
        <v>5.2299999999999995</v>
      </c>
      <c r="BX31" s="71">
        <f t="shared" si="18"/>
        <v>56.630520231213865</v>
      </c>
    </row>
    <row r="32" spans="2:76" x14ac:dyDescent="0.3">
      <c r="B32">
        <v>2022</v>
      </c>
      <c r="C32" t="s">
        <v>125</v>
      </c>
      <c r="D32">
        <v>201</v>
      </c>
      <c r="E32">
        <v>2</v>
      </c>
      <c r="F32">
        <v>17</v>
      </c>
      <c r="G32" t="s">
        <v>25</v>
      </c>
      <c r="H32">
        <v>8</v>
      </c>
      <c r="I32" t="s">
        <v>23</v>
      </c>
      <c r="J32">
        <v>45</v>
      </c>
      <c r="K32">
        <v>43</v>
      </c>
      <c r="L32" s="22">
        <f t="shared" si="0"/>
        <v>182.34562784915045</v>
      </c>
      <c r="M32">
        <v>36</v>
      </c>
      <c r="N32">
        <v>37</v>
      </c>
      <c r="O32">
        <v>37</v>
      </c>
      <c r="P32">
        <v>38</v>
      </c>
      <c r="Q32" s="21">
        <f t="shared" si="1"/>
        <v>37</v>
      </c>
      <c r="R32">
        <v>58</v>
      </c>
      <c r="S32">
        <v>55</v>
      </c>
      <c r="T32">
        <v>60</v>
      </c>
      <c r="U32">
        <v>58</v>
      </c>
      <c r="V32" s="21">
        <f t="shared" si="2"/>
        <v>57.75</v>
      </c>
      <c r="W32">
        <v>89</v>
      </c>
      <c r="X32">
        <v>85</v>
      </c>
      <c r="Y32">
        <v>85</v>
      </c>
      <c r="Z32">
        <v>84</v>
      </c>
      <c r="AA32" s="21">
        <f t="shared" si="3"/>
        <v>85.75</v>
      </c>
      <c r="AB32">
        <v>100</v>
      </c>
      <c r="AC32">
        <v>104</v>
      </c>
      <c r="AD32">
        <v>99</v>
      </c>
      <c r="AE32">
        <v>98</v>
      </c>
      <c r="AF32" s="21">
        <f t="shared" si="4"/>
        <v>100.25</v>
      </c>
      <c r="AG32" s="22">
        <v>105</v>
      </c>
      <c r="AH32" s="22">
        <v>101</v>
      </c>
      <c r="AI32" s="22">
        <v>97</v>
      </c>
      <c r="AJ32" s="22">
        <v>103</v>
      </c>
      <c r="AK32" s="21">
        <f t="shared" si="5"/>
        <v>101.5</v>
      </c>
      <c r="AL32" s="19"/>
      <c r="AM32" s="19"/>
      <c r="AN32" s="19"/>
      <c r="AO32" s="19"/>
      <c r="AP32" s="21" t="e">
        <f t="shared" si="6"/>
        <v>#DIV/0!</v>
      </c>
      <c r="AQ32" s="19"/>
      <c r="AR32">
        <v>105</v>
      </c>
      <c r="AS32">
        <v>101</v>
      </c>
      <c r="AT32">
        <v>97</v>
      </c>
      <c r="AU32">
        <v>103</v>
      </c>
      <c r="AV32" s="21">
        <f t="shared" si="7"/>
        <v>101.5</v>
      </c>
      <c r="AW32">
        <v>0</v>
      </c>
      <c r="AX32">
        <v>0</v>
      </c>
      <c r="AY32">
        <v>0</v>
      </c>
      <c r="AZ32" s="21">
        <f t="shared" si="8"/>
        <v>0</v>
      </c>
      <c r="BA32">
        <v>0</v>
      </c>
      <c r="BB32">
        <v>0</v>
      </c>
      <c r="BC32">
        <v>0</v>
      </c>
      <c r="BD32" s="21">
        <f t="shared" si="9"/>
        <v>0</v>
      </c>
      <c r="BH32" s="21">
        <f t="shared" si="10"/>
        <v>0</v>
      </c>
      <c r="BI32">
        <v>19.399999999999999</v>
      </c>
      <c r="BJ32" s="23">
        <v>6.8</v>
      </c>
      <c r="BK32" s="18">
        <f t="shared" si="11"/>
        <v>64.948453608247419</v>
      </c>
      <c r="BL32" s="18">
        <f t="shared" si="12"/>
        <v>11.979381443298967</v>
      </c>
      <c r="BM32" s="19">
        <f t="shared" si="13"/>
        <v>44789.9793814433</v>
      </c>
      <c r="BN32" s="71">
        <f t="shared" si="14"/>
        <v>104.97938144329964</v>
      </c>
      <c r="BO32">
        <v>6</v>
      </c>
      <c r="BP32" s="23">
        <f t="shared" si="15"/>
        <v>7.238999999999999</v>
      </c>
      <c r="BQ32" s="21">
        <v>7.94</v>
      </c>
      <c r="BR32">
        <v>7.6</v>
      </c>
      <c r="BS32" s="22">
        <f t="shared" si="16"/>
        <v>11716.497105035589</v>
      </c>
      <c r="BT32" s="22">
        <f t="shared" si="17"/>
        <v>217.80667695258467</v>
      </c>
      <c r="BU32">
        <v>103.5</v>
      </c>
      <c r="BV32">
        <v>4.4399999999999995</v>
      </c>
      <c r="BW32">
        <v>4.5</v>
      </c>
      <c r="BX32" s="71">
        <f t="shared" si="18"/>
        <v>47.748901734104045</v>
      </c>
    </row>
    <row r="33" spans="2:76" x14ac:dyDescent="0.3">
      <c r="B33">
        <v>2022</v>
      </c>
      <c r="C33" t="s">
        <v>125</v>
      </c>
      <c r="D33">
        <v>202</v>
      </c>
      <c r="E33">
        <v>2</v>
      </c>
      <c r="F33">
        <v>18</v>
      </c>
      <c r="G33" t="s">
        <v>25</v>
      </c>
      <c r="H33">
        <v>9</v>
      </c>
      <c r="I33" t="s">
        <v>24</v>
      </c>
      <c r="J33">
        <v>41</v>
      </c>
      <c r="K33">
        <v>45</v>
      </c>
      <c r="L33" s="22">
        <f t="shared" si="0"/>
        <v>178.20140903439702</v>
      </c>
      <c r="M33">
        <v>40</v>
      </c>
      <c r="N33">
        <v>45</v>
      </c>
      <c r="O33">
        <v>47</v>
      </c>
      <c r="P33">
        <v>47</v>
      </c>
      <c r="Q33" s="21">
        <f t="shared" si="1"/>
        <v>44.75</v>
      </c>
      <c r="R33">
        <v>65</v>
      </c>
      <c r="S33">
        <v>60</v>
      </c>
      <c r="T33">
        <v>60</v>
      </c>
      <c r="U33">
        <v>60</v>
      </c>
      <c r="V33" s="21">
        <f t="shared" si="2"/>
        <v>61.25</v>
      </c>
      <c r="W33">
        <v>88</v>
      </c>
      <c r="X33">
        <v>91</v>
      </c>
      <c r="Y33">
        <v>95</v>
      </c>
      <c r="Z33">
        <v>92</v>
      </c>
      <c r="AA33" s="21">
        <f t="shared" si="3"/>
        <v>91.5</v>
      </c>
      <c r="AB33">
        <v>106</v>
      </c>
      <c r="AC33">
        <v>107</v>
      </c>
      <c r="AD33">
        <v>102</v>
      </c>
      <c r="AE33">
        <v>102</v>
      </c>
      <c r="AF33" s="21">
        <f t="shared" si="4"/>
        <v>104.25</v>
      </c>
      <c r="AG33" s="22">
        <v>109</v>
      </c>
      <c r="AH33" s="22">
        <v>111</v>
      </c>
      <c r="AI33" s="22">
        <v>108</v>
      </c>
      <c r="AJ33" s="22">
        <v>105</v>
      </c>
      <c r="AK33" s="21">
        <f t="shared" si="5"/>
        <v>108.25</v>
      </c>
      <c r="AL33" s="21"/>
      <c r="AM33" s="21"/>
      <c r="AN33" s="21"/>
      <c r="AO33" s="21"/>
      <c r="AP33" s="21" t="e">
        <f t="shared" si="6"/>
        <v>#DIV/0!</v>
      </c>
      <c r="AQ33" s="21"/>
      <c r="AR33">
        <v>109</v>
      </c>
      <c r="AS33">
        <v>111</v>
      </c>
      <c r="AT33">
        <v>108</v>
      </c>
      <c r="AU33">
        <v>105</v>
      </c>
      <c r="AV33" s="21">
        <f t="shared" si="7"/>
        <v>108.25</v>
      </c>
      <c r="AW33">
        <v>0</v>
      </c>
      <c r="AX33">
        <v>0</v>
      </c>
      <c r="AY33">
        <v>0</v>
      </c>
      <c r="AZ33" s="21">
        <f t="shared" si="8"/>
        <v>0</v>
      </c>
      <c r="BA33">
        <v>0</v>
      </c>
      <c r="BB33">
        <v>0</v>
      </c>
      <c r="BC33">
        <v>0</v>
      </c>
      <c r="BD33" s="21">
        <f t="shared" si="9"/>
        <v>0</v>
      </c>
      <c r="BE33" s="21"/>
      <c r="BF33" s="21"/>
      <c r="BG33" s="21"/>
      <c r="BH33" s="21">
        <f t="shared" si="10"/>
        <v>0</v>
      </c>
      <c r="BI33">
        <v>23.7</v>
      </c>
      <c r="BJ33">
        <v>13</v>
      </c>
      <c r="BK33" s="18">
        <f t="shared" si="11"/>
        <v>45.147679324894511</v>
      </c>
      <c r="BL33" s="18">
        <f t="shared" si="12"/>
        <v>4.0590717299578047</v>
      </c>
      <c r="BM33" s="19">
        <f t="shared" si="13"/>
        <v>44782.059071729956</v>
      </c>
      <c r="BN33" s="71">
        <f t="shared" si="14"/>
        <v>97.059071729956486</v>
      </c>
      <c r="BO33">
        <v>6</v>
      </c>
      <c r="BP33" s="23">
        <f t="shared" si="15"/>
        <v>7.238999999999999</v>
      </c>
      <c r="BQ33">
        <v>7.96</v>
      </c>
      <c r="BR33">
        <v>7.3</v>
      </c>
      <c r="BS33" s="22">
        <f t="shared" si="16"/>
        <v>11784.146087306475</v>
      </c>
      <c r="BT33" s="22">
        <f t="shared" si="17"/>
        <v>219.06425418710757</v>
      </c>
      <c r="BU33">
        <v>98.1</v>
      </c>
      <c r="BV33">
        <v>4.55</v>
      </c>
      <c r="BW33">
        <v>0.44000000000000006</v>
      </c>
      <c r="BX33" s="71">
        <f t="shared" si="18"/>
        <v>26.738323699421969</v>
      </c>
    </row>
    <row r="34" spans="2:76" x14ac:dyDescent="0.3">
      <c r="B34">
        <v>2022</v>
      </c>
      <c r="C34" t="s">
        <v>125</v>
      </c>
      <c r="D34">
        <v>203</v>
      </c>
      <c r="E34">
        <v>2</v>
      </c>
      <c r="F34">
        <v>14</v>
      </c>
      <c r="G34" t="s">
        <v>25</v>
      </c>
      <c r="H34">
        <v>5</v>
      </c>
      <c r="I34" t="s">
        <v>20</v>
      </c>
      <c r="J34">
        <v>54</v>
      </c>
      <c r="K34">
        <v>53</v>
      </c>
      <c r="L34" s="22">
        <f t="shared" si="0"/>
        <v>221.71570658930793</v>
      </c>
      <c r="M34">
        <v>40</v>
      </c>
      <c r="N34">
        <v>39</v>
      </c>
      <c r="O34">
        <v>40</v>
      </c>
      <c r="P34">
        <v>45</v>
      </c>
      <c r="Q34" s="21">
        <f t="shared" si="1"/>
        <v>41</v>
      </c>
      <c r="R34">
        <v>60</v>
      </c>
      <c r="S34">
        <v>55</v>
      </c>
      <c r="T34">
        <v>55</v>
      </c>
      <c r="U34">
        <v>58</v>
      </c>
      <c r="V34" s="21">
        <f t="shared" si="2"/>
        <v>57</v>
      </c>
      <c r="W34">
        <v>85</v>
      </c>
      <c r="X34">
        <v>86</v>
      </c>
      <c r="Y34">
        <v>81</v>
      </c>
      <c r="Z34">
        <v>87</v>
      </c>
      <c r="AA34" s="21">
        <f t="shared" si="3"/>
        <v>84.75</v>
      </c>
      <c r="AB34">
        <v>92</v>
      </c>
      <c r="AC34">
        <v>96</v>
      </c>
      <c r="AD34">
        <v>108</v>
      </c>
      <c r="AE34">
        <v>98</v>
      </c>
      <c r="AF34" s="21">
        <f t="shared" si="4"/>
        <v>98.5</v>
      </c>
      <c r="AG34" s="22">
        <v>105</v>
      </c>
      <c r="AH34" s="22">
        <v>101</v>
      </c>
      <c r="AI34" s="22">
        <v>100</v>
      </c>
      <c r="AJ34" s="22">
        <v>107</v>
      </c>
      <c r="AK34" s="21">
        <f t="shared" si="5"/>
        <v>103.25</v>
      </c>
      <c r="AL34" s="21"/>
      <c r="AM34" s="21"/>
      <c r="AN34" s="21"/>
      <c r="AO34" s="21"/>
      <c r="AP34" s="21" t="e">
        <f t="shared" si="6"/>
        <v>#DIV/0!</v>
      </c>
      <c r="AQ34" s="21"/>
      <c r="AR34">
        <v>105</v>
      </c>
      <c r="AS34">
        <v>101</v>
      </c>
      <c r="AT34">
        <v>100</v>
      </c>
      <c r="AU34">
        <v>107</v>
      </c>
      <c r="AV34" s="21">
        <f t="shared" si="7"/>
        <v>103.25</v>
      </c>
      <c r="AW34">
        <v>0</v>
      </c>
      <c r="AX34">
        <v>0</v>
      </c>
      <c r="AY34">
        <v>0</v>
      </c>
      <c r="AZ34" s="21">
        <f t="shared" si="8"/>
        <v>0</v>
      </c>
      <c r="BA34">
        <v>0</v>
      </c>
      <c r="BB34">
        <v>0</v>
      </c>
      <c r="BC34">
        <v>0</v>
      </c>
      <c r="BD34" s="21">
        <f t="shared" si="9"/>
        <v>0</v>
      </c>
      <c r="BE34" s="21"/>
      <c r="BF34" s="21"/>
      <c r="BG34" s="21"/>
      <c r="BH34" s="21">
        <f t="shared" si="10"/>
        <v>0</v>
      </c>
      <c r="BI34">
        <v>22.4</v>
      </c>
      <c r="BJ34">
        <v>12.7</v>
      </c>
      <c r="BK34" s="18">
        <f t="shared" si="11"/>
        <v>43.303571428571431</v>
      </c>
      <c r="BL34" s="18">
        <f t="shared" si="12"/>
        <v>3.3214285714285721</v>
      </c>
      <c r="BM34" s="19">
        <f t="shared" si="13"/>
        <v>44781.321428571428</v>
      </c>
      <c r="BN34" s="71">
        <f t="shared" si="14"/>
        <v>96.321428571427532</v>
      </c>
      <c r="BO34">
        <v>6</v>
      </c>
      <c r="BP34" s="23">
        <f t="shared" si="15"/>
        <v>7.238999999999999</v>
      </c>
      <c r="BQ34">
        <v>8.0399999999999991</v>
      </c>
      <c r="BR34">
        <v>8.5</v>
      </c>
      <c r="BS34" s="22">
        <f t="shared" si="16"/>
        <v>11748.501014495185</v>
      </c>
      <c r="BT34" s="22">
        <f t="shared" si="17"/>
        <v>218.40162142330792</v>
      </c>
      <c r="BU34">
        <v>100.3</v>
      </c>
      <c r="BV34">
        <v>4.3600000000000003</v>
      </c>
      <c r="BW34">
        <v>4.5600000000000005</v>
      </c>
      <c r="BX34" s="71">
        <f t="shared" si="18"/>
        <v>47.178034682080934</v>
      </c>
    </row>
    <row r="35" spans="2:76" x14ac:dyDescent="0.3">
      <c r="B35">
        <v>2022</v>
      </c>
      <c r="C35" t="s">
        <v>125</v>
      </c>
      <c r="D35">
        <v>204</v>
      </c>
      <c r="E35">
        <v>2</v>
      </c>
      <c r="F35">
        <v>12</v>
      </c>
      <c r="G35" t="s">
        <v>25</v>
      </c>
      <c r="H35">
        <v>3</v>
      </c>
      <c r="I35" t="s">
        <v>18</v>
      </c>
      <c r="J35">
        <v>39</v>
      </c>
      <c r="K35">
        <v>49</v>
      </c>
      <c r="L35" s="22">
        <f t="shared" si="0"/>
        <v>182.34562784915045</v>
      </c>
      <c r="M35">
        <v>45</v>
      </c>
      <c r="N35">
        <v>42</v>
      </c>
      <c r="O35">
        <v>48</v>
      </c>
      <c r="P35">
        <v>46</v>
      </c>
      <c r="Q35" s="21">
        <f t="shared" si="1"/>
        <v>45.25</v>
      </c>
      <c r="R35">
        <v>65</v>
      </c>
      <c r="S35">
        <v>60</v>
      </c>
      <c r="T35">
        <v>60</v>
      </c>
      <c r="U35">
        <v>70</v>
      </c>
      <c r="V35" s="21">
        <f t="shared" si="2"/>
        <v>63.75</v>
      </c>
      <c r="W35">
        <v>93</v>
      </c>
      <c r="X35">
        <v>94</v>
      </c>
      <c r="Y35">
        <v>95</v>
      </c>
      <c r="Z35">
        <v>91</v>
      </c>
      <c r="AA35" s="21">
        <f t="shared" si="3"/>
        <v>93.25</v>
      </c>
      <c r="AB35">
        <v>110</v>
      </c>
      <c r="AC35">
        <v>105</v>
      </c>
      <c r="AD35">
        <v>106</v>
      </c>
      <c r="AE35">
        <v>109</v>
      </c>
      <c r="AF35" s="21">
        <f t="shared" si="4"/>
        <v>107.5</v>
      </c>
      <c r="AG35" s="22">
        <v>105</v>
      </c>
      <c r="AH35" s="22">
        <v>102</v>
      </c>
      <c r="AI35" s="22">
        <v>109</v>
      </c>
      <c r="AJ35" s="22">
        <v>114</v>
      </c>
      <c r="AK35" s="21">
        <f t="shared" si="5"/>
        <v>107.5</v>
      </c>
      <c r="AL35" s="21"/>
      <c r="AM35" s="21"/>
      <c r="AN35" s="21"/>
      <c r="AO35" s="21"/>
      <c r="AP35" s="21" t="e">
        <f t="shared" si="6"/>
        <v>#DIV/0!</v>
      </c>
      <c r="AQ35" s="21"/>
      <c r="AR35">
        <v>105</v>
      </c>
      <c r="AS35">
        <v>102</v>
      </c>
      <c r="AT35">
        <v>109</v>
      </c>
      <c r="AU35">
        <v>114</v>
      </c>
      <c r="AV35" s="21">
        <f t="shared" si="7"/>
        <v>107.5</v>
      </c>
      <c r="AW35">
        <v>0</v>
      </c>
      <c r="AX35">
        <v>0</v>
      </c>
      <c r="AY35">
        <v>0</v>
      </c>
      <c r="AZ35" s="21">
        <f t="shared" si="8"/>
        <v>0</v>
      </c>
      <c r="BA35">
        <v>0</v>
      </c>
      <c r="BB35">
        <v>0</v>
      </c>
      <c r="BC35">
        <v>0</v>
      </c>
      <c r="BD35" s="21">
        <f t="shared" si="9"/>
        <v>0</v>
      </c>
      <c r="BE35" s="21"/>
      <c r="BF35" s="21"/>
      <c r="BG35" s="21"/>
      <c r="BH35" s="21">
        <f t="shared" si="10"/>
        <v>0</v>
      </c>
      <c r="BI35">
        <v>21</v>
      </c>
      <c r="BJ35">
        <v>12.6</v>
      </c>
      <c r="BK35" s="18">
        <f t="shared" si="11"/>
        <v>40</v>
      </c>
      <c r="BL35" s="18">
        <f t="shared" si="12"/>
        <v>2</v>
      </c>
      <c r="BM35" s="19">
        <f t="shared" si="13"/>
        <v>44780</v>
      </c>
      <c r="BN35" s="71">
        <f t="shared" si="14"/>
        <v>95</v>
      </c>
      <c r="BO35">
        <v>6</v>
      </c>
      <c r="BP35" s="23">
        <f t="shared" si="15"/>
        <v>7.238999999999999</v>
      </c>
      <c r="BQ35">
        <v>7.96</v>
      </c>
      <c r="BR35">
        <v>7.9</v>
      </c>
      <c r="BS35" s="22">
        <f t="shared" si="16"/>
        <v>11707.873297097372</v>
      </c>
      <c r="BT35" s="22">
        <f t="shared" si="17"/>
        <v>217.64636257424601</v>
      </c>
      <c r="BU35">
        <v>104</v>
      </c>
      <c r="BV35">
        <v>4.4000000000000004</v>
      </c>
      <c r="BW35">
        <v>4.37</v>
      </c>
      <c r="BX35" s="71">
        <f t="shared" si="18"/>
        <v>46.688843930635834</v>
      </c>
    </row>
    <row r="36" spans="2:76" x14ac:dyDescent="0.3">
      <c r="B36">
        <v>2022</v>
      </c>
      <c r="C36" t="s">
        <v>125</v>
      </c>
      <c r="D36">
        <v>205</v>
      </c>
      <c r="E36">
        <v>2</v>
      </c>
      <c r="F36">
        <v>10</v>
      </c>
      <c r="G36" t="s">
        <v>25</v>
      </c>
      <c r="H36">
        <v>1</v>
      </c>
      <c r="I36" t="s">
        <v>16</v>
      </c>
      <c r="J36">
        <v>62</v>
      </c>
      <c r="K36">
        <v>52</v>
      </c>
      <c r="L36" s="22">
        <f t="shared" si="0"/>
        <v>236.22047244094489</v>
      </c>
      <c r="M36">
        <v>48</v>
      </c>
      <c r="N36">
        <v>47</v>
      </c>
      <c r="O36">
        <v>46</v>
      </c>
      <c r="P36">
        <v>50</v>
      </c>
      <c r="Q36" s="21">
        <f t="shared" si="1"/>
        <v>47.75</v>
      </c>
      <c r="R36">
        <v>70</v>
      </c>
      <c r="S36">
        <v>68</v>
      </c>
      <c r="T36">
        <v>66</v>
      </c>
      <c r="U36">
        <v>68</v>
      </c>
      <c r="V36" s="21">
        <f t="shared" si="2"/>
        <v>68</v>
      </c>
      <c r="W36">
        <v>103</v>
      </c>
      <c r="X36">
        <v>101</v>
      </c>
      <c r="Y36">
        <v>106</v>
      </c>
      <c r="Z36">
        <v>103</v>
      </c>
      <c r="AA36" s="21">
        <f t="shared" si="3"/>
        <v>103.25</v>
      </c>
      <c r="AB36">
        <v>104</v>
      </c>
      <c r="AC36">
        <v>115</v>
      </c>
      <c r="AD36">
        <v>114</v>
      </c>
      <c r="AE36">
        <v>101</v>
      </c>
      <c r="AF36" s="21">
        <f t="shared" si="4"/>
        <v>108.5</v>
      </c>
      <c r="AG36" s="22">
        <v>120</v>
      </c>
      <c r="AH36" s="22">
        <v>118</v>
      </c>
      <c r="AI36" s="22">
        <v>110</v>
      </c>
      <c r="AJ36" s="22">
        <v>114</v>
      </c>
      <c r="AK36" s="21">
        <f t="shared" si="5"/>
        <v>115.5</v>
      </c>
      <c r="AL36" s="21"/>
      <c r="AM36" s="21"/>
      <c r="AN36" s="21"/>
      <c r="AO36" s="21"/>
      <c r="AP36" s="21" t="e">
        <f t="shared" si="6"/>
        <v>#DIV/0!</v>
      </c>
      <c r="AQ36" s="21"/>
      <c r="AR36">
        <v>120</v>
      </c>
      <c r="AS36">
        <v>118</v>
      </c>
      <c r="AT36">
        <v>110</v>
      </c>
      <c r="AU36">
        <v>114</v>
      </c>
      <c r="AV36" s="21">
        <f t="shared" si="7"/>
        <v>115.5</v>
      </c>
      <c r="AW36">
        <v>0</v>
      </c>
      <c r="AX36">
        <v>0</v>
      </c>
      <c r="AY36">
        <v>0</v>
      </c>
      <c r="AZ36" s="21">
        <f t="shared" si="8"/>
        <v>0</v>
      </c>
      <c r="BA36">
        <v>0</v>
      </c>
      <c r="BB36">
        <v>0</v>
      </c>
      <c r="BC36">
        <v>0</v>
      </c>
      <c r="BD36" s="21">
        <f t="shared" si="9"/>
        <v>0</v>
      </c>
      <c r="BE36" s="21"/>
      <c r="BF36" s="21"/>
      <c r="BG36" s="21"/>
      <c r="BH36" s="21">
        <f t="shared" si="10"/>
        <v>0</v>
      </c>
      <c r="BI36">
        <v>16.2</v>
      </c>
      <c r="BJ36">
        <v>9.6999999999999993</v>
      </c>
      <c r="BK36" s="18">
        <f t="shared" si="11"/>
        <v>40.123456790123456</v>
      </c>
      <c r="BL36" s="18">
        <f t="shared" si="12"/>
        <v>2.049382716049382</v>
      </c>
      <c r="BM36" s="19">
        <f t="shared" si="13"/>
        <v>44780.049382716046</v>
      </c>
      <c r="BN36" s="71">
        <f t="shared" si="14"/>
        <v>95.049382716046239</v>
      </c>
      <c r="BO36">
        <v>6</v>
      </c>
      <c r="BP36" s="23">
        <f t="shared" si="15"/>
        <v>7.238999999999999</v>
      </c>
      <c r="BQ36">
        <v>8.06</v>
      </c>
      <c r="BR36">
        <v>7.6</v>
      </c>
      <c r="BS36" s="22">
        <f t="shared" si="16"/>
        <v>11893.572628033609</v>
      </c>
      <c r="BT36" s="22">
        <f t="shared" si="17"/>
        <v>221.0984655211376</v>
      </c>
      <c r="BU36">
        <v>96</v>
      </c>
      <c r="BV36">
        <v>4.83</v>
      </c>
      <c r="BW36">
        <v>4.5299999999999994</v>
      </c>
      <c r="BX36" s="71">
        <f t="shared" si="18"/>
        <v>49.992138728323702</v>
      </c>
    </row>
    <row r="37" spans="2:76" x14ac:dyDescent="0.3">
      <c r="B37">
        <v>2022</v>
      </c>
      <c r="C37" t="s">
        <v>125</v>
      </c>
      <c r="D37">
        <v>206</v>
      </c>
      <c r="E37">
        <v>2</v>
      </c>
      <c r="F37">
        <v>13</v>
      </c>
      <c r="G37" t="s">
        <v>25</v>
      </c>
      <c r="H37">
        <v>4</v>
      </c>
      <c r="I37" t="s">
        <v>19</v>
      </c>
      <c r="J37">
        <v>50</v>
      </c>
      <c r="K37">
        <v>54</v>
      </c>
      <c r="L37" s="22">
        <f t="shared" si="0"/>
        <v>215.4993783671778</v>
      </c>
      <c r="M37">
        <v>46</v>
      </c>
      <c r="N37">
        <v>52</v>
      </c>
      <c r="O37">
        <v>56</v>
      </c>
      <c r="P37">
        <v>55</v>
      </c>
      <c r="Q37" s="21">
        <f t="shared" si="1"/>
        <v>52.25</v>
      </c>
      <c r="R37">
        <v>80</v>
      </c>
      <c r="S37">
        <v>75</v>
      </c>
      <c r="T37">
        <v>70</v>
      </c>
      <c r="U37">
        <v>70</v>
      </c>
      <c r="V37" s="21">
        <f t="shared" si="2"/>
        <v>73.75</v>
      </c>
      <c r="W37">
        <v>107</v>
      </c>
      <c r="X37">
        <v>109</v>
      </c>
      <c r="Y37">
        <v>105</v>
      </c>
      <c r="Z37">
        <v>104</v>
      </c>
      <c r="AA37" s="21">
        <f t="shared" si="3"/>
        <v>106.25</v>
      </c>
      <c r="AB37">
        <v>110</v>
      </c>
      <c r="AC37">
        <v>110</v>
      </c>
      <c r="AD37">
        <v>112</v>
      </c>
      <c r="AE37">
        <v>99</v>
      </c>
      <c r="AF37" s="21">
        <f t="shared" si="4"/>
        <v>107.75</v>
      </c>
      <c r="AG37" s="22">
        <v>113</v>
      </c>
      <c r="AH37" s="22">
        <v>109</v>
      </c>
      <c r="AI37" s="22">
        <v>111</v>
      </c>
      <c r="AJ37" s="22">
        <v>110</v>
      </c>
      <c r="AK37" s="21">
        <f t="shared" si="5"/>
        <v>110.75</v>
      </c>
      <c r="AL37" s="21"/>
      <c r="AM37" s="21"/>
      <c r="AN37" s="21"/>
      <c r="AO37" s="21"/>
      <c r="AP37" s="21" t="e">
        <f t="shared" si="6"/>
        <v>#DIV/0!</v>
      </c>
      <c r="AQ37" s="21"/>
      <c r="AR37">
        <v>113</v>
      </c>
      <c r="AS37">
        <v>109</v>
      </c>
      <c r="AT37">
        <v>111</v>
      </c>
      <c r="AU37">
        <v>110</v>
      </c>
      <c r="AV37" s="21">
        <f t="shared" si="7"/>
        <v>110.75</v>
      </c>
      <c r="AW37">
        <v>0</v>
      </c>
      <c r="AX37">
        <v>0</v>
      </c>
      <c r="AY37">
        <v>0</v>
      </c>
      <c r="AZ37" s="21">
        <f t="shared" si="8"/>
        <v>0</v>
      </c>
      <c r="BA37">
        <v>0</v>
      </c>
      <c r="BB37">
        <v>0</v>
      </c>
      <c r="BC37">
        <v>0</v>
      </c>
      <c r="BD37" s="21">
        <f t="shared" si="9"/>
        <v>0</v>
      </c>
      <c r="BE37" s="21"/>
      <c r="BF37" s="21"/>
      <c r="BG37" s="21"/>
      <c r="BH37" s="21">
        <f t="shared" si="10"/>
        <v>0</v>
      </c>
      <c r="BI37">
        <v>21.5</v>
      </c>
      <c r="BJ37">
        <v>12.5</v>
      </c>
      <c r="BK37" s="18">
        <f t="shared" si="11"/>
        <v>41.860465116279073</v>
      </c>
      <c r="BL37" s="18">
        <f t="shared" si="12"/>
        <v>2.7441860465116292</v>
      </c>
      <c r="BM37" s="19">
        <f t="shared" si="13"/>
        <v>44780.744186046511</v>
      </c>
      <c r="BN37" s="71">
        <f t="shared" si="14"/>
        <v>95.744186046511459</v>
      </c>
      <c r="BO37">
        <v>6</v>
      </c>
      <c r="BP37" s="23">
        <f t="shared" si="15"/>
        <v>7.238999999999999</v>
      </c>
      <c r="BQ37">
        <v>7.86</v>
      </c>
      <c r="BR37">
        <v>7.2</v>
      </c>
      <c r="BS37" s="22">
        <f t="shared" si="16"/>
        <v>11648.656482588296</v>
      </c>
      <c r="BT37" s="22">
        <f t="shared" si="17"/>
        <v>216.54553717632092</v>
      </c>
      <c r="BU37">
        <v>95.3</v>
      </c>
      <c r="BV37">
        <v>4.4000000000000004</v>
      </c>
      <c r="BW37">
        <v>4.34</v>
      </c>
      <c r="BX37" s="71">
        <f t="shared" si="18"/>
        <v>46.882774566473991</v>
      </c>
    </row>
    <row r="38" spans="2:76" x14ac:dyDescent="0.3">
      <c r="B38">
        <v>2022</v>
      </c>
      <c r="C38" t="s">
        <v>125</v>
      </c>
      <c r="D38">
        <v>207</v>
      </c>
      <c r="E38">
        <v>2</v>
      </c>
      <c r="F38">
        <v>11</v>
      </c>
      <c r="G38" t="s">
        <v>25</v>
      </c>
      <c r="H38">
        <v>2</v>
      </c>
      <c r="I38" t="s">
        <v>17</v>
      </c>
      <c r="J38">
        <v>59</v>
      </c>
      <c r="K38">
        <v>70</v>
      </c>
      <c r="L38" s="22">
        <f t="shared" si="0"/>
        <v>267.30211355159554</v>
      </c>
      <c r="M38">
        <v>47</v>
      </c>
      <c r="N38">
        <v>46</v>
      </c>
      <c r="O38">
        <v>48</v>
      </c>
      <c r="P38">
        <v>49</v>
      </c>
      <c r="Q38" s="21">
        <f t="shared" si="1"/>
        <v>47.5</v>
      </c>
      <c r="R38">
        <v>65</v>
      </c>
      <c r="S38">
        <v>65</v>
      </c>
      <c r="T38">
        <v>68</v>
      </c>
      <c r="U38">
        <v>65</v>
      </c>
      <c r="V38" s="21">
        <f t="shared" si="2"/>
        <v>65.75</v>
      </c>
      <c r="W38">
        <v>93</v>
      </c>
      <c r="X38">
        <v>99</v>
      </c>
      <c r="Y38">
        <v>96</v>
      </c>
      <c r="Z38">
        <v>100</v>
      </c>
      <c r="AA38" s="21">
        <f t="shared" si="3"/>
        <v>97</v>
      </c>
      <c r="AB38">
        <v>110</v>
      </c>
      <c r="AC38">
        <v>109</v>
      </c>
      <c r="AD38">
        <v>101</v>
      </c>
      <c r="AE38">
        <v>109</v>
      </c>
      <c r="AF38" s="21">
        <f t="shared" si="4"/>
        <v>107.25</v>
      </c>
      <c r="AG38" s="22">
        <v>105</v>
      </c>
      <c r="AH38" s="22">
        <v>108</v>
      </c>
      <c r="AI38" s="22">
        <v>111</v>
      </c>
      <c r="AJ38" s="22">
        <v>107</v>
      </c>
      <c r="AK38" s="21">
        <f t="shared" si="5"/>
        <v>107.75</v>
      </c>
      <c r="AL38" s="21"/>
      <c r="AM38" s="21"/>
      <c r="AN38" s="21"/>
      <c r="AO38" s="21"/>
      <c r="AP38" s="21" t="e">
        <f t="shared" si="6"/>
        <v>#DIV/0!</v>
      </c>
      <c r="AQ38" s="21"/>
      <c r="AR38">
        <v>105</v>
      </c>
      <c r="AS38">
        <v>108</v>
      </c>
      <c r="AT38">
        <v>111</v>
      </c>
      <c r="AU38">
        <v>107</v>
      </c>
      <c r="AV38" s="21">
        <f t="shared" si="7"/>
        <v>107.75</v>
      </c>
      <c r="AW38">
        <v>0</v>
      </c>
      <c r="AX38">
        <v>0</v>
      </c>
      <c r="AY38">
        <v>0</v>
      </c>
      <c r="AZ38" s="21">
        <f t="shared" si="8"/>
        <v>0</v>
      </c>
      <c r="BA38">
        <v>0</v>
      </c>
      <c r="BB38">
        <v>0</v>
      </c>
      <c r="BC38">
        <v>0</v>
      </c>
      <c r="BD38" s="21">
        <f t="shared" si="9"/>
        <v>0</v>
      </c>
      <c r="BE38" s="21"/>
      <c r="BF38" s="21"/>
      <c r="BG38" s="21"/>
      <c r="BH38" s="21">
        <f t="shared" si="10"/>
        <v>0</v>
      </c>
      <c r="BI38">
        <v>18.8</v>
      </c>
      <c r="BJ38">
        <v>11.2</v>
      </c>
      <c r="BK38" s="18">
        <f t="shared" si="11"/>
        <v>40.425531914893625</v>
      </c>
      <c r="BL38" s="18">
        <f t="shared" si="12"/>
        <v>2.1702127659574502</v>
      </c>
      <c r="BM38" s="19">
        <f t="shared" si="13"/>
        <v>44780.170212765959</v>
      </c>
      <c r="BN38" s="71">
        <f t="shared" si="14"/>
        <v>95.17021276595915</v>
      </c>
      <c r="BO38">
        <v>6</v>
      </c>
      <c r="BP38" s="23">
        <f t="shared" si="15"/>
        <v>7.238999999999999</v>
      </c>
      <c r="BQ38">
        <v>8.6</v>
      </c>
      <c r="BR38">
        <v>7</v>
      </c>
      <c r="BS38" s="22">
        <f t="shared" si="16"/>
        <v>12772.817757378747</v>
      </c>
      <c r="BT38" s="22">
        <f t="shared" si="17"/>
        <v>237.44340702819466</v>
      </c>
      <c r="BU38">
        <v>97.5</v>
      </c>
      <c r="BV38">
        <v>4.37</v>
      </c>
      <c r="BW38">
        <v>4.3100000000000005</v>
      </c>
      <c r="BX38" s="71">
        <f t="shared" si="18"/>
        <v>46.661271676300579</v>
      </c>
    </row>
    <row r="39" spans="2:76" x14ac:dyDescent="0.3">
      <c r="B39">
        <v>2022</v>
      </c>
      <c r="C39" t="s">
        <v>125</v>
      </c>
      <c r="D39">
        <v>208</v>
      </c>
      <c r="E39">
        <v>2</v>
      </c>
      <c r="F39">
        <v>16</v>
      </c>
      <c r="G39" t="s">
        <v>25</v>
      </c>
      <c r="H39">
        <v>7</v>
      </c>
      <c r="I39" t="s">
        <v>22</v>
      </c>
      <c r="J39">
        <v>58</v>
      </c>
      <c r="K39">
        <v>57</v>
      </c>
      <c r="L39" s="22">
        <f t="shared" si="0"/>
        <v>238.29258184832162</v>
      </c>
      <c r="M39">
        <v>50</v>
      </c>
      <c r="N39">
        <v>48</v>
      </c>
      <c r="O39">
        <v>49</v>
      </c>
      <c r="P39">
        <v>47</v>
      </c>
      <c r="Q39" s="21">
        <f t="shared" si="1"/>
        <v>48.5</v>
      </c>
      <c r="R39">
        <v>70</v>
      </c>
      <c r="S39">
        <v>72</v>
      </c>
      <c r="T39">
        <v>75</v>
      </c>
      <c r="U39">
        <v>78</v>
      </c>
      <c r="V39" s="21">
        <f t="shared" si="2"/>
        <v>73.75</v>
      </c>
      <c r="W39">
        <v>93</v>
      </c>
      <c r="X39">
        <v>96</v>
      </c>
      <c r="Y39">
        <v>96</v>
      </c>
      <c r="Z39">
        <v>100</v>
      </c>
      <c r="AA39" s="21">
        <f t="shared" si="3"/>
        <v>96.25</v>
      </c>
      <c r="AB39">
        <v>105</v>
      </c>
      <c r="AC39">
        <v>109</v>
      </c>
      <c r="AD39">
        <v>110</v>
      </c>
      <c r="AE39">
        <v>107</v>
      </c>
      <c r="AF39" s="21">
        <f t="shared" si="4"/>
        <v>107.75</v>
      </c>
      <c r="AG39" s="22">
        <v>107</v>
      </c>
      <c r="AH39" s="22">
        <v>102</v>
      </c>
      <c r="AI39" s="22">
        <v>110</v>
      </c>
      <c r="AJ39" s="22">
        <v>114</v>
      </c>
      <c r="AK39" s="21">
        <f t="shared" si="5"/>
        <v>108.25</v>
      </c>
      <c r="AL39" s="21"/>
      <c r="AM39" s="21"/>
      <c r="AN39" s="21"/>
      <c r="AO39" s="21"/>
      <c r="AP39" s="21" t="e">
        <f t="shared" si="6"/>
        <v>#DIV/0!</v>
      </c>
      <c r="AQ39" s="21"/>
      <c r="AR39">
        <v>107</v>
      </c>
      <c r="AS39">
        <v>102</v>
      </c>
      <c r="AT39">
        <v>110</v>
      </c>
      <c r="AU39">
        <v>114</v>
      </c>
      <c r="AV39" s="21">
        <f t="shared" si="7"/>
        <v>108.25</v>
      </c>
      <c r="AW39">
        <v>0</v>
      </c>
      <c r="AX39">
        <v>0</v>
      </c>
      <c r="AY39">
        <v>0</v>
      </c>
      <c r="AZ39" s="21">
        <f t="shared" si="8"/>
        <v>0</v>
      </c>
      <c r="BA39">
        <v>0</v>
      </c>
      <c r="BB39">
        <v>0</v>
      </c>
      <c r="BC39">
        <v>0</v>
      </c>
      <c r="BD39" s="21">
        <f t="shared" si="9"/>
        <v>0</v>
      </c>
      <c r="BE39" s="21"/>
      <c r="BF39" s="21"/>
      <c r="BG39" s="21"/>
      <c r="BH39" s="21">
        <f t="shared" si="10"/>
        <v>0</v>
      </c>
      <c r="BI39">
        <v>22.6</v>
      </c>
      <c r="BJ39">
        <v>13.3</v>
      </c>
      <c r="BK39" s="18">
        <f t="shared" si="11"/>
        <v>41.150442477876112</v>
      </c>
      <c r="BL39" s="18">
        <f t="shared" si="12"/>
        <v>2.460176991150445</v>
      </c>
      <c r="BM39" s="19">
        <f t="shared" si="13"/>
        <v>44780.460176991153</v>
      </c>
      <c r="BN39" s="71">
        <f t="shared" si="14"/>
        <v>95.460176991153276</v>
      </c>
      <c r="BO39">
        <v>6</v>
      </c>
      <c r="BP39" s="23">
        <f t="shared" si="15"/>
        <v>7.238999999999999</v>
      </c>
      <c r="BQ39">
        <v>7.91</v>
      </c>
      <c r="BR39">
        <v>7.8</v>
      </c>
      <c r="BS39" s="22">
        <f t="shared" si="16"/>
        <v>11646.963661030049</v>
      </c>
      <c r="BT39" s="22">
        <f t="shared" si="17"/>
        <v>216.5140680576099</v>
      </c>
      <c r="BU39">
        <v>102.8</v>
      </c>
      <c r="BV39">
        <v>4.32</v>
      </c>
      <c r="BW39">
        <v>4.3</v>
      </c>
      <c r="BX39" s="71">
        <f t="shared" si="18"/>
        <v>45.940115606936423</v>
      </c>
    </row>
    <row r="40" spans="2:76" x14ac:dyDescent="0.3">
      <c r="B40">
        <v>2022</v>
      </c>
      <c r="C40" t="s">
        <v>125</v>
      </c>
      <c r="D40">
        <v>209</v>
      </c>
      <c r="E40">
        <v>2</v>
      </c>
      <c r="F40">
        <v>15</v>
      </c>
      <c r="G40" t="s">
        <v>25</v>
      </c>
      <c r="H40">
        <v>6</v>
      </c>
      <c r="I40" t="s">
        <v>21</v>
      </c>
      <c r="J40">
        <v>58</v>
      </c>
      <c r="K40">
        <v>42</v>
      </c>
      <c r="L40" s="22">
        <f t="shared" si="0"/>
        <v>207.21094073767097</v>
      </c>
      <c r="M40">
        <v>53</v>
      </c>
      <c r="N40">
        <v>50</v>
      </c>
      <c r="O40">
        <v>54</v>
      </c>
      <c r="P40">
        <v>53</v>
      </c>
      <c r="Q40" s="21">
        <f t="shared" si="1"/>
        <v>52.5</v>
      </c>
      <c r="R40">
        <v>75</v>
      </c>
      <c r="S40">
        <v>75</v>
      </c>
      <c r="T40">
        <v>75</v>
      </c>
      <c r="U40">
        <v>78</v>
      </c>
      <c r="V40" s="21">
        <f t="shared" si="2"/>
        <v>75.75</v>
      </c>
      <c r="W40">
        <v>100</v>
      </c>
      <c r="X40">
        <v>94</v>
      </c>
      <c r="Y40">
        <v>95</v>
      </c>
      <c r="Z40">
        <v>99</v>
      </c>
      <c r="AA40" s="21">
        <f t="shared" si="3"/>
        <v>97</v>
      </c>
      <c r="AB40">
        <v>100</v>
      </c>
      <c r="AC40">
        <v>100</v>
      </c>
      <c r="AD40">
        <v>104</v>
      </c>
      <c r="AE40">
        <v>98</v>
      </c>
      <c r="AF40" s="21">
        <f t="shared" si="4"/>
        <v>100.5</v>
      </c>
      <c r="AG40" s="22">
        <v>91</v>
      </c>
      <c r="AH40" s="22">
        <v>99</v>
      </c>
      <c r="AI40" s="22">
        <v>90</v>
      </c>
      <c r="AJ40" s="22">
        <v>109</v>
      </c>
      <c r="AK40" s="21">
        <f t="shared" si="5"/>
        <v>97.25</v>
      </c>
      <c r="AL40" s="21"/>
      <c r="AM40" s="21"/>
      <c r="AN40" s="21"/>
      <c r="AO40" s="21"/>
      <c r="AP40" s="21" t="e">
        <f t="shared" si="6"/>
        <v>#DIV/0!</v>
      </c>
      <c r="AQ40" s="21"/>
      <c r="AR40">
        <v>91</v>
      </c>
      <c r="AS40">
        <v>99</v>
      </c>
      <c r="AT40">
        <v>90</v>
      </c>
      <c r="AU40">
        <v>109</v>
      </c>
      <c r="AV40" s="21">
        <f t="shared" si="7"/>
        <v>97.25</v>
      </c>
      <c r="AW40">
        <v>0</v>
      </c>
      <c r="AX40">
        <v>0</v>
      </c>
      <c r="AY40">
        <v>0</v>
      </c>
      <c r="AZ40" s="21">
        <f t="shared" si="8"/>
        <v>0</v>
      </c>
      <c r="BA40">
        <v>0</v>
      </c>
      <c r="BB40">
        <v>0</v>
      </c>
      <c r="BC40">
        <v>0</v>
      </c>
      <c r="BD40" s="21">
        <f t="shared" si="9"/>
        <v>0</v>
      </c>
      <c r="BE40" s="21"/>
      <c r="BF40" s="21"/>
      <c r="BG40" s="21"/>
      <c r="BH40" s="21">
        <f t="shared" si="10"/>
        <v>0</v>
      </c>
      <c r="BI40">
        <v>19.2</v>
      </c>
      <c r="BJ40">
        <v>9.9</v>
      </c>
      <c r="BK40" s="18">
        <f t="shared" si="11"/>
        <v>48.437499999999993</v>
      </c>
      <c r="BL40" s="18">
        <f t="shared" si="12"/>
        <v>5.3749999999999973</v>
      </c>
      <c r="BM40" s="19">
        <f t="shared" si="13"/>
        <v>44783.375</v>
      </c>
      <c r="BN40" s="71">
        <f t="shared" si="14"/>
        <v>98.375</v>
      </c>
      <c r="BO40">
        <v>6</v>
      </c>
      <c r="BP40" s="23">
        <f t="shared" si="15"/>
        <v>7.238999999999999</v>
      </c>
      <c r="BQ40">
        <v>8.4600000000000009</v>
      </c>
      <c r="BR40">
        <v>8.6</v>
      </c>
      <c r="BS40" s="22">
        <f t="shared" si="16"/>
        <v>12348.718046994967</v>
      </c>
      <c r="BT40" s="22">
        <f t="shared" si="17"/>
        <v>229.55950215567566</v>
      </c>
      <c r="BU40">
        <v>98.3</v>
      </c>
      <c r="BV40">
        <v>4.54</v>
      </c>
      <c r="BW40">
        <v>4.62</v>
      </c>
      <c r="BX40" s="71">
        <f t="shared" si="18"/>
        <v>48.394450867052022</v>
      </c>
    </row>
    <row r="41" spans="2:76" x14ac:dyDescent="0.3">
      <c r="B41">
        <v>2022</v>
      </c>
      <c r="C41" t="s">
        <v>125</v>
      </c>
      <c r="D41">
        <v>210</v>
      </c>
      <c r="E41">
        <v>2</v>
      </c>
      <c r="F41">
        <v>23</v>
      </c>
      <c r="G41" t="s">
        <v>27</v>
      </c>
      <c r="H41">
        <v>5</v>
      </c>
      <c r="I41" t="s">
        <v>20</v>
      </c>
      <c r="J41">
        <v>45</v>
      </c>
      <c r="K41">
        <v>56</v>
      </c>
      <c r="L41" s="22">
        <f t="shared" si="0"/>
        <v>209.28305014504767</v>
      </c>
      <c r="M41">
        <v>36</v>
      </c>
      <c r="N41">
        <v>35</v>
      </c>
      <c r="O41">
        <v>38</v>
      </c>
      <c r="P41">
        <v>36</v>
      </c>
      <c r="Q41" s="21">
        <f t="shared" si="1"/>
        <v>36.25</v>
      </c>
      <c r="R41">
        <v>55</v>
      </c>
      <c r="S41">
        <v>53</v>
      </c>
      <c r="T41">
        <v>55</v>
      </c>
      <c r="U41">
        <v>50</v>
      </c>
      <c r="V41" s="21">
        <f t="shared" si="2"/>
        <v>53.25</v>
      </c>
      <c r="W41">
        <v>81</v>
      </c>
      <c r="X41">
        <v>81</v>
      </c>
      <c r="Y41">
        <v>83</v>
      </c>
      <c r="Z41">
        <v>79</v>
      </c>
      <c r="AA41" s="21">
        <f t="shared" si="3"/>
        <v>81</v>
      </c>
      <c r="AB41">
        <v>89</v>
      </c>
      <c r="AC41">
        <v>91</v>
      </c>
      <c r="AD41">
        <v>90</v>
      </c>
      <c r="AE41">
        <v>89</v>
      </c>
      <c r="AF41" s="21">
        <f t="shared" si="4"/>
        <v>89.75</v>
      </c>
      <c r="AG41" s="22">
        <v>95</v>
      </c>
      <c r="AH41" s="22">
        <v>89</v>
      </c>
      <c r="AI41" s="22">
        <v>92</v>
      </c>
      <c r="AJ41" s="22">
        <v>90</v>
      </c>
      <c r="AK41" s="21">
        <f t="shared" si="5"/>
        <v>91.5</v>
      </c>
      <c r="AL41" s="21"/>
      <c r="AM41" s="21"/>
      <c r="AN41" s="21"/>
      <c r="AO41" s="21"/>
      <c r="AP41" s="21" t="e">
        <f t="shared" si="6"/>
        <v>#DIV/0!</v>
      </c>
      <c r="AQ41" s="21"/>
      <c r="AR41">
        <v>95</v>
      </c>
      <c r="AS41">
        <v>89</v>
      </c>
      <c r="AT41">
        <v>92</v>
      </c>
      <c r="AU41">
        <v>90</v>
      </c>
      <c r="AV41" s="21">
        <f t="shared" si="7"/>
        <v>91.5</v>
      </c>
      <c r="AW41">
        <v>5</v>
      </c>
      <c r="AX41">
        <v>0</v>
      </c>
      <c r="AY41">
        <v>0</v>
      </c>
      <c r="AZ41" s="21">
        <f t="shared" si="8"/>
        <v>3.3333333333333335</v>
      </c>
      <c r="BA41">
        <v>0</v>
      </c>
      <c r="BB41">
        <v>0</v>
      </c>
      <c r="BC41">
        <v>0</v>
      </c>
      <c r="BD41" s="21">
        <f t="shared" si="9"/>
        <v>0</v>
      </c>
      <c r="BE41" s="21"/>
      <c r="BF41" s="21"/>
      <c r="BG41" s="21"/>
      <c r="BH41" s="21">
        <f t="shared" si="10"/>
        <v>0</v>
      </c>
      <c r="BI41">
        <v>23.3</v>
      </c>
      <c r="BJ41">
        <v>13.3</v>
      </c>
      <c r="BK41" s="18">
        <f t="shared" si="11"/>
        <v>42.918454935622321</v>
      </c>
      <c r="BL41" s="18">
        <f t="shared" si="12"/>
        <v>3.1673819742489284</v>
      </c>
      <c r="BM41" s="19">
        <f t="shared" si="13"/>
        <v>44781.16738197425</v>
      </c>
      <c r="BN41" s="71">
        <f t="shared" si="14"/>
        <v>96.16738197425002</v>
      </c>
      <c r="BO41">
        <v>6</v>
      </c>
      <c r="BP41" s="23">
        <f t="shared" si="15"/>
        <v>7.238999999999999</v>
      </c>
      <c r="BQ41">
        <v>9.1300000000000008</v>
      </c>
      <c r="BR41">
        <v>7.3</v>
      </c>
      <c r="BS41" s="22">
        <f t="shared" si="16"/>
        <v>13516.237911697002</v>
      </c>
      <c r="BT41" s="22">
        <f t="shared" si="17"/>
        <v>251.26339707641864</v>
      </c>
      <c r="BU41">
        <v>96.1</v>
      </c>
      <c r="BV41">
        <v>4.92</v>
      </c>
      <c r="BW41">
        <v>5.05</v>
      </c>
      <c r="BX41" s="71">
        <f t="shared" si="18"/>
        <v>53.423063583815029</v>
      </c>
    </row>
    <row r="42" spans="2:76" x14ac:dyDescent="0.3">
      <c r="B42">
        <v>2022</v>
      </c>
      <c r="C42" t="s">
        <v>125</v>
      </c>
      <c r="D42">
        <v>211</v>
      </c>
      <c r="E42">
        <v>2</v>
      </c>
      <c r="F42">
        <v>20</v>
      </c>
      <c r="G42" t="s">
        <v>27</v>
      </c>
      <c r="H42">
        <v>2</v>
      </c>
      <c r="I42" t="s">
        <v>17</v>
      </c>
      <c r="J42">
        <v>67</v>
      </c>
      <c r="K42">
        <v>53</v>
      </c>
      <c r="L42" s="22">
        <f t="shared" si="0"/>
        <v>248.65312888520515</v>
      </c>
      <c r="M42">
        <v>38</v>
      </c>
      <c r="N42">
        <v>35</v>
      </c>
      <c r="O42">
        <v>39</v>
      </c>
      <c r="P42">
        <v>43</v>
      </c>
      <c r="Q42" s="21">
        <f t="shared" si="1"/>
        <v>38.75</v>
      </c>
      <c r="R42">
        <v>60</v>
      </c>
      <c r="S42">
        <v>60</v>
      </c>
      <c r="T42">
        <v>60</v>
      </c>
      <c r="U42">
        <v>56</v>
      </c>
      <c r="V42" s="21">
        <f t="shared" si="2"/>
        <v>59</v>
      </c>
      <c r="W42">
        <v>85</v>
      </c>
      <c r="X42">
        <v>87</v>
      </c>
      <c r="Y42">
        <v>89</v>
      </c>
      <c r="Z42">
        <v>89</v>
      </c>
      <c r="AA42" s="21">
        <f t="shared" si="3"/>
        <v>87.5</v>
      </c>
      <c r="AB42">
        <v>96</v>
      </c>
      <c r="AC42">
        <v>99</v>
      </c>
      <c r="AD42">
        <v>93</v>
      </c>
      <c r="AE42">
        <v>93</v>
      </c>
      <c r="AF42" s="21">
        <f t="shared" si="4"/>
        <v>95.25</v>
      </c>
      <c r="AG42" s="22">
        <v>95</v>
      </c>
      <c r="AH42" s="22">
        <v>89</v>
      </c>
      <c r="AI42" s="22">
        <v>91</v>
      </c>
      <c r="AJ42" s="22">
        <v>90</v>
      </c>
      <c r="AK42" s="21">
        <f t="shared" si="5"/>
        <v>91.25</v>
      </c>
      <c r="AL42" s="21"/>
      <c r="AM42" s="21"/>
      <c r="AN42" s="21"/>
      <c r="AO42" s="21"/>
      <c r="AP42" s="21" t="e">
        <f t="shared" si="6"/>
        <v>#DIV/0!</v>
      </c>
      <c r="AQ42" s="21"/>
      <c r="AR42">
        <v>95</v>
      </c>
      <c r="AS42">
        <v>89</v>
      </c>
      <c r="AT42">
        <v>91</v>
      </c>
      <c r="AU42">
        <v>90</v>
      </c>
      <c r="AV42" s="21">
        <f t="shared" si="7"/>
        <v>91.25</v>
      </c>
      <c r="AW42">
        <v>45</v>
      </c>
      <c r="AX42">
        <v>0</v>
      </c>
      <c r="AY42">
        <v>0</v>
      </c>
      <c r="AZ42" s="21">
        <f t="shared" si="8"/>
        <v>30</v>
      </c>
      <c r="BA42">
        <v>0</v>
      </c>
      <c r="BB42">
        <v>0</v>
      </c>
      <c r="BC42">
        <v>0</v>
      </c>
      <c r="BD42" s="21">
        <f t="shared" si="9"/>
        <v>0</v>
      </c>
      <c r="BH42" s="21">
        <f t="shared" si="10"/>
        <v>0</v>
      </c>
      <c r="BI42">
        <v>22.7</v>
      </c>
      <c r="BJ42">
        <v>12.5</v>
      </c>
      <c r="BK42" s="18">
        <f t="shared" si="11"/>
        <v>44.933920704845818</v>
      </c>
      <c r="BL42" s="18">
        <f t="shared" si="12"/>
        <v>3.9735682819383271</v>
      </c>
      <c r="BM42" s="19">
        <f t="shared" si="13"/>
        <v>44781.973568281937</v>
      </c>
      <c r="BN42" s="71">
        <f t="shared" si="14"/>
        <v>96.973568281937332</v>
      </c>
      <c r="BO42">
        <v>6</v>
      </c>
      <c r="BP42" s="23">
        <f t="shared" si="15"/>
        <v>7.238999999999999</v>
      </c>
      <c r="BQ42">
        <v>9.15</v>
      </c>
      <c r="BR42" s="21">
        <v>8.5</v>
      </c>
      <c r="BS42" s="22">
        <f t="shared" si="16"/>
        <v>13370.495557541162</v>
      </c>
      <c r="BT42" s="22">
        <f t="shared" si="17"/>
        <v>248.55408408249596</v>
      </c>
      <c r="BU42">
        <v>100.3</v>
      </c>
      <c r="BV42" s="21">
        <v>5.3</v>
      </c>
      <c r="BW42" s="21">
        <v>5.09</v>
      </c>
      <c r="BX42" s="71">
        <f t="shared" si="18"/>
        <v>54.95289017341041</v>
      </c>
    </row>
    <row r="43" spans="2:76" x14ac:dyDescent="0.3">
      <c r="B43">
        <v>2022</v>
      </c>
      <c r="C43" t="s">
        <v>125</v>
      </c>
      <c r="D43">
        <v>212</v>
      </c>
      <c r="E43">
        <v>2</v>
      </c>
      <c r="F43">
        <v>27</v>
      </c>
      <c r="G43" t="s">
        <v>27</v>
      </c>
      <c r="H43">
        <v>9</v>
      </c>
      <c r="I43" t="s">
        <v>24</v>
      </c>
      <c r="J43">
        <v>70</v>
      </c>
      <c r="K43">
        <v>31</v>
      </c>
      <c r="L43" s="22">
        <f t="shared" si="0"/>
        <v>209.28305014504767</v>
      </c>
      <c r="M43">
        <v>36</v>
      </c>
      <c r="N43">
        <v>37</v>
      </c>
      <c r="O43">
        <v>34</v>
      </c>
      <c r="P43">
        <v>39</v>
      </c>
      <c r="Q43" s="21">
        <f t="shared" si="1"/>
        <v>36.5</v>
      </c>
      <c r="R43">
        <v>55</v>
      </c>
      <c r="S43">
        <v>58</v>
      </c>
      <c r="T43">
        <v>55</v>
      </c>
      <c r="U43">
        <v>55</v>
      </c>
      <c r="V43" s="21">
        <f t="shared" si="2"/>
        <v>55.75</v>
      </c>
      <c r="W43">
        <v>83</v>
      </c>
      <c r="X43">
        <v>85</v>
      </c>
      <c r="Y43">
        <v>87</v>
      </c>
      <c r="Z43">
        <v>82</v>
      </c>
      <c r="AA43" s="21">
        <f t="shared" si="3"/>
        <v>84.25</v>
      </c>
      <c r="AB43">
        <v>90</v>
      </c>
      <c r="AC43">
        <v>87</v>
      </c>
      <c r="AD43">
        <v>92</v>
      </c>
      <c r="AE43">
        <v>89</v>
      </c>
      <c r="AF43" s="21">
        <f t="shared" si="4"/>
        <v>89.5</v>
      </c>
      <c r="AG43" s="22">
        <v>86</v>
      </c>
      <c r="AH43" s="22">
        <v>90</v>
      </c>
      <c r="AI43" s="22">
        <v>87</v>
      </c>
      <c r="AJ43" s="22">
        <v>85</v>
      </c>
      <c r="AK43" s="21">
        <f t="shared" si="5"/>
        <v>87</v>
      </c>
      <c r="AL43" s="21"/>
      <c r="AM43" s="21"/>
      <c r="AN43" s="21"/>
      <c r="AO43" s="21"/>
      <c r="AP43" s="21" t="e">
        <f t="shared" si="6"/>
        <v>#DIV/0!</v>
      </c>
      <c r="AQ43" s="21"/>
      <c r="AR43">
        <v>86</v>
      </c>
      <c r="AS43">
        <v>90</v>
      </c>
      <c r="AT43">
        <v>87</v>
      </c>
      <c r="AU43">
        <v>85</v>
      </c>
      <c r="AV43" s="21">
        <f t="shared" si="7"/>
        <v>87</v>
      </c>
      <c r="AW43">
        <v>5</v>
      </c>
      <c r="AX43">
        <v>0</v>
      </c>
      <c r="AY43">
        <v>0</v>
      </c>
      <c r="AZ43" s="21">
        <f t="shared" si="8"/>
        <v>3.3333333333333335</v>
      </c>
      <c r="BA43">
        <v>0</v>
      </c>
      <c r="BB43">
        <v>0</v>
      </c>
      <c r="BC43">
        <v>0</v>
      </c>
      <c r="BD43" s="21">
        <f t="shared" si="9"/>
        <v>0</v>
      </c>
      <c r="BH43" s="21">
        <f t="shared" si="10"/>
        <v>0</v>
      </c>
      <c r="BI43">
        <v>33</v>
      </c>
      <c r="BJ43">
        <v>18.899999999999999</v>
      </c>
      <c r="BK43" s="18">
        <f t="shared" si="11"/>
        <v>42.727272727272734</v>
      </c>
      <c r="BL43" s="18">
        <f t="shared" si="12"/>
        <v>3.0909090909090935</v>
      </c>
      <c r="BM43" s="19">
        <f t="shared" si="13"/>
        <v>44781.090909090912</v>
      </c>
      <c r="BN43" s="71">
        <f t="shared" si="14"/>
        <v>96.090909090911737</v>
      </c>
      <c r="BO43">
        <v>6</v>
      </c>
      <c r="BP43" s="23">
        <f t="shared" si="15"/>
        <v>7.238999999999999</v>
      </c>
      <c r="BQ43">
        <v>8.8800000000000008</v>
      </c>
      <c r="BR43" s="21">
        <v>7.9</v>
      </c>
      <c r="BS43" s="22">
        <f t="shared" si="16"/>
        <v>13061.044582691542</v>
      </c>
      <c r="BT43" s="22">
        <f t="shared" si="17"/>
        <v>242.80146980644534</v>
      </c>
      <c r="BU43">
        <v>103.6</v>
      </c>
      <c r="BV43" s="21">
        <v>5.4</v>
      </c>
      <c r="BW43" s="21">
        <v>5.24</v>
      </c>
      <c r="BX43" s="71">
        <f t="shared" si="18"/>
        <v>56.644161849710983</v>
      </c>
    </row>
    <row r="44" spans="2:76" x14ac:dyDescent="0.3">
      <c r="B44">
        <v>2022</v>
      </c>
      <c r="C44" t="s">
        <v>125</v>
      </c>
      <c r="D44">
        <v>213</v>
      </c>
      <c r="E44">
        <v>2</v>
      </c>
      <c r="F44">
        <v>25</v>
      </c>
      <c r="G44" t="s">
        <v>27</v>
      </c>
      <c r="H44">
        <v>7</v>
      </c>
      <c r="I44" t="s">
        <v>22</v>
      </c>
      <c r="J44">
        <v>68</v>
      </c>
      <c r="K44">
        <v>60</v>
      </c>
      <c r="L44" s="22">
        <f t="shared" si="0"/>
        <v>265.23000414421881</v>
      </c>
      <c r="M44">
        <v>37</v>
      </c>
      <c r="N44">
        <v>38</v>
      </c>
      <c r="O44">
        <v>36</v>
      </c>
      <c r="P44">
        <v>45</v>
      </c>
      <c r="Q44" s="21">
        <f t="shared" si="1"/>
        <v>39</v>
      </c>
      <c r="R44">
        <v>55</v>
      </c>
      <c r="S44">
        <v>60</v>
      </c>
      <c r="T44">
        <v>60</v>
      </c>
      <c r="U44">
        <v>58</v>
      </c>
      <c r="V44" s="21">
        <f t="shared" si="2"/>
        <v>58.25</v>
      </c>
      <c r="W44">
        <v>83</v>
      </c>
      <c r="X44">
        <v>83</v>
      </c>
      <c r="Y44">
        <v>85</v>
      </c>
      <c r="Z44">
        <v>88</v>
      </c>
      <c r="AA44" s="21">
        <f t="shared" si="3"/>
        <v>84.75</v>
      </c>
      <c r="AB44">
        <v>87</v>
      </c>
      <c r="AC44">
        <v>88</v>
      </c>
      <c r="AD44">
        <v>83</v>
      </c>
      <c r="AE44">
        <v>84</v>
      </c>
      <c r="AF44" s="21">
        <f t="shared" si="4"/>
        <v>85.5</v>
      </c>
      <c r="AG44" s="22">
        <v>80</v>
      </c>
      <c r="AH44" s="22">
        <v>83</v>
      </c>
      <c r="AI44" s="22">
        <v>85</v>
      </c>
      <c r="AJ44" s="22">
        <v>81</v>
      </c>
      <c r="AK44" s="21">
        <f t="shared" si="5"/>
        <v>82.25</v>
      </c>
      <c r="AL44" s="21"/>
      <c r="AM44" s="21"/>
      <c r="AN44" s="21"/>
      <c r="AO44" s="21"/>
      <c r="AP44" s="21" t="e">
        <f t="shared" si="6"/>
        <v>#DIV/0!</v>
      </c>
      <c r="AQ44" s="21"/>
      <c r="AR44">
        <v>80</v>
      </c>
      <c r="AS44">
        <v>83</v>
      </c>
      <c r="AT44">
        <v>85</v>
      </c>
      <c r="AU44">
        <v>81</v>
      </c>
      <c r="AV44" s="21">
        <f t="shared" si="7"/>
        <v>82.25</v>
      </c>
      <c r="AW44">
        <v>5</v>
      </c>
      <c r="AX44">
        <v>0</v>
      </c>
      <c r="AY44">
        <v>0</v>
      </c>
      <c r="AZ44" s="21">
        <f t="shared" si="8"/>
        <v>3.3333333333333335</v>
      </c>
      <c r="BA44">
        <v>0</v>
      </c>
      <c r="BB44">
        <v>0</v>
      </c>
      <c r="BC44">
        <v>0</v>
      </c>
      <c r="BD44" s="21">
        <f t="shared" si="9"/>
        <v>0</v>
      </c>
      <c r="BH44" s="21">
        <f t="shared" si="10"/>
        <v>0</v>
      </c>
      <c r="BI44">
        <v>21</v>
      </c>
      <c r="BJ44">
        <v>11.7</v>
      </c>
      <c r="BK44" s="18">
        <f t="shared" si="11"/>
        <v>44.285714285714292</v>
      </c>
      <c r="BL44" s="18">
        <f t="shared" si="12"/>
        <v>3.7142857142857166</v>
      </c>
      <c r="BM44" s="19">
        <f t="shared" si="13"/>
        <v>44781.714285714283</v>
      </c>
      <c r="BN44" s="71">
        <f t="shared" si="14"/>
        <v>96.714285714282596</v>
      </c>
      <c r="BO44">
        <v>6</v>
      </c>
      <c r="BP44" s="23">
        <f t="shared" si="15"/>
        <v>7.238999999999999</v>
      </c>
      <c r="BQ44">
        <v>9.24</v>
      </c>
      <c r="BR44" s="21">
        <v>7.9</v>
      </c>
      <c r="BS44" s="22">
        <f t="shared" si="16"/>
        <v>13590.546390097956</v>
      </c>
      <c r="BT44" s="22">
        <f t="shared" si="17"/>
        <v>252.64477263643636</v>
      </c>
      <c r="BU44">
        <v>101.5</v>
      </c>
      <c r="BV44" s="21">
        <v>5.38</v>
      </c>
      <c r="BW44" s="21">
        <v>5.29</v>
      </c>
      <c r="BX44" s="71">
        <f t="shared" si="18"/>
        <v>56.80387283236994</v>
      </c>
    </row>
    <row r="45" spans="2:76" x14ac:dyDescent="0.3">
      <c r="B45">
        <v>2022</v>
      </c>
      <c r="C45" t="s">
        <v>125</v>
      </c>
      <c r="D45">
        <v>214</v>
      </c>
      <c r="E45">
        <v>2</v>
      </c>
      <c r="F45">
        <v>26</v>
      </c>
      <c r="G45" t="s">
        <v>27</v>
      </c>
      <c r="H45">
        <v>8</v>
      </c>
      <c r="I45" t="s">
        <v>23</v>
      </c>
      <c r="J45">
        <v>62</v>
      </c>
      <c r="K45">
        <v>65</v>
      </c>
      <c r="L45" s="22">
        <f t="shared" si="0"/>
        <v>263.15789473684214</v>
      </c>
      <c r="M45">
        <v>37</v>
      </c>
      <c r="N45">
        <v>38</v>
      </c>
      <c r="O45">
        <v>36</v>
      </c>
      <c r="P45">
        <v>28</v>
      </c>
      <c r="Q45" s="21">
        <f t="shared" si="1"/>
        <v>34.75</v>
      </c>
      <c r="R45">
        <v>55</v>
      </c>
      <c r="S45">
        <v>58</v>
      </c>
      <c r="T45">
        <v>58</v>
      </c>
      <c r="U45">
        <v>55</v>
      </c>
      <c r="V45" s="21">
        <f t="shared" si="2"/>
        <v>56.5</v>
      </c>
      <c r="W45">
        <v>81</v>
      </c>
      <c r="X45">
        <v>84</v>
      </c>
      <c r="Y45">
        <v>85</v>
      </c>
      <c r="Z45">
        <v>85</v>
      </c>
      <c r="AA45" s="21">
        <f t="shared" si="3"/>
        <v>83.75</v>
      </c>
      <c r="AB45">
        <v>89</v>
      </c>
      <c r="AC45">
        <v>91</v>
      </c>
      <c r="AD45">
        <v>87</v>
      </c>
      <c r="AE45">
        <v>96</v>
      </c>
      <c r="AF45" s="21">
        <f t="shared" si="4"/>
        <v>90.75</v>
      </c>
      <c r="AG45" s="22">
        <v>84</v>
      </c>
      <c r="AH45" s="22">
        <v>85</v>
      </c>
      <c r="AI45" s="22">
        <v>90</v>
      </c>
      <c r="AJ45" s="22">
        <v>91</v>
      </c>
      <c r="AK45" s="21">
        <f t="shared" si="5"/>
        <v>87.5</v>
      </c>
      <c r="AL45" s="21"/>
      <c r="AM45" s="21"/>
      <c r="AN45" s="21"/>
      <c r="AO45" s="21"/>
      <c r="AP45" s="21" t="e">
        <f t="shared" si="6"/>
        <v>#DIV/0!</v>
      </c>
      <c r="AQ45" s="21"/>
      <c r="AR45">
        <v>84</v>
      </c>
      <c r="AS45">
        <v>85</v>
      </c>
      <c r="AT45">
        <v>90</v>
      </c>
      <c r="AU45">
        <v>91</v>
      </c>
      <c r="AV45" s="21">
        <f t="shared" si="7"/>
        <v>87.5</v>
      </c>
      <c r="AW45">
        <v>5</v>
      </c>
      <c r="AX45">
        <v>15</v>
      </c>
      <c r="AY45">
        <v>0</v>
      </c>
      <c r="AZ45" s="21">
        <f t="shared" si="8"/>
        <v>8.3333333333333339</v>
      </c>
      <c r="BA45">
        <v>0</v>
      </c>
      <c r="BB45">
        <v>0</v>
      </c>
      <c r="BC45">
        <v>0</v>
      </c>
      <c r="BD45" s="21">
        <f t="shared" si="9"/>
        <v>0</v>
      </c>
      <c r="BH45" s="21">
        <f t="shared" si="10"/>
        <v>0</v>
      </c>
      <c r="BI45">
        <v>30</v>
      </c>
      <c r="BJ45">
        <v>16.8</v>
      </c>
      <c r="BK45" s="18">
        <f t="shared" si="11"/>
        <v>44</v>
      </c>
      <c r="BL45" s="18">
        <f t="shared" si="12"/>
        <v>3.6</v>
      </c>
      <c r="BM45" s="19">
        <f t="shared" si="13"/>
        <v>44781.599999999999</v>
      </c>
      <c r="BN45" s="71">
        <f t="shared" si="14"/>
        <v>96.599999999998545</v>
      </c>
      <c r="BO45">
        <v>6</v>
      </c>
      <c r="BP45" s="23">
        <f t="shared" si="15"/>
        <v>7.238999999999999</v>
      </c>
      <c r="BQ45">
        <v>8.99</v>
      </c>
      <c r="BR45" s="21">
        <v>7.7</v>
      </c>
      <c r="BS45" s="22">
        <f t="shared" si="16"/>
        <v>13251.550888052596</v>
      </c>
      <c r="BT45" s="22">
        <f t="shared" si="17"/>
        <v>246.34293317533673</v>
      </c>
      <c r="BU45">
        <v>99.7</v>
      </c>
      <c r="BV45" s="21">
        <v>5.26</v>
      </c>
      <c r="BW45" s="21">
        <v>5.2700000000000005</v>
      </c>
      <c r="BX45" s="71">
        <f t="shared" si="18"/>
        <v>56.180289017341053</v>
      </c>
    </row>
    <row r="46" spans="2:76" x14ac:dyDescent="0.3">
      <c r="B46">
        <v>2022</v>
      </c>
      <c r="C46" t="s">
        <v>125</v>
      </c>
      <c r="D46">
        <v>215</v>
      </c>
      <c r="E46">
        <v>2</v>
      </c>
      <c r="F46">
        <v>22</v>
      </c>
      <c r="G46" t="s">
        <v>27</v>
      </c>
      <c r="H46">
        <v>4</v>
      </c>
      <c r="I46" t="s">
        <v>19</v>
      </c>
      <c r="J46">
        <v>69</v>
      </c>
      <c r="K46">
        <v>63</v>
      </c>
      <c r="L46" s="22">
        <f t="shared" si="0"/>
        <v>273.51844177372567</v>
      </c>
      <c r="M46">
        <v>33</v>
      </c>
      <c r="N46">
        <v>34</v>
      </c>
      <c r="O46">
        <v>32</v>
      </c>
      <c r="P46">
        <v>35</v>
      </c>
      <c r="Q46" s="21">
        <f t="shared" si="1"/>
        <v>33.5</v>
      </c>
      <c r="R46">
        <v>45</v>
      </c>
      <c r="S46">
        <v>55</v>
      </c>
      <c r="T46">
        <v>60</v>
      </c>
      <c r="U46">
        <v>58</v>
      </c>
      <c r="V46" s="21">
        <f t="shared" si="2"/>
        <v>54.5</v>
      </c>
      <c r="W46">
        <v>82</v>
      </c>
      <c r="X46">
        <v>85</v>
      </c>
      <c r="Y46">
        <v>85</v>
      </c>
      <c r="Z46">
        <v>82</v>
      </c>
      <c r="AA46" s="21">
        <f t="shared" si="3"/>
        <v>83.5</v>
      </c>
      <c r="AB46">
        <v>96</v>
      </c>
      <c r="AC46">
        <v>91</v>
      </c>
      <c r="AD46">
        <v>90</v>
      </c>
      <c r="AE46">
        <v>91</v>
      </c>
      <c r="AF46" s="21"/>
      <c r="AG46" s="22">
        <v>87</v>
      </c>
      <c r="AH46" s="22">
        <v>85</v>
      </c>
      <c r="AI46" s="22">
        <v>91</v>
      </c>
      <c r="AJ46" s="22">
        <v>88</v>
      </c>
      <c r="AK46" s="21">
        <f t="shared" si="5"/>
        <v>87.75</v>
      </c>
      <c r="AL46" s="21"/>
      <c r="AM46" s="21"/>
      <c r="AN46" s="21"/>
      <c r="AO46" s="21"/>
      <c r="AP46" s="21" t="e">
        <f t="shared" si="6"/>
        <v>#DIV/0!</v>
      </c>
      <c r="AQ46" s="21"/>
      <c r="AR46">
        <v>87</v>
      </c>
      <c r="AS46">
        <v>85</v>
      </c>
      <c r="AT46">
        <v>91</v>
      </c>
      <c r="AU46">
        <v>88</v>
      </c>
      <c r="AV46" s="21">
        <f t="shared" si="7"/>
        <v>87.75</v>
      </c>
      <c r="AW46">
        <v>0</v>
      </c>
      <c r="AX46">
        <v>0</v>
      </c>
      <c r="AY46">
        <v>0</v>
      </c>
      <c r="AZ46" s="21">
        <f t="shared" si="8"/>
        <v>0</v>
      </c>
      <c r="BA46">
        <v>0</v>
      </c>
      <c r="BB46">
        <v>0</v>
      </c>
      <c r="BC46">
        <v>0</v>
      </c>
      <c r="BD46" s="21">
        <f t="shared" si="9"/>
        <v>0</v>
      </c>
      <c r="BH46" s="21">
        <f t="shared" si="10"/>
        <v>0</v>
      </c>
      <c r="BI46">
        <v>24</v>
      </c>
      <c r="BJ46">
        <v>13.1</v>
      </c>
      <c r="BK46" s="18">
        <f t="shared" si="11"/>
        <v>45.416666666666664</v>
      </c>
      <c r="BL46" s="18">
        <f t="shared" si="12"/>
        <v>4.1666666666666661</v>
      </c>
      <c r="BM46" s="19">
        <f t="shared" si="13"/>
        <v>44782.166666666664</v>
      </c>
      <c r="BN46" s="71">
        <f t="shared" si="14"/>
        <v>97.166666666664241</v>
      </c>
      <c r="BO46">
        <v>6</v>
      </c>
      <c r="BP46" s="23">
        <f t="shared" si="15"/>
        <v>7.238999999999999</v>
      </c>
      <c r="BQ46">
        <v>9.19</v>
      </c>
      <c r="BR46" s="21">
        <v>7.2</v>
      </c>
      <c r="BS46" s="22">
        <f t="shared" si="16"/>
        <v>13619.739576970282</v>
      </c>
      <c r="BT46" s="22">
        <f t="shared" si="17"/>
        <v>253.18746649496038</v>
      </c>
      <c r="BU46">
        <v>99.7</v>
      </c>
      <c r="BV46" s="21">
        <v>5.2799999999999994</v>
      </c>
      <c r="BW46" s="21">
        <v>5.2299999999999995</v>
      </c>
      <c r="BX46" s="71">
        <f t="shared" si="18"/>
        <v>56.377341040462412</v>
      </c>
    </row>
    <row r="47" spans="2:76" x14ac:dyDescent="0.3">
      <c r="B47">
        <v>2022</v>
      </c>
      <c r="C47" t="s">
        <v>125</v>
      </c>
      <c r="D47">
        <v>216</v>
      </c>
      <c r="E47">
        <v>2</v>
      </c>
      <c r="F47">
        <v>24</v>
      </c>
      <c r="G47" t="s">
        <v>27</v>
      </c>
      <c r="H47">
        <v>6</v>
      </c>
      <c r="I47" t="s">
        <v>21</v>
      </c>
      <c r="J47">
        <v>55</v>
      </c>
      <c r="K47">
        <v>46</v>
      </c>
      <c r="L47" s="22">
        <f t="shared" si="0"/>
        <v>209.28305014504767</v>
      </c>
      <c r="M47">
        <v>35</v>
      </c>
      <c r="N47">
        <v>37</v>
      </c>
      <c r="O47">
        <v>36</v>
      </c>
      <c r="P47">
        <v>39</v>
      </c>
      <c r="Q47" s="21">
        <f t="shared" si="1"/>
        <v>36.75</v>
      </c>
      <c r="R47">
        <v>65</v>
      </c>
      <c r="S47">
        <v>55</v>
      </c>
      <c r="T47">
        <v>55</v>
      </c>
      <c r="U47">
        <v>58</v>
      </c>
      <c r="V47" s="21">
        <f t="shared" si="2"/>
        <v>58.25</v>
      </c>
      <c r="W47">
        <v>84</v>
      </c>
      <c r="X47">
        <v>79</v>
      </c>
      <c r="Y47">
        <v>79</v>
      </c>
      <c r="Z47">
        <v>81</v>
      </c>
      <c r="AA47" s="21">
        <f t="shared" si="3"/>
        <v>80.75</v>
      </c>
      <c r="AB47">
        <v>83</v>
      </c>
      <c r="AC47">
        <v>84</v>
      </c>
      <c r="AD47">
        <v>79</v>
      </c>
      <c r="AE47">
        <v>85</v>
      </c>
      <c r="AF47" s="21">
        <f t="shared" si="4"/>
        <v>82.75</v>
      </c>
      <c r="AG47" s="22">
        <v>86</v>
      </c>
      <c r="AH47" s="22">
        <v>81</v>
      </c>
      <c r="AI47" s="22">
        <v>78</v>
      </c>
      <c r="AJ47" s="22">
        <v>79</v>
      </c>
      <c r="AK47" s="21">
        <f t="shared" si="5"/>
        <v>81</v>
      </c>
      <c r="AL47" s="21"/>
      <c r="AM47" s="21"/>
      <c r="AN47" s="21"/>
      <c r="AO47" s="21"/>
      <c r="AP47" s="21" t="e">
        <f t="shared" si="6"/>
        <v>#DIV/0!</v>
      </c>
      <c r="AQ47" s="21"/>
      <c r="AR47">
        <v>86</v>
      </c>
      <c r="AS47">
        <v>81</v>
      </c>
      <c r="AT47">
        <v>78</v>
      </c>
      <c r="AU47">
        <v>79</v>
      </c>
      <c r="AV47" s="21">
        <f t="shared" si="7"/>
        <v>81</v>
      </c>
      <c r="AW47">
        <v>5</v>
      </c>
      <c r="AX47">
        <v>0</v>
      </c>
      <c r="AY47">
        <v>0</v>
      </c>
      <c r="AZ47" s="21">
        <f t="shared" si="8"/>
        <v>3.3333333333333335</v>
      </c>
      <c r="BA47">
        <v>0</v>
      </c>
      <c r="BB47">
        <v>0</v>
      </c>
      <c r="BC47">
        <v>0</v>
      </c>
      <c r="BD47" s="21">
        <f t="shared" si="9"/>
        <v>0</v>
      </c>
      <c r="BH47" s="21">
        <f t="shared" si="10"/>
        <v>0</v>
      </c>
      <c r="BI47">
        <v>20.3</v>
      </c>
      <c r="BJ47">
        <v>11.1</v>
      </c>
      <c r="BK47" s="18">
        <f t="shared" si="11"/>
        <v>45.320197044334982</v>
      </c>
      <c r="BL47" s="18">
        <f t="shared" si="12"/>
        <v>4.1280788177339929</v>
      </c>
      <c r="BM47" s="19">
        <f t="shared" si="13"/>
        <v>44782.128078817732</v>
      </c>
      <c r="BN47" s="71">
        <f t="shared" si="14"/>
        <v>97.128078817731875</v>
      </c>
      <c r="BO47">
        <v>6</v>
      </c>
      <c r="BP47" s="23">
        <f t="shared" si="15"/>
        <v>7.238999999999999</v>
      </c>
      <c r="BQ47">
        <v>8.8000000000000007</v>
      </c>
      <c r="BR47" s="21">
        <v>8.1</v>
      </c>
      <c r="BS47" s="22">
        <f t="shared" si="16"/>
        <v>12915.270288506304</v>
      </c>
      <c r="BT47" s="22">
        <f t="shared" si="17"/>
        <v>240.0915630555659</v>
      </c>
      <c r="BU47">
        <v>98.4</v>
      </c>
      <c r="BV47" s="21">
        <v>5.26</v>
      </c>
      <c r="BW47" s="21">
        <v>5.0299999999999994</v>
      </c>
      <c r="BX47" s="71">
        <f t="shared" si="18"/>
        <v>54.661907514450867</v>
      </c>
    </row>
    <row r="48" spans="2:76" x14ac:dyDescent="0.3">
      <c r="B48">
        <v>2022</v>
      </c>
      <c r="C48" t="s">
        <v>125</v>
      </c>
      <c r="D48">
        <v>217</v>
      </c>
      <c r="E48">
        <v>2</v>
      </c>
      <c r="F48">
        <v>21</v>
      </c>
      <c r="G48" t="s">
        <v>27</v>
      </c>
      <c r="H48">
        <v>3</v>
      </c>
      <c r="I48" t="s">
        <v>18</v>
      </c>
      <c r="J48">
        <v>55</v>
      </c>
      <c r="K48">
        <v>53</v>
      </c>
      <c r="L48" s="22">
        <f t="shared" si="0"/>
        <v>223.78781599668463</v>
      </c>
      <c r="M48">
        <v>37</v>
      </c>
      <c r="N48">
        <v>38</v>
      </c>
      <c r="O48">
        <v>47</v>
      </c>
      <c r="P48">
        <v>40</v>
      </c>
      <c r="Q48" s="21">
        <f t="shared" si="1"/>
        <v>40.5</v>
      </c>
      <c r="R48">
        <v>50</v>
      </c>
      <c r="S48">
        <v>55</v>
      </c>
      <c r="T48">
        <v>58</v>
      </c>
      <c r="U48">
        <v>56</v>
      </c>
      <c r="V48" s="21">
        <f t="shared" si="2"/>
        <v>54.75</v>
      </c>
      <c r="W48">
        <v>80</v>
      </c>
      <c r="X48">
        <v>84</v>
      </c>
      <c r="Y48">
        <v>84</v>
      </c>
      <c r="Z48">
        <v>87</v>
      </c>
      <c r="AA48" s="21">
        <f t="shared" si="3"/>
        <v>83.75</v>
      </c>
      <c r="AB48">
        <v>98</v>
      </c>
      <c r="AC48">
        <v>95</v>
      </c>
      <c r="AD48">
        <v>98</v>
      </c>
      <c r="AE48">
        <v>95</v>
      </c>
      <c r="AF48" s="21">
        <f t="shared" si="4"/>
        <v>96.5</v>
      </c>
      <c r="AG48" s="22">
        <v>96</v>
      </c>
      <c r="AH48" s="22">
        <v>85</v>
      </c>
      <c r="AI48" s="22">
        <v>89</v>
      </c>
      <c r="AJ48" s="22">
        <v>88</v>
      </c>
      <c r="AK48" s="21">
        <f t="shared" si="5"/>
        <v>89.5</v>
      </c>
      <c r="AL48" s="21"/>
      <c r="AM48" s="21"/>
      <c r="AN48" s="21"/>
      <c r="AO48" s="21"/>
      <c r="AP48" s="21" t="e">
        <f t="shared" si="6"/>
        <v>#DIV/0!</v>
      </c>
      <c r="AQ48" s="21"/>
      <c r="AR48">
        <v>96</v>
      </c>
      <c r="AS48">
        <v>85</v>
      </c>
      <c r="AT48">
        <v>89</v>
      </c>
      <c r="AU48">
        <v>88</v>
      </c>
      <c r="AV48" s="21">
        <f t="shared" si="7"/>
        <v>89.5</v>
      </c>
      <c r="AW48">
        <v>5</v>
      </c>
      <c r="AX48">
        <v>20</v>
      </c>
      <c r="AY48">
        <v>0</v>
      </c>
      <c r="AZ48" s="21">
        <f t="shared" si="8"/>
        <v>10</v>
      </c>
      <c r="BA48">
        <v>0</v>
      </c>
      <c r="BB48">
        <v>0</v>
      </c>
      <c r="BC48">
        <v>20</v>
      </c>
      <c r="BD48" s="21">
        <f t="shared" si="9"/>
        <v>20</v>
      </c>
      <c r="BH48" s="21">
        <f t="shared" si="10"/>
        <v>0</v>
      </c>
      <c r="BI48">
        <v>29.5</v>
      </c>
      <c r="BJ48">
        <v>16.399999999999999</v>
      </c>
      <c r="BK48" s="18">
        <f t="shared" si="11"/>
        <v>44.406779661016955</v>
      </c>
      <c r="BL48" s="18">
        <f t="shared" si="12"/>
        <v>3.7627118644067821</v>
      </c>
      <c r="BM48" s="19">
        <f t="shared" si="13"/>
        <v>44781.762711864409</v>
      </c>
      <c r="BN48" s="71">
        <f t="shared" si="14"/>
        <v>96.762711864408629</v>
      </c>
      <c r="BO48">
        <v>6</v>
      </c>
      <c r="BP48" s="23">
        <f t="shared" si="15"/>
        <v>7.238999999999999</v>
      </c>
      <c r="BQ48">
        <v>9.06</v>
      </c>
      <c r="BR48" s="21">
        <v>8.1999999999999993</v>
      </c>
      <c r="BS48" s="22">
        <f t="shared" si="16"/>
        <v>13282.388986439064</v>
      </c>
      <c r="BT48" s="22">
        <f t="shared" si="17"/>
        <v>246.91620551713643</v>
      </c>
      <c r="BU48">
        <v>116.9</v>
      </c>
      <c r="BV48" s="21">
        <v>5.4700000000000006</v>
      </c>
      <c r="BW48" s="21">
        <v>5.2</v>
      </c>
      <c r="BX48" s="71">
        <f t="shared" si="18"/>
        <v>56.618843930635848</v>
      </c>
    </row>
    <row r="49" spans="2:76" x14ac:dyDescent="0.3">
      <c r="B49">
        <v>2022</v>
      </c>
      <c r="C49" t="s">
        <v>125</v>
      </c>
      <c r="D49">
        <v>218</v>
      </c>
      <c r="E49">
        <v>2</v>
      </c>
      <c r="F49">
        <v>19</v>
      </c>
      <c r="G49" t="s">
        <v>27</v>
      </c>
      <c r="H49">
        <v>1</v>
      </c>
      <c r="I49" t="s">
        <v>16</v>
      </c>
      <c r="J49">
        <v>48</v>
      </c>
      <c r="K49">
        <v>53</v>
      </c>
      <c r="L49" s="22">
        <f t="shared" si="0"/>
        <v>209.28305014504767</v>
      </c>
      <c r="M49">
        <v>38</v>
      </c>
      <c r="N49">
        <v>35</v>
      </c>
      <c r="O49">
        <v>34</v>
      </c>
      <c r="P49">
        <v>37</v>
      </c>
      <c r="Q49" s="21">
        <f t="shared" si="1"/>
        <v>36</v>
      </c>
      <c r="R49">
        <v>60</v>
      </c>
      <c r="S49">
        <v>54</v>
      </c>
      <c r="T49">
        <v>48</v>
      </c>
      <c r="U49">
        <v>53</v>
      </c>
      <c r="V49" s="21">
        <f t="shared" si="2"/>
        <v>53.75</v>
      </c>
      <c r="W49">
        <v>87</v>
      </c>
      <c r="X49">
        <v>87</v>
      </c>
      <c r="Y49">
        <v>84</v>
      </c>
      <c r="Z49">
        <v>84</v>
      </c>
      <c r="AA49" s="21">
        <f t="shared" si="3"/>
        <v>85.5</v>
      </c>
      <c r="AB49">
        <v>92</v>
      </c>
      <c r="AC49">
        <v>94</v>
      </c>
      <c r="AD49">
        <v>96</v>
      </c>
      <c r="AE49">
        <v>98</v>
      </c>
      <c r="AF49" s="21">
        <f t="shared" si="4"/>
        <v>95</v>
      </c>
      <c r="AG49" s="22">
        <v>94</v>
      </c>
      <c r="AH49" s="22">
        <v>94</v>
      </c>
      <c r="AI49" s="22">
        <v>94</v>
      </c>
      <c r="AJ49" s="22">
        <v>105</v>
      </c>
      <c r="AK49" s="21">
        <f t="shared" si="5"/>
        <v>96.75</v>
      </c>
      <c r="AL49" s="21"/>
      <c r="AM49" s="21"/>
      <c r="AN49" s="21"/>
      <c r="AO49" s="21"/>
      <c r="AP49" s="21" t="e">
        <f t="shared" si="6"/>
        <v>#DIV/0!</v>
      </c>
      <c r="AQ49" s="21"/>
      <c r="AR49">
        <v>94</v>
      </c>
      <c r="AS49">
        <v>94</v>
      </c>
      <c r="AT49">
        <v>94</v>
      </c>
      <c r="AU49">
        <v>105</v>
      </c>
      <c r="AV49" s="21">
        <f t="shared" si="7"/>
        <v>96.75</v>
      </c>
      <c r="AW49">
        <v>5</v>
      </c>
      <c r="AX49">
        <v>0</v>
      </c>
      <c r="AY49">
        <v>20</v>
      </c>
      <c r="AZ49" s="21">
        <f t="shared" si="8"/>
        <v>23.333333333333332</v>
      </c>
      <c r="BA49">
        <v>0</v>
      </c>
      <c r="BB49">
        <v>0</v>
      </c>
      <c r="BC49">
        <v>15</v>
      </c>
      <c r="BD49" s="21">
        <f t="shared" si="9"/>
        <v>15</v>
      </c>
      <c r="BH49" s="21">
        <f t="shared" si="10"/>
        <v>0</v>
      </c>
      <c r="BI49">
        <v>24</v>
      </c>
      <c r="BJ49">
        <v>12.4</v>
      </c>
      <c r="BK49" s="18">
        <f t="shared" si="11"/>
        <v>48.333333333333336</v>
      </c>
      <c r="BL49" s="18">
        <f t="shared" si="12"/>
        <v>5.3333333333333339</v>
      </c>
      <c r="BM49" s="19">
        <f t="shared" si="13"/>
        <v>44783.333333333336</v>
      </c>
      <c r="BN49" s="71">
        <f t="shared" si="14"/>
        <v>98.333333333335759</v>
      </c>
      <c r="BO49">
        <v>6</v>
      </c>
      <c r="BP49" s="23">
        <f t="shared" si="15"/>
        <v>7.238999999999999</v>
      </c>
      <c r="BQ49">
        <v>8.52</v>
      </c>
      <c r="BR49" s="21">
        <v>7.4</v>
      </c>
      <c r="BS49" s="22">
        <f t="shared" si="16"/>
        <v>12599.575037908824</v>
      </c>
      <c r="BT49" s="22">
        <f t="shared" si="17"/>
        <v>234.22286929445889</v>
      </c>
      <c r="BU49">
        <v>96.9</v>
      </c>
      <c r="BV49" s="21">
        <v>5.2299999999999995</v>
      </c>
      <c r="BW49" s="21">
        <v>5.18</v>
      </c>
      <c r="BX49" s="71">
        <f t="shared" si="18"/>
        <v>55.720578034682077</v>
      </c>
    </row>
    <row r="50" spans="2:76" x14ac:dyDescent="0.3">
      <c r="B50">
        <v>2022</v>
      </c>
      <c r="C50" t="s">
        <v>125</v>
      </c>
      <c r="D50">
        <v>219</v>
      </c>
      <c r="E50">
        <v>2</v>
      </c>
      <c r="F50">
        <v>9</v>
      </c>
      <c r="G50" t="s">
        <v>15</v>
      </c>
      <c r="H50">
        <v>9</v>
      </c>
      <c r="I50" t="s">
        <v>24</v>
      </c>
      <c r="J50">
        <v>60</v>
      </c>
      <c r="K50">
        <v>43</v>
      </c>
      <c r="L50" s="22">
        <f t="shared" si="0"/>
        <v>213.4272689598011</v>
      </c>
      <c r="M50">
        <v>37</v>
      </c>
      <c r="N50">
        <v>38</v>
      </c>
      <c r="O50">
        <v>35</v>
      </c>
      <c r="P50">
        <v>35</v>
      </c>
      <c r="Q50" s="21">
        <f t="shared" si="1"/>
        <v>36.25</v>
      </c>
      <c r="R50">
        <v>58</v>
      </c>
      <c r="S50">
        <v>60</v>
      </c>
      <c r="T50">
        <v>62</v>
      </c>
      <c r="U50">
        <v>63</v>
      </c>
      <c r="V50" s="21">
        <f t="shared" si="2"/>
        <v>60.75</v>
      </c>
      <c r="W50">
        <v>79</v>
      </c>
      <c r="X50">
        <v>86</v>
      </c>
      <c r="Y50">
        <v>75</v>
      </c>
      <c r="Z50">
        <v>78</v>
      </c>
      <c r="AA50" s="21">
        <f t="shared" si="3"/>
        <v>79.5</v>
      </c>
      <c r="AB50">
        <v>89</v>
      </c>
      <c r="AC50">
        <v>88</v>
      </c>
      <c r="AD50">
        <v>96</v>
      </c>
      <c r="AE50">
        <v>93</v>
      </c>
      <c r="AF50" s="21">
        <f t="shared" si="4"/>
        <v>91.5</v>
      </c>
      <c r="AG50" s="22">
        <v>102</v>
      </c>
      <c r="AH50" s="22">
        <v>95</v>
      </c>
      <c r="AI50" s="22">
        <v>99</v>
      </c>
      <c r="AJ50" s="22">
        <v>103</v>
      </c>
      <c r="AK50" s="21">
        <f t="shared" si="5"/>
        <v>99.75</v>
      </c>
      <c r="AL50" s="21"/>
      <c r="AM50" s="21"/>
      <c r="AN50" s="21"/>
      <c r="AO50" s="21"/>
      <c r="AP50" s="21" t="e">
        <f t="shared" si="6"/>
        <v>#DIV/0!</v>
      </c>
      <c r="AQ50" s="21"/>
      <c r="AR50">
        <v>102</v>
      </c>
      <c r="AS50">
        <v>95</v>
      </c>
      <c r="AT50">
        <v>99</v>
      </c>
      <c r="AU50">
        <v>103</v>
      </c>
      <c r="AV50" s="21">
        <f t="shared" si="7"/>
        <v>99.75</v>
      </c>
      <c r="AW50">
        <v>0</v>
      </c>
      <c r="AX50">
        <v>0</v>
      </c>
      <c r="AY50">
        <v>0</v>
      </c>
      <c r="AZ50" s="21">
        <f t="shared" si="8"/>
        <v>0</v>
      </c>
      <c r="BA50">
        <v>0</v>
      </c>
      <c r="BB50">
        <v>0</v>
      </c>
      <c r="BC50">
        <v>0</v>
      </c>
      <c r="BD50" s="21">
        <f t="shared" si="9"/>
        <v>0</v>
      </c>
      <c r="BH50" s="21">
        <f t="shared" si="10"/>
        <v>0</v>
      </c>
      <c r="BI50">
        <v>25.6</v>
      </c>
      <c r="BJ50">
        <v>13.7</v>
      </c>
      <c r="BK50" s="18">
        <f t="shared" si="11"/>
        <v>46.484375000000007</v>
      </c>
      <c r="BL50" s="18">
        <f t="shared" si="12"/>
        <v>4.5937500000000027</v>
      </c>
      <c r="BM50" s="19">
        <f t="shared" si="13"/>
        <v>44782.59375</v>
      </c>
      <c r="BN50" s="71">
        <f t="shared" si="14"/>
        <v>97.59375</v>
      </c>
      <c r="BO50">
        <v>6</v>
      </c>
      <c r="BP50" s="23">
        <f t="shared" si="15"/>
        <v>7.238999999999999</v>
      </c>
      <c r="BQ50">
        <v>9.15</v>
      </c>
      <c r="BR50" s="21">
        <v>8.3000000000000007</v>
      </c>
      <c r="BS50" s="22">
        <f t="shared" si="16"/>
        <v>13399.720684442893</v>
      </c>
      <c r="BT50" s="22">
        <f t="shared" si="17"/>
        <v>249.09737169797685</v>
      </c>
      <c r="BU50">
        <v>100.6</v>
      </c>
      <c r="BV50" s="21">
        <v>4.7</v>
      </c>
      <c r="BW50" s="21">
        <v>4.7799999999999994</v>
      </c>
      <c r="BX50" s="71">
        <f t="shared" si="18"/>
        <v>50.249479768786131</v>
      </c>
    </row>
    <row r="51" spans="2:76" x14ac:dyDescent="0.3">
      <c r="B51">
        <v>2022</v>
      </c>
      <c r="C51" t="s">
        <v>125</v>
      </c>
      <c r="D51">
        <v>220</v>
      </c>
      <c r="E51">
        <v>2</v>
      </c>
      <c r="F51">
        <v>3</v>
      </c>
      <c r="G51" t="s">
        <v>15</v>
      </c>
      <c r="H51">
        <v>3</v>
      </c>
      <c r="I51" t="s">
        <v>18</v>
      </c>
      <c r="J51">
        <v>52</v>
      </c>
      <c r="K51">
        <v>39</v>
      </c>
      <c r="L51" s="22">
        <f t="shared" si="0"/>
        <v>188.56195607128058</v>
      </c>
      <c r="M51">
        <v>36</v>
      </c>
      <c r="N51">
        <v>27</v>
      </c>
      <c r="O51">
        <v>35</v>
      </c>
      <c r="P51">
        <v>38</v>
      </c>
      <c r="Q51" s="21">
        <f t="shared" si="1"/>
        <v>34</v>
      </c>
      <c r="R51">
        <v>60</v>
      </c>
      <c r="S51">
        <v>64</v>
      </c>
      <c r="T51">
        <v>61</v>
      </c>
      <c r="U51">
        <v>59</v>
      </c>
      <c r="V51" s="21">
        <f t="shared" si="2"/>
        <v>61</v>
      </c>
      <c r="W51">
        <v>87</v>
      </c>
      <c r="X51">
        <v>83</v>
      </c>
      <c r="Y51">
        <v>87</v>
      </c>
      <c r="Z51">
        <v>83</v>
      </c>
      <c r="AA51" s="21">
        <f t="shared" si="3"/>
        <v>85</v>
      </c>
      <c r="AB51">
        <v>102</v>
      </c>
      <c r="AC51">
        <v>102</v>
      </c>
      <c r="AD51">
        <v>102</v>
      </c>
      <c r="AE51">
        <v>103</v>
      </c>
      <c r="AF51" s="21">
        <f t="shared" si="4"/>
        <v>102.25</v>
      </c>
      <c r="AG51" s="22">
        <v>107</v>
      </c>
      <c r="AH51" s="22">
        <v>111</v>
      </c>
      <c r="AI51" s="22">
        <v>112</v>
      </c>
      <c r="AJ51" s="22">
        <v>109</v>
      </c>
      <c r="AK51" s="21">
        <f t="shared" si="5"/>
        <v>109.75</v>
      </c>
      <c r="AL51" s="21"/>
      <c r="AM51" s="21"/>
      <c r="AN51" s="21"/>
      <c r="AO51" s="21"/>
      <c r="AP51" s="21" t="e">
        <f t="shared" si="6"/>
        <v>#DIV/0!</v>
      </c>
      <c r="AQ51" s="21"/>
      <c r="AR51">
        <v>107</v>
      </c>
      <c r="AS51">
        <v>111</v>
      </c>
      <c r="AT51">
        <v>112</v>
      </c>
      <c r="AU51">
        <v>109</v>
      </c>
      <c r="AV51" s="21">
        <f t="shared" si="7"/>
        <v>109.75</v>
      </c>
      <c r="AW51">
        <v>5</v>
      </c>
      <c r="AX51">
        <v>0</v>
      </c>
      <c r="AY51">
        <v>0</v>
      </c>
      <c r="AZ51" s="21">
        <f t="shared" si="8"/>
        <v>3.3333333333333335</v>
      </c>
      <c r="BA51">
        <v>0</v>
      </c>
      <c r="BB51">
        <v>0</v>
      </c>
      <c r="BC51">
        <v>0</v>
      </c>
      <c r="BD51" s="21">
        <f t="shared" si="9"/>
        <v>0</v>
      </c>
      <c r="BH51" s="21">
        <f t="shared" si="10"/>
        <v>0</v>
      </c>
      <c r="BI51">
        <v>22.4</v>
      </c>
      <c r="BJ51">
        <v>12.1</v>
      </c>
      <c r="BK51" s="18">
        <f t="shared" si="11"/>
        <v>45.982142857142854</v>
      </c>
      <c r="BL51" s="18">
        <f t="shared" si="12"/>
        <v>4.3928571428571415</v>
      </c>
      <c r="BM51" s="19">
        <f t="shared" si="13"/>
        <v>44782.392857142855</v>
      </c>
      <c r="BN51" s="71">
        <f t="shared" si="14"/>
        <v>97.392857142855064</v>
      </c>
      <c r="BO51">
        <v>6</v>
      </c>
      <c r="BP51" s="23">
        <f t="shared" si="15"/>
        <v>7.238999999999999</v>
      </c>
      <c r="BQ51">
        <v>8.94</v>
      </c>
      <c r="BR51" s="21">
        <v>8.6999999999999993</v>
      </c>
      <c r="BS51" s="22">
        <f t="shared" si="16"/>
        <v>13035.077338788689</v>
      </c>
      <c r="BT51" s="22">
        <f t="shared" si="17"/>
        <v>242.31874540055898</v>
      </c>
      <c r="BU51">
        <v>98.7</v>
      </c>
      <c r="BV51" s="21">
        <v>4.9000000000000004</v>
      </c>
      <c r="BW51" s="21">
        <v>4.83</v>
      </c>
      <c r="BX51" s="71">
        <f t="shared" si="18"/>
        <v>51.349653179190753</v>
      </c>
    </row>
    <row r="52" spans="2:76" x14ac:dyDescent="0.3">
      <c r="B52">
        <v>2022</v>
      </c>
      <c r="C52" t="s">
        <v>125</v>
      </c>
      <c r="D52">
        <v>221</v>
      </c>
      <c r="E52">
        <v>2</v>
      </c>
      <c r="F52">
        <v>2</v>
      </c>
      <c r="G52" t="s">
        <v>15</v>
      </c>
      <c r="H52">
        <v>2</v>
      </c>
      <c r="I52" t="s">
        <v>17</v>
      </c>
      <c r="J52">
        <v>51</v>
      </c>
      <c r="K52">
        <v>56</v>
      </c>
      <c r="L52" s="22">
        <f t="shared" si="0"/>
        <v>221.71570658930793</v>
      </c>
      <c r="M52">
        <v>37</v>
      </c>
      <c r="N52">
        <v>39</v>
      </c>
      <c r="O52">
        <v>40</v>
      </c>
      <c r="P52">
        <v>35</v>
      </c>
      <c r="Q52" s="21">
        <f t="shared" si="1"/>
        <v>37.75</v>
      </c>
      <c r="R52">
        <f>60</f>
        <v>60</v>
      </c>
      <c r="S52">
        <v>63</v>
      </c>
      <c r="T52">
        <v>62</v>
      </c>
      <c r="U52">
        <v>65</v>
      </c>
      <c r="V52" s="21">
        <f t="shared" si="2"/>
        <v>62.5</v>
      </c>
      <c r="W52">
        <v>83</v>
      </c>
      <c r="X52">
        <v>87</v>
      </c>
      <c r="Y52">
        <v>91</v>
      </c>
      <c r="Z52">
        <v>88</v>
      </c>
      <c r="AA52" s="21">
        <f t="shared" si="3"/>
        <v>87.25</v>
      </c>
      <c r="AB52">
        <v>111</v>
      </c>
      <c r="AC52">
        <v>109</v>
      </c>
      <c r="AD52">
        <v>104</v>
      </c>
      <c r="AE52">
        <v>106</v>
      </c>
      <c r="AF52" s="21">
        <f t="shared" si="4"/>
        <v>107.5</v>
      </c>
      <c r="AG52" s="22">
        <v>109</v>
      </c>
      <c r="AH52" s="22">
        <v>113</v>
      </c>
      <c r="AI52" s="22">
        <v>113</v>
      </c>
      <c r="AJ52" s="22">
        <v>114</v>
      </c>
      <c r="AK52" s="21">
        <f t="shared" si="5"/>
        <v>112.25</v>
      </c>
      <c r="AL52" s="21"/>
      <c r="AM52" s="21"/>
      <c r="AN52" s="21"/>
      <c r="AO52" s="21"/>
      <c r="AP52" s="21" t="e">
        <f t="shared" si="6"/>
        <v>#DIV/0!</v>
      </c>
      <c r="AQ52" s="21"/>
      <c r="AR52">
        <v>109</v>
      </c>
      <c r="AS52">
        <v>113</v>
      </c>
      <c r="AT52">
        <v>113</v>
      </c>
      <c r="AU52">
        <v>114</v>
      </c>
      <c r="AV52" s="21">
        <f t="shared" si="7"/>
        <v>112.25</v>
      </c>
      <c r="AW52">
        <v>0</v>
      </c>
      <c r="AX52">
        <v>0</v>
      </c>
      <c r="AY52">
        <v>0</v>
      </c>
      <c r="AZ52" s="21">
        <f t="shared" si="8"/>
        <v>0</v>
      </c>
      <c r="BA52">
        <v>0</v>
      </c>
      <c r="BB52">
        <v>0</v>
      </c>
      <c r="BC52">
        <v>0</v>
      </c>
      <c r="BD52" s="21">
        <f t="shared" si="9"/>
        <v>0</v>
      </c>
      <c r="BH52" s="21">
        <f t="shared" si="10"/>
        <v>0</v>
      </c>
      <c r="BI52">
        <v>36.4</v>
      </c>
      <c r="BJ52">
        <v>21.2</v>
      </c>
      <c r="BK52" s="18">
        <f t="shared" si="11"/>
        <v>41.758241758241759</v>
      </c>
      <c r="BL52" s="18">
        <f t="shared" si="12"/>
        <v>2.7032967032967035</v>
      </c>
      <c r="BM52" s="19">
        <f t="shared" si="13"/>
        <v>44780.703296703294</v>
      </c>
      <c r="BN52" s="71">
        <f t="shared" si="14"/>
        <v>95.703296703293745</v>
      </c>
      <c r="BO52">
        <v>6</v>
      </c>
      <c r="BP52" s="23">
        <f t="shared" si="15"/>
        <v>7.238999999999999</v>
      </c>
      <c r="BQ52">
        <v>9.2200000000000006</v>
      </c>
      <c r="BR52" s="21">
        <v>8.6</v>
      </c>
      <c r="BS52" s="22">
        <f t="shared" si="16"/>
        <v>13458.059148143451</v>
      </c>
      <c r="BT52" s="22">
        <f t="shared" si="17"/>
        <v>250.18186877958979</v>
      </c>
      <c r="BU52">
        <v>99.3</v>
      </c>
      <c r="BV52" s="21">
        <v>4.76</v>
      </c>
      <c r="BW52" s="21">
        <v>4.58</v>
      </c>
      <c r="BX52" s="71">
        <f t="shared" si="18"/>
        <v>49.345433526011568</v>
      </c>
    </row>
    <row r="53" spans="2:76" x14ac:dyDescent="0.3">
      <c r="B53">
        <v>2022</v>
      </c>
      <c r="C53" t="s">
        <v>125</v>
      </c>
      <c r="D53">
        <v>222</v>
      </c>
      <c r="E53">
        <v>2</v>
      </c>
      <c r="F53">
        <v>7</v>
      </c>
      <c r="G53" t="s">
        <v>15</v>
      </c>
      <c r="H53">
        <v>7</v>
      </c>
      <c r="I53" t="s">
        <v>22</v>
      </c>
      <c r="J53">
        <v>49</v>
      </c>
      <c r="K53">
        <v>41</v>
      </c>
      <c r="L53" s="22">
        <f t="shared" si="0"/>
        <v>186.48984666390388</v>
      </c>
      <c r="M53">
        <v>35</v>
      </c>
      <c r="N53">
        <v>36</v>
      </c>
      <c r="O53">
        <v>37</v>
      </c>
      <c r="P53">
        <v>34</v>
      </c>
      <c r="Q53" s="21">
        <f t="shared" si="1"/>
        <v>35.5</v>
      </c>
      <c r="R53">
        <v>63</v>
      </c>
      <c r="S53">
        <v>62</v>
      </c>
      <c r="T53">
        <v>64</v>
      </c>
      <c r="U53">
        <v>66</v>
      </c>
      <c r="V53" s="21">
        <f t="shared" si="2"/>
        <v>63.75</v>
      </c>
      <c r="W53">
        <v>76</v>
      </c>
      <c r="X53">
        <v>81</v>
      </c>
      <c r="Y53">
        <v>79</v>
      </c>
      <c r="Z53">
        <v>86</v>
      </c>
      <c r="AA53" s="21">
        <f t="shared" si="3"/>
        <v>80.5</v>
      </c>
      <c r="AB53">
        <v>90</v>
      </c>
      <c r="AC53">
        <v>95</v>
      </c>
      <c r="AD53">
        <v>96</v>
      </c>
      <c r="AE53">
        <v>97</v>
      </c>
      <c r="AF53" s="21">
        <f t="shared" si="4"/>
        <v>94.5</v>
      </c>
      <c r="AG53" s="22">
        <v>109</v>
      </c>
      <c r="AH53" s="22">
        <v>101</v>
      </c>
      <c r="AI53" s="22">
        <v>107</v>
      </c>
      <c r="AJ53" s="22">
        <v>110</v>
      </c>
      <c r="AK53" s="21">
        <f t="shared" si="5"/>
        <v>106.75</v>
      </c>
      <c r="AL53" s="21"/>
      <c r="AM53" s="21"/>
      <c r="AN53" s="21"/>
      <c r="AO53" s="21"/>
      <c r="AP53" s="21" t="e">
        <f t="shared" si="6"/>
        <v>#DIV/0!</v>
      </c>
      <c r="AQ53" s="21"/>
      <c r="AR53">
        <v>109</v>
      </c>
      <c r="AS53">
        <v>101</v>
      </c>
      <c r="AT53">
        <v>107</v>
      </c>
      <c r="AU53">
        <v>110</v>
      </c>
      <c r="AV53" s="21">
        <f t="shared" si="7"/>
        <v>106.75</v>
      </c>
      <c r="AW53">
        <v>0</v>
      </c>
      <c r="AX53">
        <v>0</v>
      </c>
      <c r="AY53">
        <v>0</v>
      </c>
      <c r="AZ53" s="21">
        <f t="shared" si="8"/>
        <v>0</v>
      </c>
      <c r="BA53">
        <v>0</v>
      </c>
      <c r="BB53">
        <v>0</v>
      </c>
      <c r="BC53">
        <v>0</v>
      </c>
      <c r="BD53" s="21">
        <f t="shared" si="9"/>
        <v>0</v>
      </c>
      <c r="BH53" s="21">
        <f t="shared" si="10"/>
        <v>0</v>
      </c>
      <c r="BI53">
        <v>26.8</v>
      </c>
      <c r="BJ53">
        <v>14.5</v>
      </c>
      <c r="BK53" s="18">
        <f t="shared" si="11"/>
        <v>45.895522388059703</v>
      </c>
      <c r="BL53" s="18">
        <f t="shared" si="12"/>
        <v>4.3582089552238816</v>
      </c>
      <c r="BM53" s="19">
        <f t="shared" si="13"/>
        <v>44782.358208955222</v>
      </c>
      <c r="BN53" s="71">
        <f t="shared" si="14"/>
        <v>97.358208955221926</v>
      </c>
      <c r="BO53">
        <v>6</v>
      </c>
      <c r="BP53" s="23">
        <f t="shared" si="15"/>
        <v>7.238999999999999</v>
      </c>
      <c r="BQ53">
        <v>9.64</v>
      </c>
      <c r="BR53" s="21">
        <v>8.6999999999999993</v>
      </c>
      <c r="BS53" s="22">
        <f t="shared" si="16"/>
        <v>14055.720978291163</v>
      </c>
      <c r="BT53" s="22">
        <f t="shared" si="17"/>
        <v>261.29224895541267</v>
      </c>
      <c r="BU53">
        <v>100.6</v>
      </c>
      <c r="BV53" s="21">
        <v>4.82</v>
      </c>
      <c r="BW53" s="21">
        <v>4.57</v>
      </c>
      <c r="BX53" s="71">
        <f t="shared" si="18"/>
        <v>49.555317919075144</v>
      </c>
    </row>
    <row r="54" spans="2:76" x14ac:dyDescent="0.3">
      <c r="B54">
        <v>2022</v>
      </c>
      <c r="C54" t="s">
        <v>125</v>
      </c>
      <c r="D54">
        <v>223</v>
      </c>
      <c r="E54">
        <v>2</v>
      </c>
      <c r="F54">
        <v>5</v>
      </c>
      <c r="G54" t="s">
        <v>15</v>
      </c>
      <c r="H54">
        <v>5</v>
      </c>
      <c r="I54" t="s">
        <v>20</v>
      </c>
      <c r="J54">
        <v>59</v>
      </c>
      <c r="K54">
        <v>11</v>
      </c>
      <c r="L54" s="22">
        <f t="shared" si="0"/>
        <v>145.04765851636967</v>
      </c>
      <c r="M54">
        <v>37</v>
      </c>
      <c r="N54">
        <v>35</v>
      </c>
      <c r="O54">
        <v>36</v>
      </c>
      <c r="P54">
        <v>38</v>
      </c>
      <c r="Q54" s="21">
        <f t="shared" si="1"/>
        <v>36.5</v>
      </c>
      <c r="R54">
        <v>54</v>
      </c>
      <c r="S54">
        <v>55</v>
      </c>
      <c r="T54">
        <v>60</v>
      </c>
      <c r="U54">
        <v>5</v>
      </c>
      <c r="V54" s="21">
        <f t="shared" si="2"/>
        <v>43.5</v>
      </c>
      <c r="W54">
        <v>84</v>
      </c>
      <c r="X54">
        <v>84</v>
      </c>
      <c r="Y54">
        <v>82</v>
      </c>
      <c r="Z54">
        <v>77</v>
      </c>
      <c r="AA54" s="21">
        <f t="shared" si="3"/>
        <v>81.75</v>
      </c>
      <c r="AB54">
        <v>94</v>
      </c>
      <c r="AC54">
        <v>93</v>
      </c>
      <c r="AD54">
        <v>99</v>
      </c>
      <c r="AE54">
        <v>100</v>
      </c>
      <c r="AF54" s="21">
        <f t="shared" si="4"/>
        <v>96.5</v>
      </c>
      <c r="AG54" s="22">
        <v>104</v>
      </c>
      <c r="AH54" s="22">
        <v>106</v>
      </c>
      <c r="AI54" s="22">
        <v>103</v>
      </c>
      <c r="AJ54" s="22">
        <v>104</v>
      </c>
      <c r="AK54" s="21">
        <f t="shared" si="5"/>
        <v>104.25</v>
      </c>
      <c r="AL54" s="21"/>
      <c r="AM54" s="21"/>
      <c r="AN54" s="21"/>
      <c r="AO54" s="21"/>
      <c r="AP54" s="21" t="e">
        <f t="shared" si="6"/>
        <v>#DIV/0!</v>
      </c>
      <c r="AQ54" s="21"/>
      <c r="AR54">
        <v>104</v>
      </c>
      <c r="AS54">
        <v>106</v>
      </c>
      <c r="AT54">
        <v>103</v>
      </c>
      <c r="AU54">
        <v>104</v>
      </c>
      <c r="AV54" s="21">
        <f t="shared" si="7"/>
        <v>104.25</v>
      </c>
      <c r="AW54">
        <v>0</v>
      </c>
      <c r="AX54">
        <v>0</v>
      </c>
      <c r="AY54">
        <v>0</v>
      </c>
      <c r="AZ54" s="21">
        <f t="shared" si="8"/>
        <v>0</v>
      </c>
      <c r="BA54">
        <v>0</v>
      </c>
      <c r="BB54">
        <v>0</v>
      </c>
      <c r="BC54">
        <v>0</v>
      </c>
      <c r="BD54" s="21">
        <f t="shared" si="9"/>
        <v>0</v>
      </c>
      <c r="BH54" s="21">
        <f t="shared" si="10"/>
        <v>0</v>
      </c>
      <c r="BI54">
        <v>27.9</v>
      </c>
      <c r="BJ54">
        <v>8.3000000000000007</v>
      </c>
      <c r="BK54" s="18">
        <f t="shared" si="11"/>
        <v>70.25089605734766</v>
      </c>
      <c r="BL54" s="18">
        <f t="shared" si="12"/>
        <v>14.100358422939063</v>
      </c>
      <c r="BM54" s="19">
        <f t="shared" si="13"/>
        <v>44792.10035842294</v>
      </c>
      <c r="BN54" s="71">
        <f t="shared" si="14"/>
        <v>107.10035842294019</v>
      </c>
      <c r="BO54">
        <v>6</v>
      </c>
      <c r="BP54" s="23">
        <f t="shared" si="15"/>
        <v>7.238999999999999</v>
      </c>
      <c r="BQ54">
        <v>9.07</v>
      </c>
      <c r="BR54" s="21">
        <v>7.3</v>
      </c>
      <c r="BS54" s="22">
        <f t="shared" si="16"/>
        <v>13427.412689933384</v>
      </c>
      <c r="BT54" s="22">
        <f t="shared" si="17"/>
        <v>249.61215897953088</v>
      </c>
      <c r="BU54">
        <v>100.5</v>
      </c>
      <c r="BV54" s="21">
        <v>5.0200000000000005</v>
      </c>
      <c r="BW54" s="21">
        <v>4.9799999999999995</v>
      </c>
      <c r="BX54" s="71">
        <f t="shared" si="18"/>
        <v>53.583815028901739</v>
      </c>
    </row>
    <row r="55" spans="2:76" x14ac:dyDescent="0.3">
      <c r="B55">
        <v>2022</v>
      </c>
      <c r="C55" t="s">
        <v>125</v>
      </c>
      <c r="D55">
        <v>224</v>
      </c>
      <c r="E55">
        <v>2</v>
      </c>
      <c r="F55">
        <v>8</v>
      </c>
      <c r="G55" t="s">
        <v>15</v>
      </c>
      <c r="H55">
        <v>8</v>
      </c>
      <c r="I55" t="s">
        <v>23</v>
      </c>
      <c r="J55">
        <v>52</v>
      </c>
      <c r="K55">
        <v>47</v>
      </c>
      <c r="L55" s="22">
        <f t="shared" si="0"/>
        <v>205.13883133029424</v>
      </c>
      <c r="M55">
        <v>35</v>
      </c>
      <c r="N55">
        <v>34</v>
      </c>
      <c r="O55">
        <v>35</v>
      </c>
      <c r="P55">
        <v>38</v>
      </c>
      <c r="Q55" s="21">
        <f t="shared" si="1"/>
        <v>35.5</v>
      </c>
      <c r="R55">
        <v>55</v>
      </c>
      <c r="S55">
        <v>58</v>
      </c>
      <c r="T55">
        <v>56</v>
      </c>
      <c r="U55">
        <v>50</v>
      </c>
      <c r="V55" s="21">
        <f t="shared" si="2"/>
        <v>54.75</v>
      </c>
      <c r="W55">
        <v>77</v>
      </c>
      <c r="X55">
        <v>82</v>
      </c>
      <c r="Y55">
        <v>79</v>
      </c>
      <c r="Z55">
        <v>75</v>
      </c>
      <c r="AA55" s="21">
        <f t="shared" si="3"/>
        <v>78.25</v>
      </c>
      <c r="AB55">
        <v>95</v>
      </c>
      <c r="AC55">
        <v>99</v>
      </c>
      <c r="AD55">
        <v>99</v>
      </c>
      <c r="AE55">
        <v>90</v>
      </c>
      <c r="AF55" s="21">
        <f t="shared" si="4"/>
        <v>95.75</v>
      </c>
      <c r="AG55" s="22">
        <v>106</v>
      </c>
      <c r="AH55" s="22">
        <v>105</v>
      </c>
      <c r="AI55" s="22">
        <v>109</v>
      </c>
      <c r="AJ55" s="22">
        <v>113</v>
      </c>
      <c r="AK55" s="21">
        <f t="shared" si="5"/>
        <v>108.25</v>
      </c>
      <c r="AL55" s="21"/>
      <c r="AM55" s="21"/>
      <c r="AN55" s="21"/>
      <c r="AO55" s="21"/>
      <c r="AP55" s="21" t="e">
        <f t="shared" si="6"/>
        <v>#DIV/0!</v>
      </c>
      <c r="AQ55" s="21"/>
      <c r="AR55">
        <v>106</v>
      </c>
      <c r="AS55">
        <v>105</v>
      </c>
      <c r="AT55">
        <v>109</v>
      </c>
      <c r="AU55">
        <v>113</v>
      </c>
      <c r="AV55" s="21">
        <f t="shared" si="7"/>
        <v>108.25</v>
      </c>
      <c r="AW55">
        <v>0</v>
      </c>
      <c r="AX55">
        <v>0</v>
      </c>
      <c r="AY55">
        <v>0</v>
      </c>
      <c r="AZ55" s="21">
        <f t="shared" si="8"/>
        <v>0</v>
      </c>
      <c r="BA55">
        <v>0</v>
      </c>
      <c r="BB55">
        <v>0</v>
      </c>
      <c r="BC55">
        <v>0</v>
      </c>
      <c r="BD55" s="21">
        <f t="shared" si="9"/>
        <v>0</v>
      </c>
      <c r="BH55" s="21">
        <f t="shared" si="10"/>
        <v>0</v>
      </c>
      <c r="BI55">
        <v>27.2</v>
      </c>
      <c r="BJ55">
        <v>14.8</v>
      </c>
      <c r="BK55" s="18">
        <f t="shared" si="11"/>
        <v>45.588235294117638</v>
      </c>
      <c r="BL55" s="18">
        <f t="shared" si="12"/>
        <v>4.2352941176470553</v>
      </c>
      <c r="BM55" s="19">
        <f t="shared" si="13"/>
        <v>44782.23529411765</v>
      </c>
      <c r="BN55" s="71">
        <f t="shared" si="14"/>
        <v>97.235294117650483</v>
      </c>
      <c r="BO55">
        <v>6</v>
      </c>
      <c r="BP55" s="23">
        <f t="shared" si="15"/>
        <v>7.238999999999999</v>
      </c>
      <c r="BQ55">
        <v>8.51</v>
      </c>
      <c r="BR55" s="21">
        <v>8.9</v>
      </c>
      <c r="BS55" s="22">
        <f t="shared" si="16"/>
        <v>12380.929566645667</v>
      </c>
      <c r="BT55" s="22">
        <f t="shared" si="17"/>
        <v>230.15830604661818</v>
      </c>
      <c r="BU55">
        <v>99.2</v>
      </c>
      <c r="BV55" s="21">
        <v>4.99</v>
      </c>
      <c r="BW55" s="21">
        <v>4.8899999999999997</v>
      </c>
      <c r="BX55" s="71">
        <f t="shared" si="18"/>
        <v>52.027052023121371</v>
      </c>
    </row>
    <row r="56" spans="2:76" x14ac:dyDescent="0.3">
      <c r="B56">
        <v>2022</v>
      </c>
      <c r="C56" t="s">
        <v>125</v>
      </c>
      <c r="D56">
        <v>225</v>
      </c>
      <c r="E56">
        <v>2</v>
      </c>
      <c r="F56">
        <v>4</v>
      </c>
      <c r="G56" t="s">
        <v>15</v>
      </c>
      <c r="H56">
        <v>4</v>
      </c>
      <c r="I56" t="s">
        <v>19</v>
      </c>
      <c r="J56">
        <v>48</v>
      </c>
      <c r="K56">
        <v>24</v>
      </c>
      <c r="L56" s="22">
        <f t="shared" si="0"/>
        <v>149.1918773311231</v>
      </c>
      <c r="M56">
        <v>33</v>
      </c>
      <c r="N56">
        <v>38</v>
      </c>
      <c r="O56">
        <v>40</v>
      </c>
      <c r="P56">
        <v>35</v>
      </c>
      <c r="Q56" s="21">
        <f t="shared" si="1"/>
        <v>36.5</v>
      </c>
      <c r="R56">
        <v>55</v>
      </c>
      <c r="S56">
        <v>57</v>
      </c>
      <c r="T56">
        <v>56</v>
      </c>
      <c r="U56">
        <v>60</v>
      </c>
      <c r="V56" s="21">
        <f t="shared" si="2"/>
        <v>57</v>
      </c>
      <c r="W56">
        <v>85</v>
      </c>
      <c r="X56">
        <v>86</v>
      </c>
      <c r="Y56">
        <v>84</v>
      </c>
      <c r="Z56">
        <v>88</v>
      </c>
      <c r="AA56" s="21">
        <f t="shared" si="3"/>
        <v>85.75</v>
      </c>
      <c r="AB56">
        <v>101</v>
      </c>
      <c r="AC56">
        <v>101</v>
      </c>
      <c r="AD56">
        <v>100</v>
      </c>
      <c r="AE56">
        <v>94</v>
      </c>
      <c r="AF56" s="21">
        <f t="shared" si="4"/>
        <v>99</v>
      </c>
      <c r="AG56" s="22">
        <v>93</v>
      </c>
      <c r="AH56" s="22">
        <v>101</v>
      </c>
      <c r="AI56" s="22">
        <v>103</v>
      </c>
      <c r="AJ56" s="22">
        <v>110</v>
      </c>
      <c r="AK56" s="21">
        <f t="shared" si="5"/>
        <v>101.75</v>
      </c>
      <c r="AL56" s="21"/>
      <c r="AM56" s="21"/>
      <c r="AN56" s="21"/>
      <c r="AO56" s="21"/>
      <c r="AP56" s="21" t="e">
        <f t="shared" si="6"/>
        <v>#DIV/0!</v>
      </c>
      <c r="AQ56" s="21"/>
      <c r="AR56">
        <v>93</v>
      </c>
      <c r="AS56">
        <v>101</v>
      </c>
      <c r="AT56">
        <v>103</v>
      </c>
      <c r="AU56">
        <v>110</v>
      </c>
      <c r="AV56" s="21">
        <f t="shared" si="7"/>
        <v>101.75</v>
      </c>
      <c r="AW56">
        <v>0</v>
      </c>
      <c r="AX56">
        <v>0</v>
      </c>
      <c r="AY56">
        <v>0</v>
      </c>
      <c r="AZ56" s="21">
        <f t="shared" si="8"/>
        <v>0</v>
      </c>
      <c r="BA56">
        <v>0</v>
      </c>
      <c r="BB56">
        <v>0</v>
      </c>
      <c r="BC56">
        <v>0</v>
      </c>
      <c r="BD56" s="21">
        <f t="shared" si="9"/>
        <v>0</v>
      </c>
      <c r="BH56" s="21">
        <f t="shared" si="10"/>
        <v>0</v>
      </c>
      <c r="BI56">
        <v>21.4</v>
      </c>
      <c r="BJ56">
        <v>11.8</v>
      </c>
      <c r="BK56" s="18">
        <f t="shared" si="11"/>
        <v>44.85981308411214</v>
      </c>
      <c r="BL56" s="18">
        <f t="shared" si="12"/>
        <v>3.943925233644856</v>
      </c>
      <c r="BM56" s="19">
        <f t="shared" si="13"/>
        <v>44781.943925233645</v>
      </c>
      <c r="BN56" s="71">
        <f t="shared" si="14"/>
        <v>96.943925233645132</v>
      </c>
      <c r="BO56">
        <v>6</v>
      </c>
      <c r="BP56" s="23">
        <f t="shared" si="15"/>
        <v>7.238999999999999</v>
      </c>
      <c r="BQ56">
        <v>9.34</v>
      </c>
      <c r="BR56" s="21">
        <v>9.3000000000000007</v>
      </c>
      <c r="BS56" s="22">
        <f t="shared" si="16"/>
        <v>13528.806313266214</v>
      </c>
      <c r="BT56" s="22">
        <f t="shared" si="17"/>
        <v>251.49704043892322</v>
      </c>
      <c r="BU56">
        <v>100.5</v>
      </c>
      <c r="BV56" s="21">
        <v>5.01</v>
      </c>
      <c r="BW56" s="21">
        <v>5.12</v>
      </c>
      <c r="BX56" s="71">
        <f t="shared" si="18"/>
        <v>53.109306358381495</v>
      </c>
    </row>
    <row r="57" spans="2:76" x14ac:dyDescent="0.3">
      <c r="B57">
        <v>2022</v>
      </c>
      <c r="C57" t="s">
        <v>125</v>
      </c>
      <c r="D57">
        <v>226</v>
      </c>
      <c r="E57">
        <v>2</v>
      </c>
      <c r="F57">
        <v>6</v>
      </c>
      <c r="G57" t="s">
        <v>15</v>
      </c>
      <c r="H57">
        <v>6</v>
      </c>
      <c r="I57" t="s">
        <v>21</v>
      </c>
      <c r="J57">
        <v>56</v>
      </c>
      <c r="K57">
        <v>54</v>
      </c>
      <c r="L57" s="22">
        <f t="shared" si="0"/>
        <v>227.93203481143806</v>
      </c>
      <c r="M57">
        <v>36</v>
      </c>
      <c r="N57">
        <v>40</v>
      </c>
      <c r="O57">
        <v>39</v>
      </c>
      <c r="P57">
        <v>34</v>
      </c>
      <c r="Q57" s="21">
        <f t="shared" si="1"/>
        <v>37.25</v>
      </c>
      <c r="R57">
        <v>56</v>
      </c>
      <c r="S57">
        <v>60</v>
      </c>
      <c r="T57">
        <v>58</v>
      </c>
      <c r="U57">
        <v>62</v>
      </c>
      <c r="V57" s="21">
        <f t="shared" si="2"/>
        <v>59</v>
      </c>
      <c r="W57">
        <v>77</v>
      </c>
      <c r="X57">
        <v>75</v>
      </c>
      <c r="Y57">
        <v>76</v>
      </c>
      <c r="Z57">
        <v>82</v>
      </c>
      <c r="AA57" s="21">
        <f t="shared" si="3"/>
        <v>77.5</v>
      </c>
      <c r="AB57">
        <v>83</v>
      </c>
      <c r="AC57">
        <v>88</v>
      </c>
      <c r="AD57">
        <v>90</v>
      </c>
      <c r="AE57">
        <v>85</v>
      </c>
      <c r="AF57" s="21">
        <f t="shared" si="4"/>
        <v>86.5</v>
      </c>
      <c r="AG57" s="22">
        <v>92</v>
      </c>
      <c r="AH57" s="22">
        <v>98</v>
      </c>
      <c r="AI57" s="22">
        <v>80</v>
      </c>
      <c r="AJ57" s="22">
        <v>89</v>
      </c>
      <c r="AK57" s="21">
        <f t="shared" si="5"/>
        <v>89.75</v>
      </c>
      <c r="AL57" s="21"/>
      <c r="AM57" s="21"/>
      <c r="AN57" s="21"/>
      <c r="AO57" s="21"/>
      <c r="AP57" s="21" t="e">
        <f t="shared" si="6"/>
        <v>#DIV/0!</v>
      </c>
      <c r="AQ57" s="21"/>
      <c r="AR57">
        <v>92</v>
      </c>
      <c r="AS57">
        <v>98</v>
      </c>
      <c r="AT57">
        <v>80</v>
      </c>
      <c r="AU57">
        <v>89</v>
      </c>
      <c r="AV57" s="21">
        <f t="shared" si="7"/>
        <v>89.75</v>
      </c>
      <c r="AW57">
        <v>0</v>
      </c>
      <c r="AX57">
        <v>0</v>
      </c>
      <c r="AY57">
        <v>0</v>
      </c>
      <c r="AZ57" s="21">
        <f t="shared" si="8"/>
        <v>0</v>
      </c>
      <c r="BA57">
        <v>0</v>
      </c>
      <c r="BB57">
        <v>0</v>
      </c>
      <c r="BC57">
        <v>0</v>
      </c>
      <c r="BD57" s="21">
        <f t="shared" si="9"/>
        <v>0</v>
      </c>
      <c r="BH57" s="21">
        <f t="shared" si="10"/>
        <v>0</v>
      </c>
      <c r="BI57">
        <v>16.8</v>
      </c>
      <c r="BJ57">
        <v>7.7</v>
      </c>
      <c r="BK57" s="18">
        <f t="shared" si="11"/>
        <v>54.166666666666671</v>
      </c>
      <c r="BL57" s="18">
        <f t="shared" si="12"/>
        <v>7.6666666666666687</v>
      </c>
      <c r="BM57" s="19">
        <f t="shared" si="13"/>
        <v>44785.666666666664</v>
      </c>
      <c r="BN57" s="71">
        <f t="shared" si="14"/>
        <v>100.66666666666424</v>
      </c>
      <c r="BO57">
        <v>6</v>
      </c>
      <c r="BP57" s="23">
        <f t="shared" si="15"/>
        <v>7.238999999999999</v>
      </c>
      <c r="BQ57">
        <v>8.6999999999999993</v>
      </c>
      <c r="BR57" s="21">
        <v>9.1999999999999993</v>
      </c>
      <c r="BS57" s="22">
        <f t="shared" si="16"/>
        <v>12615.672812726825</v>
      </c>
      <c r="BT57" s="22">
        <f t="shared" si="17"/>
        <v>234.52212280069097</v>
      </c>
      <c r="BU57">
        <v>96.3</v>
      </c>
      <c r="BV57" s="21">
        <v>4.7200000000000006</v>
      </c>
      <c r="BW57" s="21">
        <v>4.5200000000000005</v>
      </c>
      <c r="BX57" s="71">
        <f t="shared" si="18"/>
        <v>48.49664739884394</v>
      </c>
    </row>
    <row r="58" spans="2:76" x14ac:dyDescent="0.3">
      <c r="B58">
        <v>2022</v>
      </c>
      <c r="C58" t="s">
        <v>125</v>
      </c>
      <c r="D58">
        <v>227</v>
      </c>
      <c r="E58">
        <v>2</v>
      </c>
      <c r="F58">
        <v>1</v>
      </c>
      <c r="G58" t="s">
        <v>15</v>
      </c>
      <c r="H58">
        <v>1</v>
      </c>
      <c r="I58" t="s">
        <v>16</v>
      </c>
      <c r="J58">
        <v>60</v>
      </c>
      <c r="K58">
        <v>33</v>
      </c>
      <c r="L58" s="22">
        <f t="shared" si="0"/>
        <v>192.70617488603401</v>
      </c>
      <c r="M58">
        <v>39</v>
      </c>
      <c r="N58">
        <v>41</v>
      </c>
      <c r="O58">
        <v>40</v>
      </c>
      <c r="P58">
        <v>35</v>
      </c>
      <c r="Q58" s="21">
        <f t="shared" si="1"/>
        <v>38.75</v>
      </c>
      <c r="R58">
        <v>57</v>
      </c>
      <c r="S58">
        <v>61</v>
      </c>
      <c r="T58">
        <v>57</v>
      </c>
      <c r="U58">
        <v>60</v>
      </c>
      <c r="V58" s="21">
        <f t="shared" si="2"/>
        <v>58.75</v>
      </c>
      <c r="W58">
        <v>90</v>
      </c>
      <c r="X58">
        <v>76</v>
      </c>
      <c r="Y58">
        <v>87</v>
      </c>
      <c r="Z58">
        <v>90</v>
      </c>
      <c r="AA58" s="21">
        <f t="shared" si="3"/>
        <v>85.75</v>
      </c>
      <c r="AB58">
        <v>104</v>
      </c>
      <c r="AC58">
        <v>100</v>
      </c>
      <c r="AD58">
        <v>106</v>
      </c>
      <c r="AE58">
        <v>110</v>
      </c>
      <c r="AF58" s="21">
        <f t="shared" si="4"/>
        <v>105</v>
      </c>
      <c r="AG58" s="22">
        <v>97</v>
      </c>
      <c r="AH58" s="22">
        <v>113</v>
      </c>
      <c r="AI58" s="22">
        <v>95</v>
      </c>
      <c r="AJ58" s="22">
        <v>105</v>
      </c>
      <c r="AK58" s="21">
        <f t="shared" si="5"/>
        <v>102.5</v>
      </c>
      <c r="AL58" s="21"/>
      <c r="AM58" s="21"/>
      <c r="AN58" s="21"/>
      <c r="AO58" s="21"/>
      <c r="AP58" s="21" t="e">
        <f t="shared" si="6"/>
        <v>#DIV/0!</v>
      </c>
      <c r="AQ58" s="21"/>
      <c r="AR58">
        <v>97</v>
      </c>
      <c r="AS58">
        <v>113</v>
      </c>
      <c r="AT58">
        <v>95</v>
      </c>
      <c r="AU58">
        <v>105</v>
      </c>
      <c r="AV58" s="21">
        <f t="shared" si="7"/>
        <v>102.5</v>
      </c>
      <c r="AW58">
        <v>0</v>
      </c>
      <c r="AX58">
        <v>0</v>
      </c>
      <c r="AY58">
        <v>0</v>
      </c>
      <c r="AZ58" s="21">
        <f t="shared" si="8"/>
        <v>0</v>
      </c>
      <c r="BA58">
        <v>0</v>
      </c>
      <c r="BB58">
        <v>0</v>
      </c>
      <c r="BC58">
        <v>0</v>
      </c>
      <c r="BD58" s="21">
        <f t="shared" si="9"/>
        <v>0</v>
      </c>
      <c r="BH58" s="21">
        <f t="shared" si="10"/>
        <v>0</v>
      </c>
      <c r="BI58">
        <v>26.6</v>
      </c>
      <c r="BJ58">
        <v>14.5</v>
      </c>
      <c r="BK58" s="18">
        <f t="shared" si="11"/>
        <v>45.488721804511279</v>
      </c>
      <c r="BL58" s="18">
        <f t="shared" si="12"/>
        <v>4.1954887218045114</v>
      </c>
      <c r="BM58" s="19">
        <f t="shared" si="13"/>
        <v>44782.195488721802</v>
      </c>
      <c r="BN58" s="71">
        <f t="shared" si="14"/>
        <v>97.195488721801667</v>
      </c>
      <c r="BO58">
        <v>6</v>
      </c>
      <c r="BP58" s="23">
        <f t="shared" si="15"/>
        <v>7.238999999999999</v>
      </c>
      <c r="BQ58">
        <v>8.9</v>
      </c>
      <c r="BR58" s="21">
        <v>9</v>
      </c>
      <c r="BS58" s="22">
        <f t="shared" si="16"/>
        <v>12934.114905852774</v>
      </c>
      <c r="BT58" s="22">
        <f t="shared" si="17"/>
        <v>240.44187966008363</v>
      </c>
      <c r="BU58">
        <v>98.6</v>
      </c>
      <c r="BV58" s="21">
        <v>5.14</v>
      </c>
      <c r="BW58" s="21">
        <v>4.88</v>
      </c>
      <c r="BX58" s="71">
        <f t="shared" si="18"/>
        <v>52.706358381502888</v>
      </c>
    </row>
    <row r="59" spans="2:76" x14ac:dyDescent="0.3">
      <c r="B59">
        <v>2022</v>
      </c>
      <c r="C59" t="s">
        <v>125</v>
      </c>
      <c r="D59">
        <v>301</v>
      </c>
      <c r="E59">
        <v>3</v>
      </c>
      <c r="F59">
        <v>5</v>
      </c>
      <c r="G59" t="s">
        <v>15</v>
      </c>
      <c r="H59">
        <v>5</v>
      </c>
      <c r="I59" t="s">
        <v>20</v>
      </c>
      <c r="J59">
        <v>41</v>
      </c>
      <c r="K59">
        <v>45</v>
      </c>
      <c r="L59" s="22">
        <f t="shared" si="0"/>
        <v>178.20140903439702</v>
      </c>
      <c r="M59">
        <v>34</v>
      </c>
      <c r="N59">
        <v>32</v>
      </c>
      <c r="O59">
        <v>35</v>
      </c>
      <c r="P59">
        <v>38</v>
      </c>
      <c r="Q59" s="21">
        <f t="shared" si="1"/>
        <v>34.75</v>
      </c>
      <c r="R59">
        <v>55</v>
      </c>
      <c r="S59">
        <v>63</v>
      </c>
      <c r="T59">
        <v>54</v>
      </c>
      <c r="U59">
        <v>52</v>
      </c>
      <c r="V59" s="21">
        <f t="shared" ref="V59:V87" si="19">AVERAGE(R59:U59)</f>
        <v>56</v>
      </c>
      <c r="W59">
        <v>77</v>
      </c>
      <c r="X59">
        <v>79</v>
      </c>
      <c r="Y59">
        <v>86</v>
      </c>
      <c r="Z59">
        <v>85</v>
      </c>
      <c r="AA59" s="21">
        <f t="shared" si="3"/>
        <v>81.75</v>
      </c>
      <c r="AB59">
        <v>91</v>
      </c>
      <c r="AC59">
        <v>90</v>
      </c>
      <c r="AD59">
        <v>93</v>
      </c>
      <c r="AE59">
        <v>80</v>
      </c>
      <c r="AF59" s="21">
        <f t="shared" si="4"/>
        <v>88.5</v>
      </c>
      <c r="AG59" s="22">
        <v>97</v>
      </c>
      <c r="AH59" s="22">
        <v>93</v>
      </c>
      <c r="AI59" s="22">
        <v>92</v>
      </c>
      <c r="AJ59" s="22">
        <v>105</v>
      </c>
      <c r="AK59" s="21">
        <f t="shared" si="5"/>
        <v>96.75</v>
      </c>
      <c r="AL59" s="21"/>
      <c r="AM59" s="21"/>
      <c r="AN59" s="21"/>
      <c r="AO59" s="21"/>
      <c r="AP59" s="21" t="e">
        <f t="shared" si="6"/>
        <v>#DIV/0!</v>
      </c>
      <c r="AQ59" s="21"/>
      <c r="AR59">
        <v>97</v>
      </c>
      <c r="AS59">
        <v>93</v>
      </c>
      <c r="AT59">
        <v>92</v>
      </c>
      <c r="AU59">
        <v>105</v>
      </c>
      <c r="AV59" s="21">
        <f t="shared" si="7"/>
        <v>96.75</v>
      </c>
      <c r="AW59">
        <v>0</v>
      </c>
      <c r="AX59">
        <v>0</v>
      </c>
      <c r="AY59">
        <v>0</v>
      </c>
      <c r="AZ59" s="21">
        <f t="shared" si="8"/>
        <v>0</v>
      </c>
      <c r="BA59">
        <v>0</v>
      </c>
      <c r="BB59">
        <v>0</v>
      </c>
      <c r="BC59">
        <v>0</v>
      </c>
      <c r="BD59" s="21">
        <f t="shared" si="9"/>
        <v>0</v>
      </c>
      <c r="BH59" s="21">
        <f t="shared" si="10"/>
        <v>0</v>
      </c>
      <c r="BI59">
        <v>27.8</v>
      </c>
      <c r="BJ59">
        <v>14.5</v>
      </c>
      <c r="BK59" s="18">
        <f t="shared" si="11"/>
        <v>47.841726618705039</v>
      </c>
      <c r="BL59" s="18">
        <f t="shared" si="12"/>
        <v>5.1366906474820153</v>
      </c>
      <c r="BM59" s="19">
        <f t="shared" si="13"/>
        <v>44783.13669064748</v>
      </c>
      <c r="BN59" s="71">
        <f t="shared" si="14"/>
        <v>98.136690647479554</v>
      </c>
      <c r="BO59">
        <v>6</v>
      </c>
      <c r="BP59" s="23">
        <f t="shared" si="15"/>
        <v>7.238999999999999</v>
      </c>
      <c r="BQ59">
        <v>8.24</v>
      </c>
      <c r="BR59" s="21">
        <v>8.6</v>
      </c>
      <c r="BS59" s="22">
        <f t="shared" si="16"/>
        <v>12027.592991399351</v>
      </c>
      <c r="BT59" s="22">
        <f t="shared" si="17"/>
        <v>223.58986971191104</v>
      </c>
      <c r="BU59">
        <v>107.4</v>
      </c>
      <c r="BV59" s="21">
        <v>4.84</v>
      </c>
      <c r="BW59" s="21">
        <v>4.8899999999999997</v>
      </c>
      <c r="BX59" s="71">
        <f t="shared" si="18"/>
        <v>51.405895953757231</v>
      </c>
    </row>
    <row r="60" spans="2:76" x14ac:dyDescent="0.3">
      <c r="B60">
        <v>2022</v>
      </c>
      <c r="C60" t="s">
        <v>125</v>
      </c>
      <c r="D60">
        <v>302</v>
      </c>
      <c r="E60">
        <v>3</v>
      </c>
      <c r="F60">
        <v>7</v>
      </c>
      <c r="G60" t="s">
        <v>15</v>
      </c>
      <c r="H60">
        <v>7</v>
      </c>
      <c r="I60" t="s">
        <v>22</v>
      </c>
      <c r="J60">
        <v>42</v>
      </c>
      <c r="K60">
        <v>50</v>
      </c>
      <c r="L60" s="22">
        <f t="shared" si="0"/>
        <v>190.63406547865728</v>
      </c>
      <c r="M60">
        <v>37</v>
      </c>
      <c r="N60">
        <v>30</v>
      </c>
      <c r="O60">
        <v>32</v>
      </c>
      <c r="P60">
        <v>36</v>
      </c>
      <c r="Q60" s="21">
        <f t="shared" si="1"/>
        <v>33.75</v>
      </c>
      <c r="R60">
        <v>63</v>
      </c>
      <c r="S60">
        <v>60</v>
      </c>
      <c r="T60">
        <v>56</v>
      </c>
      <c r="U60">
        <v>57</v>
      </c>
      <c r="V60" s="21">
        <f t="shared" si="19"/>
        <v>59</v>
      </c>
      <c r="W60">
        <v>85</v>
      </c>
      <c r="X60">
        <v>81</v>
      </c>
      <c r="Y60">
        <v>75</v>
      </c>
      <c r="Z60">
        <v>75</v>
      </c>
      <c r="AA60" s="21">
        <f t="shared" si="3"/>
        <v>79</v>
      </c>
      <c r="AB60">
        <v>90</v>
      </c>
      <c r="AC60">
        <v>92</v>
      </c>
      <c r="AD60">
        <v>91</v>
      </c>
      <c r="AE60">
        <v>89</v>
      </c>
      <c r="AF60" s="21">
        <f t="shared" si="4"/>
        <v>90.5</v>
      </c>
      <c r="AG60" s="22">
        <v>100</v>
      </c>
      <c r="AH60" s="22">
        <v>90</v>
      </c>
      <c r="AI60" s="22">
        <v>106</v>
      </c>
      <c r="AJ60" s="22">
        <v>107</v>
      </c>
      <c r="AK60" s="21">
        <f t="shared" si="5"/>
        <v>100.75</v>
      </c>
      <c r="AL60" s="21"/>
      <c r="AM60" s="21"/>
      <c r="AN60" s="21"/>
      <c r="AO60" s="21"/>
      <c r="AP60" s="21" t="e">
        <f t="shared" si="6"/>
        <v>#DIV/0!</v>
      </c>
      <c r="AQ60" s="21"/>
      <c r="AR60">
        <v>100</v>
      </c>
      <c r="AS60">
        <v>90</v>
      </c>
      <c r="AT60">
        <v>106</v>
      </c>
      <c r="AU60">
        <v>107</v>
      </c>
      <c r="AV60" s="21">
        <f t="shared" si="7"/>
        <v>100.75</v>
      </c>
      <c r="AW60">
        <v>0</v>
      </c>
      <c r="AX60">
        <v>0</v>
      </c>
      <c r="AY60">
        <v>0</v>
      </c>
      <c r="AZ60" s="21">
        <f t="shared" si="8"/>
        <v>0</v>
      </c>
      <c r="BA60">
        <v>0</v>
      </c>
      <c r="BB60">
        <v>0</v>
      </c>
      <c r="BC60">
        <v>0</v>
      </c>
      <c r="BD60" s="21">
        <f t="shared" si="9"/>
        <v>0</v>
      </c>
      <c r="BH60" s="21">
        <f t="shared" si="10"/>
        <v>0</v>
      </c>
      <c r="BI60">
        <v>27.7</v>
      </c>
      <c r="BJ60">
        <v>15</v>
      </c>
      <c r="BK60" s="18">
        <f t="shared" si="11"/>
        <v>45.848375451263536</v>
      </c>
      <c r="BL60" s="18">
        <f t="shared" si="12"/>
        <v>4.3393501805054147</v>
      </c>
      <c r="BM60" s="19">
        <f t="shared" si="13"/>
        <v>44782.339350180504</v>
      </c>
      <c r="BN60" s="71">
        <f t="shared" si="14"/>
        <v>97.33935018050397</v>
      </c>
      <c r="BO60">
        <v>6</v>
      </c>
      <c r="BP60" s="23">
        <f t="shared" si="15"/>
        <v>7.238999999999999</v>
      </c>
      <c r="BQ60">
        <v>8.48</v>
      </c>
      <c r="BR60" s="21">
        <v>8.9</v>
      </c>
      <c r="BS60" s="22">
        <f t="shared" si="16"/>
        <v>12337.283516469479</v>
      </c>
      <c r="BT60" s="22">
        <f t="shared" si="17"/>
        <v>229.34693716513777</v>
      </c>
      <c r="BU60">
        <v>103.5</v>
      </c>
      <c r="BV60" s="21">
        <v>4.55</v>
      </c>
      <c r="BW60" s="21">
        <v>4.5299999999999994</v>
      </c>
      <c r="BX60" s="71">
        <f t="shared" si="18"/>
        <v>47.814335260115591</v>
      </c>
    </row>
    <row r="61" spans="2:76" x14ac:dyDescent="0.3">
      <c r="B61">
        <v>2022</v>
      </c>
      <c r="C61" t="s">
        <v>125</v>
      </c>
      <c r="D61">
        <v>303</v>
      </c>
      <c r="E61">
        <v>3</v>
      </c>
      <c r="F61">
        <v>4</v>
      </c>
      <c r="G61" t="s">
        <v>15</v>
      </c>
      <c r="H61">
        <v>4</v>
      </c>
      <c r="I61" t="s">
        <v>19</v>
      </c>
      <c r="J61">
        <v>59</v>
      </c>
      <c r="K61">
        <v>41</v>
      </c>
      <c r="L61" s="22">
        <f t="shared" si="0"/>
        <v>207.21094073767097</v>
      </c>
      <c r="M61">
        <v>34</v>
      </c>
      <c r="N61">
        <v>33</v>
      </c>
      <c r="O61">
        <v>37</v>
      </c>
      <c r="P61">
        <v>40</v>
      </c>
      <c r="Q61" s="21">
        <f t="shared" si="1"/>
        <v>36</v>
      </c>
      <c r="R61">
        <v>53</v>
      </c>
      <c r="S61">
        <v>55</v>
      </c>
      <c r="T61">
        <v>52</v>
      </c>
      <c r="U61">
        <v>57</v>
      </c>
      <c r="V61" s="21">
        <f t="shared" si="19"/>
        <v>54.25</v>
      </c>
      <c r="W61">
        <v>75</v>
      </c>
      <c r="X61">
        <v>72</v>
      </c>
      <c r="Y61">
        <v>74</v>
      </c>
      <c r="Z61">
        <v>68</v>
      </c>
      <c r="AA61" s="21">
        <f t="shared" si="3"/>
        <v>72.25</v>
      </c>
      <c r="AB61">
        <v>93</v>
      </c>
      <c r="AC61">
        <v>93</v>
      </c>
      <c r="AD61">
        <v>99</v>
      </c>
      <c r="AE61">
        <v>100</v>
      </c>
      <c r="AF61" s="21">
        <f t="shared" si="4"/>
        <v>96.25</v>
      </c>
      <c r="AG61" s="22">
        <v>100</v>
      </c>
      <c r="AH61" s="22">
        <v>107</v>
      </c>
      <c r="AI61" s="22">
        <v>108</v>
      </c>
      <c r="AJ61" s="22">
        <v>98</v>
      </c>
      <c r="AK61" s="21">
        <f t="shared" si="5"/>
        <v>103.25</v>
      </c>
      <c r="AL61" s="21"/>
      <c r="AM61" s="21"/>
      <c r="AN61" s="21"/>
      <c r="AO61" s="21"/>
      <c r="AP61" s="21" t="e">
        <f t="shared" si="6"/>
        <v>#DIV/0!</v>
      </c>
      <c r="AQ61" s="21"/>
      <c r="AR61">
        <v>100</v>
      </c>
      <c r="AS61">
        <v>107</v>
      </c>
      <c r="AT61">
        <v>108</v>
      </c>
      <c r="AU61">
        <v>98</v>
      </c>
      <c r="AV61" s="21">
        <f t="shared" si="7"/>
        <v>103.25</v>
      </c>
      <c r="AW61">
        <v>0</v>
      </c>
      <c r="AX61">
        <v>0</v>
      </c>
      <c r="AY61">
        <v>0</v>
      </c>
      <c r="AZ61" s="21">
        <f t="shared" si="8"/>
        <v>0</v>
      </c>
      <c r="BA61">
        <v>0</v>
      </c>
      <c r="BB61">
        <v>0</v>
      </c>
      <c r="BC61">
        <v>0</v>
      </c>
      <c r="BD61" s="21">
        <f t="shared" si="9"/>
        <v>0</v>
      </c>
      <c r="BH61" s="21">
        <f t="shared" si="10"/>
        <v>0</v>
      </c>
      <c r="BI61">
        <v>21.8</v>
      </c>
      <c r="BJ61">
        <v>11</v>
      </c>
      <c r="BK61" s="18">
        <f t="shared" si="11"/>
        <v>49.541284403669728</v>
      </c>
      <c r="BL61" s="18">
        <f t="shared" si="12"/>
        <v>5.816513761467891</v>
      </c>
      <c r="BM61" s="19">
        <f t="shared" si="13"/>
        <v>44783.816513761471</v>
      </c>
      <c r="BN61" s="71">
        <f t="shared" si="14"/>
        <v>98.81651376147056</v>
      </c>
      <c r="BO61">
        <v>6</v>
      </c>
      <c r="BP61" s="23">
        <f t="shared" si="15"/>
        <v>7.238999999999999</v>
      </c>
      <c r="BQ61">
        <v>8.6300000000000008</v>
      </c>
      <c r="BR61" s="21">
        <v>8.9</v>
      </c>
      <c r="BS61" s="22">
        <f t="shared" si="16"/>
        <v>12555.513767350425</v>
      </c>
      <c r="BT61" s="22">
        <f t="shared" si="17"/>
        <v>233.40378157253997</v>
      </c>
      <c r="BU61">
        <v>104</v>
      </c>
      <c r="BV61" s="21">
        <v>4.82</v>
      </c>
      <c r="BW61" s="21">
        <v>4.88</v>
      </c>
      <c r="BX61" s="71">
        <f t="shared" si="18"/>
        <v>51.079190751445083</v>
      </c>
    </row>
    <row r="62" spans="2:76" x14ac:dyDescent="0.3">
      <c r="B62">
        <v>2022</v>
      </c>
      <c r="C62" t="s">
        <v>125</v>
      </c>
      <c r="D62">
        <v>304</v>
      </c>
      <c r="E62">
        <v>3</v>
      </c>
      <c r="F62">
        <v>3</v>
      </c>
      <c r="G62" t="s">
        <v>15</v>
      </c>
      <c r="H62">
        <v>3</v>
      </c>
      <c r="I62" t="s">
        <v>18</v>
      </c>
      <c r="J62">
        <v>50</v>
      </c>
      <c r="K62">
        <v>52</v>
      </c>
      <c r="L62" s="22">
        <f t="shared" si="0"/>
        <v>211.35515955242437</v>
      </c>
      <c r="M62">
        <v>40</v>
      </c>
      <c r="N62">
        <v>35</v>
      </c>
      <c r="O62">
        <v>35</v>
      </c>
      <c r="P62">
        <v>40</v>
      </c>
      <c r="Q62" s="21">
        <f t="shared" si="1"/>
        <v>37.5</v>
      </c>
      <c r="R62">
        <v>63</v>
      </c>
      <c r="S62">
        <v>60</v>
      </c>
      <c r="T62">
        <v>57</v>
      </c>
      <c r="U62">
        <v>60</v>
      </c>
      <c r="V62" s="21">
        <f t="shared" si="19"/>
        <v>60</v>
      </c>
      <c r="W62">
        <v>74</v>
      </c>
      <c r="X62">
        <v>78</v>
      </c>
      <c r="Y62">
        <v>80</v>
      </c>
      <c r="Z62">
        <v>78</v>
      </c>
      <c r="AA62" s="21">
        <f t="shared" si="3"/>
        <v>77.5</v>
      </c>
      <c r="AB62">
        <v>103</v>
      </c>
      <c r="AC62">
        <v>97</v>
      </c>
      <c r="AD62">
        <v>98</v>
      </c>
      <c r="AE62">
        <v>101</v>
      </c>
      <c r="AF62" s="21">
        <f t="shared" si="4"/>
        <v>99.75</v>
      </c>
      <c r="AG62" s="22">
        <v>110</v>
      </c>
      <c r="AH62" s="22">
        <v>105</v>
      </c>
      <c r="AI62" s="22">
        <v>102</v>
      </c>
      <c r="AJ62" s="22">
        <v>110</v>
      </c>
      <c r="AK62" s="21">
        <f t="shared" si="5"/>
        <v>106.75</v>
      </c>
      <c r="AL62" s="21"/>
      <c r="AM62" s="21"/>
      <c r="AN62" s="21"/>
      <c r="AO62" s="21"/>
      <c r="AP62" s="21" t="e">
        <f t="shared" si="6"/>
        <v>#DIV/0!</v>
      </c>
      <c r="AQ62" s="21"/>
      <c r="AR62">
        <v>110</v>
      </c>
      <c r="AS62">
        <v>105</v>
      </c>
      <c r="AT62">
        <v>102</v>
      </c>
      <c r="AU62">
        <v>110</v>
      </c>
      <c r="AV62" s="21">
        <f t="shared" si="7"/>
        <v>106.75</v>
      </c>
      <c r="AW62">
        <v>0</v>
      </c>
      <c r="AX62">
        <v>0</v>
      </c>
      <c r="AY62">
        <v>0</v>
      </c>
      <c r="AZ62" s="21">
        <f t="shared" si="8"/>
        <v>0</v>
      </c>
      <c r="BA62">
        <v>0</v>
      </c>
      <c r="BB62">
        <v>0</v>
      </c>
      <c r="BC62">
        <v>0</v>
      </c>
      <c r="BD62" s="21">
        <f t="shared" si="9"/>
        <v>0</v>
      </c>
      <c r="BH62" s="21">
        <f t="shared" si="10"/>
        <v>0</v>
      </c>
      <c r="BI62">
        <v>29.4</v>
      </c>
      <c r="BJ62">
        <v>17.2</v>
      </c>
      <c r="BK62" s="18">
        <f t="shared" si="11"/>
        <v>41.496598639455783</v>
      </c>
      <c r="BL62" s="18">
        <f t="shared" si="12"/>
        <v>2.5986394557823131</v>
      </c>
      <c r="BM62" s="19">
        <f t="shared" si="13"/>
        <v>44780.598639455784</v>
      </c>
      <c r="BN62" s="71">
        <f t="shared" si="14"/>
        <v>95.598639455783996</v>
      </c>
      <c r="BO62">
        <v>6</v>
      </c>
      <c r="BP62" s="23">
        <f t="shared" si="15"/>
        <v>7.238999999999999</v>
      </c>
      <c r="BQ62">
        <v>7.93</v>
      </c>
      <c r="BR62" s="21">
        <v>8.6999999999999993</v>
      </c>
      <c r="BS62" s="22">
        <f t="shared" si="16"/>
        <v>11562.43437322084</v>
      </c>
      <c r="BT62" s="22">
        <f t="shared" si="17"/>
        <v>214.94269027141306</v>
      </c>
      <c r="BU62">
        <v>102.6</v>
      </c>
      <c r="BV62" s="21">
        <v>5.14</v>
      </c>
      <c r="BW62" s="21">
        <v>5.04</v>
      </c>
      <c r="BX62" s="71">
        <f t="shared" si="18"/>
        <v>53.72450867052023</v>
      </c>
    </row>
    <row r="63" spans="2:76" x14ac:dyDescent="0.3">
      <c r="B63">
        <v>2022</v>
      </c>
      <c r="C63" t="s">
        <v>125</v>
      </c>
      <c r="D63">
        <v>305</v>
      </c>
      <c r="E63">
        <v>3</v>
      </c>
      <c r="F63">
        <v>9</v>
      </c>
      <c r="G63" t="s">
        <v>15</v>
      </c>
      <c r="H63">
        <v>9</v>
      </c>
      <c r="I63" t="s">
        <v>24</v>
      </c>
      <c r="J63">
        <v>56</v>
      </c>
      <c r="K63">
        <v>53</v>
      </c>
      <c r="L63" s="22">
        <f t="shared" si="0"/>
        <v>225.85992540406136</v>
      </c>
      <c r="M63">
        <v>37</v>
      </c>
      <c r="N63">
        <v>40</v>
      </c>
      <c r="O63">
        <v>38</v>
      </c>
      <c r="P63">
        <v>42</v>
      </c>
      <c r="Q63" s="21">
        <f t="shared" si="1"/>
        <v>39.25</v>
      </c>
      <c r="R63">
        <v>55</v>
      </c>
      <c r="S63">
        <v>60</v>
      </c>
      <c r="T63">
        <v>57</v>
      </c>
      <c r="U63">
        <v>58</v>
      </c>
      <c r="V63" s="21">
        <f t="shared" si="19"/>
        <v>57.5</v>
      </c>
      <c r="W63">
        <v>83</v>
      </c>
      <c r="X63">
        <v>78</v>
      </c>
      <c r="Y63">
        <v>84</v>
      </c>
      <c r="Z63">
        <v>85</v>
      </c>
      <c r="AA63" s="21">
        <f t="shared" si="3"/>
        <v>82.5</v>
      </c>
      <c r="AB63">
        <v>94</v>
      </c>
      <c r="AC63">
        <v>90</v>
      </c>
      <c r="AD63">
        <v>86</v>
      </c>
      <c r="AE63">
        <v>95</v>
      </c>
      <c r="AF63" s="21">
        <f t="shared" si="4"/>
        <v>91.25</v>
      </c>
      <c r="AG63" s="22">
        <v>104</v>
      </c>
      <c r="AH63" s="22">
        <v>98</v>
      </c>
      <c r="AI63" s="22">
        <v>87</v>
      </c>
      <c r="AJ63" s="22">
        <v>97</v>
      </c>
      <c r="AK63" s="21">
        <f t="shared" si="5"/>
        <v>96.5</v>
      </c>
      <c r="AL63" s="21"/>
      <c r="AM63" s="21"/>
      <c r="AN63" s="21"/>
      <c r="AO63" s="21"/>
      <c r="AP63" s="21" t="e">
        <f t="shared" si="6"/>
        <v>#DIV/0!</v>
      </c>
      <c r="AQ63" s="21"/>
      <c r="AR63">
        <v>104</v>
      </c>
      <c r="AS63">
        <v>98</v>
      </c>
      <c r="AT63">
        <v>87</v>
      </c>
      <c r="AU63">
        <v>97</v>
      </c>
      <c r="AV63" s="21">
        <f t="shared" si="7"/>
        <v>96.5</v>
      </c>
      <c r="AW63">
        <v>0</v>
      </c>
      <c r="AX63">
        <v>0</v>
      </c>
      <c r="AY63">
        <v>0</v>
      </c>
      <c r="AZ63" s="21">
        <f t="shared" si="8"/>
        <v>0</v>
      </c>
      <c r="BA63">
        <v>0</v>
      </c>
      <c r="BB63">
        <v>0</v>
      </c>
      <c r="BC63">
        <v>0</v>
      </c>
      <c r="BD63" s="21">
        <f t="shared" si="9"/>
        <v>0</v>
      </c>
      <c r="BH63" s="21">
        <f t="shared" si="10"/>
        <v>0</v>
      </c>
      <c r="BI63">
        <v>27.3</v>
      </c>
      <c r="BJ63">
        <v>16.5</v>
      </c>
      <c r="BK63" s="18">
        <f t="shared" si="11"/>
        <v>39.560439560439562</v>
      </c>
      <c r="BL63" s="18">
        <f t="shared" si="12"/>
        <v>1.8241758241758248</v>
      </c>
      <c r="BM63" s="19">
        <f t="shared" si="13"/>
        <v>44779.824175824178</v>
      </c>
      <c r="BN63" s="71">
        <f t="shared" si="14"/>
        <v>94.824175824178383</v>
      </c>
      <c r="BO63">
        <v>6</v>
      </c>
      <c r="BP63" s="23">
        <f t="shared" si="15"/>
        <v>7.238999999999999</v>
      </c>
      <c r="BQ63">
        <v>8.66</v>
      </c>
      <c r="BR63" s="21">
        <v>8.6</v>
      </c>
      <c r="BS63" s="22">
        <f t="shared" si="16"/>
        <v>12640.649915718252</v>
      </c>
      <c r="BT63" s="22">
        <f t="shared" si="17"/>
        <v>234.98644074091621</v>
      </c>
      <c r="BU63">
        <v>104.2</v>
      </c>
      <c r="BV63" s="21">
        <v>5</v>
      </c>
      <c r="BW63" s="21">
        <v>4.84</v>
      </c>
      <c r="BX63" s="71">
        <f t="shared" si="18"/>
        <v>51.987052023121393</v>
      </c>
    </row>
    <row r="64" spans="2:76" x14ac:dyDescent="0.3">
      <c r="B64">
        <v>2022</v>
      </c>
      <c r="C64" t="s">
        <v>125</v>
      </c>
      <c r="D64">
        <v>306</v>
      </c>
      <c r="E64">
        <v>3</v>
      </c>
      <c r="F64">
        <v>2</v>
      </c>
      <c r="G64" t="s">
        <v>15</v>
      </c>
      <c r="H64">
        <v>2</v>
      </c>
      <c r="I64" t="s">
        <v>17</v>
      </c>
      <c r="J64">
        <v>55</v>
      </c>
      <c r="K64">
        <v>56</v>
      </c>
      <c r="L64" s="22">
        <f t="shared" si="0"/>
        <v>230.00414421881476</v>
      </c>
      <c r="M64">
        <v>33</v>
      </c>
      <c r="N64">
        <v>35</v>
      </c>
      <c r="O64">
        <v>35</v>
      </c>
      <c r="P64">
        <v>35</v>
      </c>
      <c r="Q64" s="21">
        <f t="shared" si="1"/>
        <v>34.5</v>
      </c>
      <c r="R64">
        <v>50</v>
      </c>
      <c r="S64">
        <v>53</v>
      </c>
      <c r="T64">
        <v>55</v>
      </c>
      <c r="U64">
        <v>63</v>
      </c>
      <c r="V64" s="21">
        <f t="shared" si="19"/>
        <v>55.25</v>
      </c>
      <c r="W64">
        <v>83</v>
      </c>
      <c r="X64">
        <v>78</v>
      </c>
      <c r="Y64">
        <v>80</v>
      </c>
      <c r="Z64">
        <v>82</v>
      </c>
      <c r="AA64" s="21">
        <f t="shared" si="3"/>
        <v>80.75</v>
      </c>
      <c r="AB64">
        <v>84</v>
      </c>
      <c r="AC64">
        <v>97</v>
      </c>
      <c r="AD64">
        <v>96</v>
      </c>
      <c r="AE64">
        <v>102</v>
      </c>
      <c r="AF64" s="21">
        <f t="shared" si="4"/>
        <v>94.75</v>
      </c>
      <c r="AG64" s="22">
        <v>107</v>
      </c>
      <c r="AH64" s="22">
        <v>105</v>
      </c>
      <c r="AI64" s="22">
        <v>100</v>
      </c>
      <c r="AJ64" s="22">
        <v>99</v>
      </c>
      <c r="AK64" s="21">
        <f t="shared" si="5"/>
        <v>102.75</v>
      </c>
      <c r="AL64" s="21"/>
      <c r="AM64" s="21"/>
      <c r="AN64" s="21"/>
      <c r="AO64" s="21"/>
      <c r="AP64" s="21" t="e">
        <f t="shared" si="6"/>
        <v>#DIV/0!</v>
      </c>
      <c r="AQ64" s="21"/>
      <c r="AR64">
        <v>107</v>
      </c>
      <c r="AS64">
        <v>105</v>
      </c>
      <c r="AT64">
        <v>100</v>
      </c>
      <c r="AU64">
        <v>99</v>
      </c>
      <c r="AV64" s="21">
        <f t="shared" si="7"/>
        <v>102.75</v>
      </c>
      <c r="AW64">
        <v>0</v>
      </c>
      <c r="AX64">
        <v>0</v>
      </c>
      <c r="AY64">
        <v>0</v>
      </c>
      <c r="AZ64" s="21">
        <f t="shared" si="8"/>
        <v>0</v>
      </c>
      <c r="BA64">
        <v>0</v>
      </c>
      <c r="BB64">
        <v>0</v>
      </c>
      <c r="BC64">
        <v>0</v>
      </c>
      <c r="BD64" s="21">
        <f t="shared" si="9"/>
        <v>0</v>
      </c>
      <c r="BH64" s="21">
        <f t="shared" si="10"/>
        <v>0</v>
      </c>
      <c r="BI64">
        <v>26.3</v>
      </c>
      <c r="BJ64">
        <v>15.8</v>
      </c>
      <c r="BK64" s="18">
        <f t="shared" si="11"/>
        <v>39.923954372623569</v>
      </c>
      <c r="BL64" s="18">
        <f t="shared" si="12"/>
        <v>1.9695817490494278</v>
      </c>
      <c r="BM64" s="19">
        <f t="shared" si="13"/>
        <v>44779.96958174905</v>
      </c>
      <c r="BN64" s="71">
        <f t="shared" si="14"/>
        <v>94.969581749050121</v>
      </c>
      <c r="BO64">
        <v>6</v>
      </c>
      <c r="BP64" s="23">
        <f t="shared" si="15"/>
        <v>7.238999999999999</v>
      </c>
      <c r="BQ64">
        <v>8.34</v>
      </c>
      <c r="BR64" s="21">
        <v>7.9</v>
      </c>
      <c r="BS64" s="22">
        <f t="shared" si="16"/>
        <v>12266.79187158192</v>
      </c>
      <c r="BT64" s="22">
        <f t="shared" si="17"/>
        <v>228.0365155614588</v>
      </c>
      <c r="BU64">
        <v>99.1</v>
      </c>
      <c r="BV64" s="21">
        <v>4.68</v>
      </c>
      <c r="BW64" s="21">
        <v>4.96</v>
      </c>
      <c r="BX64" s="71">
        <f t="shared" si="18"/>
        <v>51.320462427745667</v>
      </c>
    </row>
    <row r="65" spans="2:76" x14ac:dyDescent="0.3">
      <c r="B65">
        <v>2022</v>
      </c>
      <c r="C65" t="s">
        <v>125</v>
      </c>
      <c r="D65">
        <v>307</v>
      </c>
      <c r="E65">
        <v>3</v>
      </c>
      <c r="F65">
        <v>1</v>
      </c>
      <c r="G65" t="s">
        <v>15</v>
      </c>
      <c r="H65">
        <v>1</v>
      </c>
      <c r="I65" t="s">
        <v>16</v>
      </c>
      <c r="J65">
        <v>45</v>
      </c>
      <c r="K65">
        <v>61</v>
      </c>
      <c r="L65" s="22">
        <f t="shared" si="0"/>
        <v>219.64359718193123</v>
      </c>
      <c r="M65">
        <v>40</v>
      </c>
      <c r="N65">
        <v>38</v>
      </c>
      <c r="O65">
        <v>36</v>
      </c>
      <c r="P65">
        <v>35</v>
      </c>
      <c r="Q65" s="21">
        <f t="shared" si="1"/>
        <v>37.25</v>
      </c>
      <c r="R65">
        <v>54</v>
      </c>
      <c r="S65">
        <v>50</v>
      </c>
      <c r="T65">
        <v>49</v>
      </c>
      <c r="U65">
        <v>52</v>
      </c>
      <c r="V65" s="21">
        <f t="shared" si="19"/>
        <v>51.25</v>
      </c>
      <c r="W65">
        <v>83</v>
      </c>
      <c r="X65">
        <v>84</v>
      </c>
      <c r="Y65">
        <v>81</v>
      </c>
      <c r="Z65">
        <v>80</v>
      </c>
      <c r="AA65" s="21">
        <f t="shared" si="3"/>
        <v>82</v>
      </c>
      <c r="AB65">
        <v>111</v>
      </c>
      <c r="AC65">
        <v>105</v>
      </c>
      <c r="AD65">
        <v>108</v>
      </c>
      <c r="AE65">
        <v>107</v>
      </c>
      <c r="AF65" s="21">
        <f t="shared" si="4"/>
        <v>107.75</v>
      </c>
      <c r="AG65" s="22">
        <v>111</v>
      </c>
      <c r="AH65" s="22">
        <v>111</v>
      </c>
      <c r="AI65" s="22">
        <v>101</v>
      </c>
      <c r="AJ65" s="22">
        <v>111</v>
      </c>
      <c r="AK65" s="21">
        <f t="shared" si="5"/>
        <v>108.5</v>
      </c>
      <c r="AL65" s="21"/>
      <c r="AM65" s="21"/>
      <c r="AN65" s="21"/>
      <c r="AO65" s="21"/>
      <c r="AP65" s="21" t="e">
        <f t="shared" si="6"/>
        <v>#DIV/0!</v>
      </c>
      <c r="AQ65" s="21"/>
      <c r="AR65">
        <v>111</v>
      </c>
      <c r="AS65">
        <v>111</v>
      </c>
      <c r="AT65">
        <v>101</v>
      </c>
      <c r="AU65">
        <v>111</v>
      </c>
      <c r="AV65" s="21">
        <f t="shared" si="7"/>
        <v>108.5</v>
      </c>
      <c r="AW65">
        <v>0</v>
      </c>
      <c r="AX65">
        <v>0</v>
      </c>
      <c r="AY65">
        <v>0</v>
      </c>
      <c r="AZ65" s="21">
        <f t="shared" si="8"/>
        <v>0</v>
      </c>
      <c r="BA65">
        <v>0</v>
      </c>
      <c r="BB65">
        <v>0</v>
      </c>
      <c r="BC65">
        <v>0</v>
      </c>
      <c r="BD65" s="21">
        <f t="shared" si="9"/>
        <v>0</v>
      </c>
      <c r="BH65" s="21">
        <f t="shared" si="10"/>
        <v>0</v>
      </c>
      <c r="BI65">
        <v>23.4</v>
      </c>
      <c r="BJ65">
        <v>14.6</v>
      </c>
      <c r="BK65" s="18">
        <f t="shared" si="11"/>
        <v>37.606837606837608</v>
      </c>
      <c r="BL65" s="18">
        <f t="shared" si="12"/>
        <v>1.0427350427350432</v>
      </c>
      <c r="BM65" s="19">
        <f t="shared" si="13"/>
        <v>44779.042735042734</v>
      </c>
      <c r="BN65" s="71">
        <f t="shared" si="14"/>
        <v>94.042735042734421</v>
      </c>
      <c r="BO65">
        <v>6</v>
      </c>
      <c r="BP65" s="23">
        <f t="shared" si="15"/>
        <v>7.238999999999999</v>
      </c>
      <c r="BQ65">
        <v>8.02</v>
      </c>
      <c r="BR65" s="21">
        <v>7.7</v>
      </c>
      <c r="BS65" s="22">
        <f t="shared" si="16"/>
        <v>11821.739501911215</v>
      </c>
      <c r="BT65" s="22">
        <f t="shared" si="17"/>
        <v>219.76310612527257</v>
      </c>
      <c r="BU65">
        <v>97.6</v>
      </c>
      <c r="BV65" s="21">
        <v>5.13</v>
      </c>
      <c r="BW65" s="21">
        <v>4.99</v>
      </c>
      <c r="BX65" s="71">
        <f t="shared" si="18"/>
        <v>53.992832369942207</v>
      </c>
    </row>
    <row r="66" spans="2:76" x14ac:dyDescent="0.3">
      <c r="B66">
        <v>2022</v>
      </c>
      <c r="C66" t="s">
        <v>125</v>
      </c>
      <c r="D66">
        <v>308</v>
      </c>
      <c r="E66">
        <v>3</v>
      </c>
      <c r="F66">
        <v>8</v>
      </c>
      <c r="G66" t="s">
        <v>15</v>
      </c>
      <c r="H66">
        <v>8</v>
      </c>
      <c r="I66" t="s">
        <v>23</v>
      </c>
      <c r="J66">
        <v>48</v>
      </c>
      <c r="K66">
        <v>53</v>
      </c>
      <c r="L66" s="22">
        <f t="shared" si="0"/>
        <v>209.28305014504767</v>
      </c>
      <c r="M66">
        <v>37</v>
      </c>
      <c r="N66">
        <v>34</v>
      </c>
      <c r="O66">
        <v>36</v>
      </c>
      <c r="P66">
        <v>35</v>
      </c>
      <c r="Q66" s="21">
        <f t="shared" si="1"/>
        <v>35.5</v>
      </c>
      <c r="R66">
        <v>67</v>
      </c>
      <c r="S66">
        <v>60</v>
      </c>
      <c r="T66">
        <v>66</v>
      </c>
      <c r="U66">
        <v>63</v>
      </c>
      <c r="V66" s="21">
        <f t="shared" si="19"/>
        <v>64</v>
      </c>
      <c r="W66">
        <v>87</v>
      </c>
      <c r="X66">
        <v>82</v>
      </c>
      <c r="Y66">
        <v>84</v>
      </c>
      <c r="Z66">
        <v>79</v>
      </c>
      <c r="AA66" s="21">
        <f t="shared" si="3"/>
        <v>83</v>
      </c>
      <c r="AB66">
        <v>93</v>
      </c>
      <c r="AC66">
        <v>90</v>
      </c>
      <c r="AD66">
        <v>89</v>
      </c>
      <c r="AE66">
        <v>94</v>
      </c>
      <c r="AF66" s="21">
        <f t="shared" si="4"/>
        <v>91.5</v>
      </c>
      <c r="AG66" s="22">
        <v>101</v>
      </c>
      <c r="AH66" s="22">
        <v>102</v>
      </c>
      <c r="AI66" s="22">
        <v>107</v>
      </c>
      <c r="AJ66" s="22">
        <v>98</v>
      </c>
      <c r="AK66" s="21">
        <f t="shared" si="5"/>
        <v>102</v>
      </c>
      <c r="AL66" s="21"/>
      <c r="AM66" s="21"/>
      <c r="AN66" s="21"/>
      <c r="AO66" s="21"/>
      <c r="AP66" s="21" t="e">
        <f t="shared" si="6"/>
        <v>#DIV/0!</v>
      </c>
      <c r="AQ66" s="21"/>
      <c r="AR66">
        <v>101</v>
      </c>
      <c r="AS66">
        <v>102</v>
      </c>
      <c r="AT66">
        <v>107</v>
      </c>
      <c r="AU66">
        <v>98</v>
      </c>
      <c r="AV66" s="21">
        <f t="shared" si="7"/>
        <v>102</v>
      </c>
      <c r="AW66">
        <v>0</v>
      </c>
      <c r="AX66">
        <v>0</v>
      </c>
      <c r="AY66">
        <v>0</v>
      </c>
      <c r="AZ66" s="21">
        <f t="shared" si="8"/>
        <v>0</v>
      </c>
      <c r="BA66">
        <v>0</v>
      </c>
      <c r="BB66">
        <v>0</v>
      </c>
      <c r="BC66">
        <v>0</v>
      </c>
      <c r="BD66" s="21">
        <f t="shared" si="9"/>
        <v>0</v>
      </c>
      <c r="BH66" s="21">
        <f t="shared" si="10"/>
        <v>0</v>
      </c>
      <c r="BI66">
        <v>28.2</v>
      </c>
      <c r="BJ66">
        <v>17.100000000000001</v>
      </c>
      <c r="BK66" s="18">
        <f t="shared" si="11"/>
        <v>39.361702127659569</v>
      </c>
      <c r="BL66" s="18">
        <f t="shared" si="12"/>
        <v>1.7446808510638276</v>
      </c>
      <c r="BM66" s="19">
        <f t="shared" si="13"/>
        <v>44779.744680851065</v>
      </c>
      <c r="BN66" s="71">
        <f t="shared" si="14"/>
        <v>94.744680851064913</v>
      </c>
      <c r="BO66">
        <v>6</v>
      </c>
      <c r="BP66" s="23">
        <f t="shared" si="15"/>
        <v>7.238999999999999</v>
      </c>
      <c r="BQ66">
        <v>8.75</v>
      </c>
      <c r="BR66" s="21">
        <v>8.4</v>
      </c>
      <c r="BS66" s="22">
        <f t="shared" si="16"/>
        <v>12799.966782369424</v>
      </c>
      <c r="BT66" s="22">
        <f t="shared" si="17"/>
        <v>237.94810044148286</v>
      </c>
      <c r="BU66">
        <v>99.7</v>
      </c>
      <c r="BV66" s="21">
        <v>4.71</v>
      </c>
      <c r="BW66" s="21">
        <v>4.68</v>
      </c>
      <c r="BX66" s="71">
        <f t="shared" si="18"/>
        <v>49.718150289017338</v>
      </c>
    </row>
    <row r="67" spans="2:76" x14ac:dyDescent="0.3">
      <c r="B67">
        <v>2022</v>
      </c>
      <c r="C67" t="s">
        <v>125</v>
      </c>
      <c r="D67">
        <v>309</v>
      </c>
      <c r="E67">
        <v>3</v>
      </c>
      <c r="F67">
        <v>6</v>
      </c>
      <c r="G67" t="s">
        <v>15</v>
      </c>
      <c r="H67">
        <v>6</v>
      </c>
      <c r="I67" t="s">
        <v>21</v>
      </c>
      <c r="J67">
        <v>56</v>
      </c>
      <c r="K67">
        <v>36</v>
      </c>
      <c r="L67" s="22">
        <f t="shared" si="0"/>
        <v>190.63406547865728</v>
      </c>
      <c r="M67">
        <v>43</v>
      </c>
      <c r="N67">
        <v>44</v>
      </c>
      <c r="O67">
        <v>43</v>
      </c>
      <c r="P67">
        <v>35</v>
      </c>
      <c r="Q67" s="21">
        <f t="shared" si="1"/>
        <v>41.25</v>
      </c>
      <c r="R67">
        <v>51</v>
      </c>
      <c r="S67">
        <v>50</v>
      </c>
      <c r="T67">
        <v>49</v>
      </c>
      <c r="U67">
        <v>52</v>
      </c>
      <c r="V67" s="21">
        <f t="shared" si="19"/>
        <v>50.5</v>
      </c>
      <c r="W67">
        <v>97</v>
      </c>
      <c r="X67">
        <v>95</v>
      </c>
      <c r="Y67">
        <v>90</v>
      </c>
      <c r="Z67">
        <v>90</v>
      </c>
      <c r="AA67" s="21">
        <f t="shared" si="3"/>
        <v>93</v>
      </c>
      <c r="AB67">
        <v>94</v>
      </c>
      <c r="AC67">
        <v>84</v>
      </c>
      <c r="AD67">
        <v>86</v>
      </c>
      <c r="AE67">
        <v>83</v>
      </c>
      <c r="AF67" s="21">
        <f t="shared" si="4"/>
        <v>86.75</v>
      </c>
      <c r="AG67" s="22">
        <v>82</v>
      </c>
      <c r="AH67" s="22">
        <v>92</v>
      </c>
      <c r="AI67" s="22">
        <v>89</v>
      </c>
      <c r="AJ67" s="22">
        <v>95</v>
      </c>
      <c r="AK67" s="21">
        <f t="shared" si="5"/>
        <v>89.5</v>
      </c>
      <c r="AL67" s="21"/>
      <c r="AM67" s="21"/>
      <c r="AN67" s="21"/>
      <c r="AO67" s="21"/>
      <c r="AP67" s="21" t="e">
        <f t="shared" si="6"/>
        <v>#DIV/0!</v>
      </c>
      <c r="AQ67" s="21"/>
      <c r="AR67">
        <v>82</v>
      </c>
      <c r="AS67">
        <v>92</v>
      </c>
      <c r="AT67">
        <v>89</v>
      </c>
      <c r="AU67">
        <v>95</v>
      </c>
      <c r="AV67" s="21">
        <f t="shared" si="7"/>
        <v>89.5</v>
      </c>
      <c r="AW67">
        <v>0</v>
      </c>
      <c r="AX67">
        <v>0</v>
      </c>
      <c r="AY67">
        <v>0</v>
      </c>
      <c r="AZ67" s="21">
        <f t="shared" si="8"/>
        <v>0</v>
      </c>
      <c r="BA67">
        <v>0</v>
      </c>
      <c r="BB67">
        <v>0</v>
      </c>
      <c r="BC67">
        <v>0</v>
      </c>
      <c r="BD67" s="21">
        <f t="shared" si="9"/>
        <v>0</v>
      </c>
      <c r="BH67" s="21">
        <f t="shared" si="10"/>
        <v>0</v>
      </c>
      <c r="BI67">
        <v>21.9</v>
      </c>
      <c r="BJ67">
        <v>12.3</v>
      </c>
      <c r="BK67" s="18">
        <f t="shared" si="11"/>
        <v>43.835616438356155</v>
      </c>
      <c r="BL67" s="18">
        <f t="shared" si="12"/>
        <v>3.5342465753424621</v>
      </c>
      <c r="BM67" s="19">
        <f t="shared" si="13"/>
        <v>44781.534246575342</v>
      </c>
      <c r="BN67" s="71">
        <f t="shared" si="14"/>
        <v>96.534246575341967</v>
      </c>
      <c r="BO67">
        <v>6</v>
      </c>
      <c r="BP67" s="23">
        <f t="shared" si="15"/>
        <v>7.238999999999999</v>
      </c>
      <c r="BQ67">
        <v>8.6199999999999992</v>
      </c>
      <c r="BR67" s="21">
        <v>8</v>
      </c>
      <c r="BS67" s="22">
        <f t="shared" si="16"/>
        <v>12664.860458004052</v>
      </c>
      <c r="BT67" s="22">
        <f t="shared" si="17"/>
        <v>235.43650851417789</v>
      </c>
      <c r="BU67">
        <v>97.5</v>
      </c>
      <c r="BV67" s="21">
        <v>4.6100000000000003</v>
      </c>
      <c r="BW67" s="21">
        <v>4.5600000000000005</v>
      </c>
      <c r="BX67" s="71">
        <f t="shared" si="18"/>
        <v>48.765317919075152</v>
      </c>
    </row>
    <row r="68" spans="2:76" x14ac:dyDescent="0.3">
      <c r="B68">
        <v>2022</v>
      </c>
      <c r="C68" t="s">
        <v>125</v>
      </c>
      <c r="D68">
        <v>310</v>
      </c>
      <c r="E68">
        <v>3</v>
      </c>
      <c r="F68">
        <v>22</v>
      </c>
      <c r="G68" t="s">
        <v>27</v>
      </c>
      <c r="H68">
        <v>4</v>
      </c>
      <c r="I68" t="s">
        <v>19</v>
      </c>
      <c r="J68">
        <v>47</v>
      </c>
      <c r="K68">
        <v>66</v>
      </c>
      <c r="L68" s="22">
        <f t="shared" si="0"/>
        <v>234.14836303356819</v>
      </c>
      <c r="M68">
        <v>38</v>
      </c>
      <c r="N68">
        <v>36</v>
      </c>
      <c r="O68">
        <v>37</v>
      </c>
      <c r="P68">
        <v>35</v>
      </c>
      <c r="Q68" s="21">
        <f t="shared" si="1"/>
        <v>36.5</v>
      </c>
      <c r="R68">
        <v>67</v>
      </c>
      <c r="S68">
        <v>60</v>
      </c>
      <c r="T68">
        <v>66</v>
      </c>
      <c r="U68">
        <v>63</v>
      </c>
      <c r="V68" s="21">
        <f t="shared" si="19"/>
        <v>64</v>
      </c>
      <c r="W68">
        <v>80</v>
      </c>
      <c r="X68">
        <v>79</v>
      </c>
      <c r="Y68">
        <v>74</v>
      </c>
      <c r="Z68">
        <v>78</v>
      </c>
      <c r="AA68" s="21">
        <f t="shared" si="3"/>
        <v>77.75</v>
      </c>
      <c r="AB68">
        <v>83</v>
      </c>
      <c r="AC68">
        <v>86</v>
      </c>
      <c r="AD68">
        <v>94</v>
      </c>
      <c r="AE68">
        <v>91</v>
      </c>
      <c r="AF68" s="21">
        <f t="shared" si="4"/>
        <v>88.5</v>
      </c>
      <c r="AG68" s="22">
        <v>82</v>
      </c>
      <c r="AH68" s="22">
        <v>85</v>
      </c>
      <c r="AI68" s="22">
        <v>91</v>
      </c>
      <c r="AJ68" s="22">
        <v>89</v>
      </c>
      <c r="AK68" s="21">
        <f t="shared" si="5"/>
        <v>86.75</v>
      </c>
      <c r="AL68" s="21"/>
      <c r="AM68" s="21"/>
      <c r="AN68" s="21"/>
      <c r="AO68" s="21"/>
      <c r="AP68" s="21" t="e">
        <f t="shared" si="6"/>
        <v>#DIV/0!</v>
      </c>
      <c r="AQ68" s="21"/>
      <c r="AR68">
        <v>82</v>
      </c>
      <c r="AS68">
        <v>85</v>
      </c>
      <c r="AT68">
        <v>91</v>
      </c>
      <c r="AU68">
        <v>89</v>
      </c>
      <c r="AV68" s="21">
        <f t="shared" si="7"/>
        <v>86.75</v>
      </c>
      <c r="AW68">
        <v>0</v>
      </c>
      <c r="AX68">
        <v>0</v>
      </c>
      <c r="AY68">
        <v>0</v>
      </c>
      <c r="AZ68" s="21">
        <f t="shared" si="8"/>
        <v>0</v>
      </c>
      <c r="BA68">
        <v>0</v>
      </c>
      <c r="BB68">
        <v>0</v>
      </c>
      <c r="BC68">
        <v>0</v>
      </c>
      <c r="BD68" s="21">
        <f t="shared" si="9"/>
        <v>0</v>
      </c>
      <c r="BH68" s="21">
        <f t="shared" si="10"/>
        <v>0</v>
      </c>
      <c r="BI68">
        <v>31.4</v>
      </c>
      <c r="BJ68">
        <v>18.600000000000001</v>
      </c>
      <c r="BK68" s="18">
        <f t="shared" si="11"/>
        <v>40.764331210191074</v>
      </c>
      <c r="BL68" s="18">
        <f t="shared" si="12"/>
        <v>2.3057324840764295</v>
      </c>
      <c r="BM68" s="19">
        <f t="shared" si="13"/>
        <v>44780.305732484077</v>
      </c>
      <c r="BN68" s="71">
        <f t="shared" si="14"/>
        <v>95.305732484077453</v>
      </c>
      <c r="BO68">
        <v>6</v>
      </c>
      <c r="BP68" s="23">
        <f t="shared" si="15"/>
        <v>7.238999999999999</v>
      </c>
      <c r="BQ68">
        <v>9.06</v>
      </c>
      <c r="BR68" s="21">
        <v>7</v>
      </c>
      <c r="BS68" s="22">
        <f t="shared" si="16"/>
        <v>13456.014986261796</v>
      </c>
      <c r="BT68" s="22">
        <f t="shared" si="17"/>
        <v>250.1438683343539</v>
      </c>
      <c r="BU68">
        <v>98.5</v>
      </c>
      <c r="BV68" s="21">
        <v>5.37</v>
      </c>
      <c r="BW68" s="21">
        <v>5.43</v>
      </c>
      <c r="BX68" s="71">
        <f t="shared" si="18"/>
        <v>58.057803468208093</v>
      </c>
    </row>
    <row r="69" spans="2:76" x14ac:dyDescent="0.3">
      <c r="B69">
        <v>2022</v>
      </c>
      <c r="C69" t="s">
        <v>125</v>
      </c>
      <c r="D69">
        <v>311</v>
      </c>
      <c r="E69">
        <v>3</v>
      </c>
      <c r="F69">
        <v>20</v>
      </c>
      <c r="G69" t="s">
        <v>27</v>
      </c>
      <c r="H69">
        <v>2</v>
      </c>
      <c r="I69" t="s">
        <v>17</v>
      </c>
      <c r="J69">
        <v>51</v>
      </c>
      <c r="K69">
        <v>58</v>
      </c>
      <c r="L69" s="22">
        <f t="shared" si="0"/>
        <v>225.85992540406136</v>
      </c>
      <c r="M69">
        <v>43</v>
      </c>
      <c r="N69">
        <v>37</v>
      </c>
      <c r="O69">
        <v>34</v>
      </c>
      <c r="P69">
        <v>30</v>
      </c>
      <c r="Q69" s="21">
        <f t="shared" si="1"/>
        <v>36</v>
      </c>
      <c r="R69">
        <v>51</v>
      </c>
      <c r="S69">
        <v>50</v>
      </c>
      <c r="T69">
        <v>50</v>
      </c>
      <c r="U69">
        <v>49</v>
      </c>
      <c r="V69" s="21">
        <f t="shared" si="19"/>
        <v>50</v>
      </c>
      <c r="W69">
        <v>86</v>
      </c>
      <c r="X69">
        <v>79</v>
      </c>
      <c r="Y69">
        <v>78</v>
      </c>
      <c r="Z69">
        <v>74</v>
      </c>
      <c r="AA69" s="21">
        <f t="shared" si="3"/>
        <v>79.25</v>
      </c>
      <c r="AB69">
        <v>96</v>
      </c>
      <c r="AC69">
        <v>91</v>
      </c>
      <c r="AD69">
        <v>88</v>
      </c>
      <c r="AE69">
        <v>86</v>
      </c>
      <c r="AF69" s="21">
        <f t="shared" si="4"/>
        <v>90.25</v>
      </c>
      <c r="AG69" s="22">
        <v>82</v>
      </c>
      <c r="AH69" s="22">
        <v>89</v>
      </c>
      <c r="AI69" s="22">
        <v>87</v>
      </c>
      <c r="AJ69" s="22">
        <v>82</v>
      </c>
      <c r="AK69" s="21">
        <f t="shared" si="5"/>
        <v>85</v>
      </c>
      <c r="AP69" s="21" t="e">
        <f t="shared" si="6"/>
        <v>#DIV/0!</v>
      </c>
      <c r="AR69">
        <v>82</v>
      </c>
      <c r="AS69">
        <v>89</v>
      </c>
      <c r="AT69">
        <v>87</v>
      </c>
      <c r="AU69">
        <v>82</v>
      </c>
      <c r="AV69" s="21">
        <f t="shared" si="7"/>
        <v>85</v>
      </c>
      <c r="AW69">
        <v>5</v>
      </c>
      <c r="AX69">
        <v>5</v>
      </c>
      <c r="AY69">
        <v>0</v>
      </c>
      <c r="AZ69" s="21">
        <f t="shared" si="8"/>
        <v>5</v>
      </c>
      <c r="BA69">
        <v>0</v>
      </c>
      <c r="BB69">
        <v>0</v>
      </c>
      <c r="BC69">
        <v>0</v>
      </c>
      <c r="BD69" s="21">
        <f t="shared" si="9"/>
        <v>0</v>
      </c>
      <c r="BH69" s="21">
        <f t="shared" si="10"/>
        <v>0</v>
      </c>
      <c r="BI69">
        <v>22.4</v>
      </c>
      <c r="BJ69">
        <v>12.8</v>
      </c>
      <c r="BK69" s="18">
        <f t="shared" si="11"/>
        <v>42.857142857142847</v>
      </c>
      <c r="BL69" s="18">
        <f t="shared" si="12"/>
        <v>3.1428571428571388</v>
      </c>
      <c r="BM69" s="19">
        <f t="shared" si="13"/>
        <v>44781.142857142855</v>
      </c>
      <c r="BN69" s="71">
        <f t="shared" si="14"/>
        <v>96.142857142855064</v>
      </c>
      <c r="BO69">
        <v>6</v>
      </c>
      <c r="BP69" s="23">
        <f t="shared" si="15"/>
        <v>7.238999999999999</v>
      </c>
      <c r="BQ69">
        <v>9.36</v>
      </c>
      <c r="BR69">
        <v>8.5</v>
      </c>
      <c r="BS69" s="22">
        <f t="shared" si="16"/>
        <v>13677.359390009318</v>
      </c>
      <c r="BT69" s="22">
        <f t="shared" si="17"/>
        <v>254.25860404504502</v>
      </c>
      <c r="BU69">
        <v>104.2</v>
      </c>
      <c r="BV69">
        <v>5.0200000000000005</v>
      </c>
      <c r="BW69">
        <v>5.38</v>
      </c>
      <c r="BX69" s="71">
        <f t="shared" si="18"/>
        <v>55.005780346820814</v>
      </c>
    </row>
    <row r="70" spans="2:76" x14ac:dyDescent="0.3">
      <c r="B70">
        <v>2022</v>
      </c>
      <c r="C70" t="s">
        <v>125</v>
      </c>
      <c r="D70">
        <v>312</v>
      </c>
      <c r="E70">
        <v>3</v>
      </c>
      <c r="F70">
        <v>19</v>
      </c>
      <c r="G70" t="s">
        <v>27</v>
      </c>
      <c r="H70">
        <v>1</v>
      </c>
      <c r="I70" t="s">
        <v>16</v>
      </c>
      <c r="J70">
        <v>47</v>
      </c>
      <c r="K70">
        <v>38</v>
      </c>
      <c r="L70" s="22">
        <f t="shared" ref="L70:L112" si="20">(AVERAGE(J70:K70))/L$2</f>
        <v>176.12929962702032</v>
      </c>
      <c r="M70">
        <v>38</v>
      </c>
      <c r="N70">
        <v>35</v>
      </c>
      <c r="O70">
        <v>35</v>
      </c>
      <c r="P70">
        <v>36</v>
      </c>
      <c r="Q70" s="21">
        <f t="shared" ref="Q70:Q112" si="21">AVERAGE(M70:P70)</f>
        <v>36</v>
      </c>
      <c r="R70">
        <v>48</v>
      </c>
      <c r="S70">
        <v>50</v>
      </c>
      <c r="T70">
        <v>55</v>
      </c>
      <c r="U70">
        <v>55</v>
      </c>
      <c r="V70" s="21">
        <f t="shared" si="19"/>
        <v>52</v>
      </c>
      <c r="W70">
        <v>85</v>
      </c>
      <c r="X70">
        <v>82</v>
      </c>
      <c r="Y70">
        <v>82</v>
      </c>
      <c r="Z70">
        <v>84</v>
      </c>
      <c r="AA70" s="21">
        <f t="shared" ref="AA70:AA112" si="22">AVERAGE(W70:Z70)</f>
        <v>83.25</v>
      </c>
      <c r="AB70">
        <v>87</v>
      </c>
      <c r="AC70">
        <v>93</v>
      </c>
      <c r="AD70">
        <v>95</v>
      </c>
      <c r="AE70">
        <v>97</v>
      </c>
      <c r="AF70" s="21">
        <f t="shared" ref="AF70:AF112" si="23">AVERAGE(AB70:AE70)</f>
        <v>93</v>
      </c>
      <c r="AG70" s="22">
        <v>87</v>
      </c>
      <c r="AH70" s="22">
        <v>86</v>
      </c>
      <c r="AI70" s="22">
        <v>92</v>
      </c>
      <c r="AJ70" s="22">
        <v>84</v>
      </c>
      <c r="AK70" s="21">
        <f t="shared" ref="AK70:AK112" si="24">AVERAGE(AG70:AJ70)</f>
        <v>87.25</v>
      </c>
      <c r="AP70" s="21" t="e">
        <f t="shared" ref="AP70:AP112" si="25">AVERAGE(AL70:AO70)</f>
        <v>#DIV/0!</v>
      </c>
      <c r="AR70">
        <v>87</v>
      </c>
      <c r="AS70">
        <v>86</v>
      </c>
      <c r="AT70">
        <v>92</v>
      </c>
      <c r="AU70">
        <v>84</v>
      </c>
      <c r="AV70" s="21">
        <f t="shared" ref="AV70:AV112" si="26">AVERAGE(AR70:AU70)</f>
        <v>87.25</v>
      </c>
      <c r="AW70">
        <v>80</v>
      </c>
      <c r="AX70">
        <v>20</v>
      </c>
      <c r="AY70">
        <v>0</v>
      </c>
      <c r="AZ70" s="21">
        <f t="shared" ref="AZ70:AZ112" si="27">((2*AW70)/3)+(AX70/3)+AY70</f>
        <v>60</v>
      </c>
      <c r="BA70">
        <v>0</v>
      </c>
      <c r="BB70">
        <v>0</v>
      </c>
      <c r="BC70">
        <v>0</v>
      </c>
      <c r="BD70" s="21">
        <f t="shared" ref="BD70:BD112" si="28">((2*BA70)/3)+(BB70/3)+BC70</f>
        <v>0</v>
      </c>
      <c r="BH70" s="21">
        <f t="shared" ref="BH70:BH112" si="29">((2*BE70)/3)+(BF70/3)+BG70</f>
        <v>0</v>
      </c>
      <c r="BI70">
        <v>23.4</v>
      </c>
      <c r="BJ70">
        <v>14.2</v>
      </c>
      <c r="BK70" s="18">
        <f t="shared" ref="BK70:BK112" si="30">(BI70-BJ70)/BI70*100</f>
        <v>39.316239316239319</v>
      </c>
      <c r="BL70" s="18">
        <f t="shared" ref="BL70:BL111" si="31">(BK70-35)/2.5</f>
        <v>1.7264957264957275</v>
      </c>
      <c r="BM70" s="19">
        <f t="shared" ref="BM70:BM112" si="32">BL$2+BL70</f>
        <v>44779.726495726492</v>
      </c>
      <c r="BN70" s="71">
        <f t="shared" ref="BN70:BN112" si="33">BM70-BL$1</f>
        <v>94.726495726492431</v>
      </c>
      <c r="BO70">
        <v>6</v>
      </c>
      <c r="BP70" s="23">
        <f t="shared" ref="BP70:BP112" si="34">BO70*BP$2</f>
        <v>7.238999999999999</v>
      </c>
      <c r="BQ70">
        <v>9.31</v>
      </c>
      <c r="BR70">
        <v>7</v>
      </c>
      <c r="BS70" s="22">
        <f t="shared" ref="BS70:BS112" si="35">(BQ70*(100-BR70)/(100-13.5))/BP70*10000</f>
        <v>13827.317828046063</v>
      </c>
      <c r="BT70" s="22">
        <f t="shared" ref="BT70:BT112" si="36">BS70*(2.204/48)*(1/2.47)</f>
        <v>257.04629295726653</v>
      </c>
      <c r="BU70">
        <v>100.7</v>
      </c>
      <c r="BV70">
        <v>5.25</v>
      </c>
      <c r="BW70">
        <v>5.24</v>
      </c>
      <c r="BX70" s="71">
        <f t="shared" ref="BX70:BX112" si="37">(AVERAGE(BV70:BW70)*10)*((100-BR70)/(100-13.5))</f>
        <v>56.391329479768793</v>
      </c>
    </row>
    <row r="71" spans="2:76" x14ac:dyDescent="0.3">
      <c r="B71">
        <v>2022</v>
      </c>
      <c r="C71" t="s">
        <v>125</v>
      </c>
      <c r="D71">
        <v>313</v>
      </c>
      <c r="E71">
        <v>3</v>
      </c>
      <c r="F71">
        <v>23</v>
      </c>
      <c r="G71" t="s">
        <v>27</v>
      </c>
      <c r="H71">
        <v>5</v>
      </c>
      <c r="I71" t="s">
        <v>20</v>
      </c>
      <c r="J71">
        <v>67</v>
      </c>
      <c r="K71">
        <v>57</v>
      </c>
      <c r="L71" s="22">
        <f t="shared" si="20"/>
        <v>256.94156651471201</v>
      </c>
      <c r="M71">
        <v>35</v>
      </c>
      <c r="N71">
        <v>32</v>
      </c>
      <c r="O71">
        <v>35</v>
      </c>
      <c r="P71">
        <v>33</v>
      </c>
      <c r="Q71" s="21">
        <f t="shared" si="21"/>
        <v>33.75</v>
      </c>
      <c r="R71">
        <v>48</v>
      </c>
      <c r="S71">
        <v>50</v>
      </c>
      <c r="T71">
        <v>51</v>
      </c>
      <c r="U71">
        <v>54</v>
      </c>
      <c r="V71" s="21">
        <f t="shared" si="19"/>
        <v>50.75</v>
      </c>
      <c r="W71">
        <v>92</v>
      </c>
      <c r="X71">
        <v>99</v>
      </c>
      <c r="Y71">
        <v>81</v>
      </c>
      <c r="Z71">
        <v>84</v>
      </c>
      <c r="AA71" s="21">
        <f t="shared" si="22"/>
        <v>89</v>
      </c>
      <c r="AB71">
        <v>92</v>
      </c>
      <c r="AC71">
        <v>90</v>
      </c>
      <c r="AD71">
        <v>87</v>
      </c>
      <c r="AE71">
        <v>84</v>
      </c>
      <c r="AF71" s="21">
        <f t="shared" si="23"/>
        <v>88.25</v>
      </c>
      <c r="AG71" s="22">
        <v>89</v>
      </c>
      <c r="AH71" s="22">
        <v>85</v>
      </c>
      <c r="AI71" s="22">
        <v>90</v>
      </c>
      <c r="AJ71" s="22">
        <v>89</v>
      </c>
      <c r="AK71" s="21">
        <f t="shared" si="24"/>
        <v>88.25</v>
      </c>
      <c r="AP71" s="21" t="e">
        <f t="shared" si="25"/>
        <v>#DIV/0!</v>
      </c>
      <c r="AR71">
        <v>89</v>
      </c>
      <c r="AS71">
        <v>85</v>
      </c>
      <c r="AT71">
        <v>90</v>
      </c>
      <c r="AU71">
        <v>89</v>
      </c>
      <c r="AV71" s="21">
        <f t="shared" si="26"/>
        <v>88.25</v>
      </c>
      <c r="AW71">
        <v>0</v>
      </c>
      <c r="AX71">
        <v>0</v>
      </c>
      <c r="AY71">
        <v>0</v>
      </c>
      <c r="AZ71" s="21">
        <f t="shared" si="27"/>
        <v>0</v>
      </c>
      <c r="BA71">
        <v>0</v>
      </c>
      <c r="BB71">
        <v>0</v>
      </c>
      <c r="BC71">
        <v>0</v>
      </c>
      <c r="BD71" s="21">
        <f t="shared" si="28"/>
        <v>0</v>
      </c>
      <c r="BH71" s="21">
        <f t="shared" si="29"/>
        <v>0</v>
      </c>
      <c r="BI71">
        <v>25.4</v>
      </c>
      <c r="BJ71">
        <v>15</v>
      </c>
      <c r="BK71" s="18">
        <f t="shared" si="30"/>
        <v>40.944881889763778</v>
      </c>
      <c r="BL71" s="18">
        <f t="shared" si="31"/>
        <v>2.3779527559055111</v>
      </c>
      <c r="BM71" s="19">
        <f t="shared" si="32"/>
        <v>44780.377952755909</v>
      </c>
      <c r="BN71" s="71">
        <f t="shared" si="33"/>
        <v>95.377952755909064</v>
      </c>
      <c r="BO71">
        <v>6</v>
      </c>
      <c r="BP71" s="23">
        <f t="shared" si="34"/>
        <v>7.238999999999999</v>
      </c>
      <c r="BQ71">
        <v>9.2899999999999991</v>
      </c>
      <c r="BR71">
        <v>6.9</v>
      </c>
      <c r="BS71" s="22">
        <f t="shared" si="35"/>
        <v>13812.449744359988</v>
      </c>
      <c r="BT71" s="22">
        <f t="shared" si="36"/>
        <v>256.76989909387157</v>
      </c>
      <c r="BU71">
        <v>97.6</v>
      </c>
      <c r="BV71">
        <v>5.33</v>
      </c>
      <c r="BW71">
        <v>5.39</v>
      </c>
      <c r="BX71" s="71">
        <f t="shared" si="37"/>
        <v>57.689710982658944</v>
      </c>
    </row>
    <row r="72" spans="2:76" x14ac:dyDescent="0.3">
      <c r="B72">
        <v>2022</v>
      </c>
      <c r="C72" t="s">
        <v>125</v>
      </c>
      <c r="D72">
        <v>314</v>
      </c>
      <c r="E72">
        <v>3</v>
      </c>
      <c r="F72">
        <v>24</v>
      </c>
      <c r="G72" t="s">
        <v>27</v>
      </c>
      <c r="H72">
        <v>6</v>
      </c>
      <c r="I72" t="s">
        <v>21</v>
      </c>
      <c r="J72">
        <v>42</v>
      </c>
      <c r="K72">
        <v>47</v>
      </c>
      <c r="L72" s="22">
        <f t="shared" si="20"/>
        <v>184.41773725652715</v>
      </c>
      <c r="M72">
        <v>34</v>
      </c>
      <c r="N72">
        <v>35</v>
      </c>
      <c r="O72">
        <v>37</v>
      </c>
      <c r="P72">
        <v>35</v>
      </c>
      <c r="Q72" s="21">
        <f t="shared" si="21"/>
        <v>35.25</v>
      </c>
      <c r="R72">
        <v>48</v>
      </c>
      <c r="S72">
        <v>55</v>
      </c>
      <c r="T72">
        <v>58</v>
      </c>
      <c r="U72">
        <v>54</v>
      </c>
      <c r="V72" s="21">
        <f t="shared" si="19"/>
        <v>53.75</v>
      </c>
      <c r="W72">
        <v>87</v>
      </c>
      <c r="X72">
        <v>87</v>
      </c>
      <c r="Y72">
        <v>87</v>
      </c>
      <c r="Z72">
        <v>79</v>
      </c>
      <c r="AA72" s="21">
        <f t="shared" si="22"/>
        <v>85</v>
      </c>
      <c r="AB72">
        <v>76</v>
      </c>
      <c r="AC72">
        <v>80</v>
      </c>
      <c r="AD72">
        <v>81</v>
      </c>
      <c r="AE72">
        <v>86</v>
      </c>
      <c r="AF72" s="21">
        <f t="shared" si="23"/>
        <v>80.75</v>
      </c>
      <c r="AG72" s="22">
        <v>78</v>
      </c>
      <c r="AH72" s="22">
        <v>80</v>
      </c>
      <c r="AI72" s="22">
        <v>85</v>
      </c>
      <c r="AJ72" s="22">
        <v>79</v>
      </c>
      <c r="AK72" s="21">
        <f t="shared" si="24"/>
        <v>80.5</v>
      </c>
      <c r="AP72" s="21" t="e">
        <f t="shared" si="25"/>
        <v>#DIV/0!</v>
      </c>
      <c r="AR72">
        <v>78</v>
      </c>
      <c r="AS72">
        <v>80</v>
      </c>
      <c r="AT72">
        <v>85</v>
      </c>
      <c r="AU72">
        <v>79</v>
      </c>
      <c r="AV72" s="21">
        <f t="shared" si="26"/>
        <v>80.5</v>
      </c>
      <c r="AW72">
        <v>0</v>
      </c>
      <c r="AX72">
        <v>0</v>
      </c>
      <c r="AY72">
        <v>0</v>
      </c>
      <c r="AZ72" s="21">
        <f t="shared" si="27"/>
        <v>0</v>
      </c>
      <c r="BA72">
        <v>0</v>
      </c>
      <c r="BB72">
        <v>0</v>
      </c>
      <c r="BC72">
        <v>0</v>
      </c>
      <c r="BD72" s="21">
        <f t="shared" si="28"/>
        <v>0</v>
      </c>
      <c r="BH72" s="21">
        <f t="shared" si="29"/>
        <v>0</v>
      </c>
      <c r="BI72">
        <v>21.8</v>
      </c>
      <c r="BJ72">
        <v>12.2</v>
      </c>
      <c r="BK72" s="18">
        <f t="shared" si="30"/>
        <v>44.036697247706428</v>
      </c>
      <c r="BL72" s="18">
        <f t="shared" si="31"/>
        <v>3.6146788990825711</v>
      </c>
      <c r="BM72" s="19">
        <f t="shared" si="32"/>
        <v>44781.614678899081</v>
      </c>
      <c r="BN72" s="71">
        <f t="shared" si="33"/>
        <v>96.6146788990809</v>
      </c>
      <c r="BO72">
        <v>6</v>
      </c>
      <c r="BP72" s="23">
        <f t="shared" si="34"/>
        <v>7.238999999999999</v>
      </c>
      <c r="BQ72">
        <v>8.57</v>
      </c>
      <c r="BR72">
        <v>6.9</v>
      </c>
      <c r="BS72" s="22">
        <f t="shared" si="35"/>
        <v>12741.947718962876</v>
      </c>
      <c r="BT72" s="22">
        <f t="shared" si="36"/>
        <v>236.86954092943807</v>
      </c>
      <c r="BU72">
        <v>103.3</v>
      </c>
      <c r="BV72">
        <v>5.24</v>
      </c>
      <c r="BW72">
        <v>5.2299999999999995</v>
      </c>
      <c r="BX72" s="71">
        <f t="shared" si="37"/>
        <v>56.344335260115592</v>
      </c>
    </row>
    <row r="73" spans="2:76" x14ac:dyDescent="0.3">
      <c r="B73">
        <v>2022</v>
      </c>
      <c r="C73" t="s">
        <v>125</v>
      </c>
      <c r="D73">
        <v>315</v>
      </c>
      <c r="E73">
        <v>3</v>
      </c>
      <c r="F73">
        <v>25</v>
      </c>
      <c r="G73" t="s">
        <v>27</v>
      </c>
      <c r="H73">
        <v>7</v>
      </c>
      <c r="I73" t="s">
        <v>22</v>
      </c>
      <c r="J73">
        <v>40</v>
      </c>
      <c r="K73">
        <v>45</v>
      </c>
      <c r="L73" s="22">
        <f t="shared" si="20"/>
        <v>176.12929962702032</v>
      </c>
      <c r="M73">
        <v>38</v>
      </c>
      <c r="N73">
        <v>37</v>
      </c>
      <c r="O73">
        <v>40</v>
      </c>
      <c r="P73">
        <v>35</v>
      </c>
      <c r="Q73" s="21">
        <f t="shared" si="21"/>
        <v>37.5</v>
      </c>
      <c r="R73">
        <v>57</v>
      </c>
      <c r="S73">
        <v>56</v>
      </c>
      <c r="T73">
        <v>54</v>
      </c>
      <c r="U73">
        <v>50</v>
      </c>
      <c r="V73" s="21">
        <f t="shared" si="19"/>
        <v>54.25</v>
      </c>
      <c r="W73">
        <v>84</v>
      </c>
      <c r="X73">
        <v>79</v>
      </c>
      <c r="Y73">
        <v>84</v>
      </c>
      <c r="Z73">
        <v>75</v>
      </c>
      <c r="AA73" s="21">
        <f t="shared" si="22"/>
        <v>80.5</v>
      </c>
      <c r="AB73">
        <v>89</v>
      </c>
      <c r="AC73">
        <v>90</v>
      </c>
      <c r="AD73">
        <v>89</v>
      </c>
      <c r="AE73">
        <v>85</v>
      </c>
      <c r="AF73" s="21">
        <f t="shared" si="23"/>
        <v>88.25</v>
      </c>
      <c r="AG73" s="22">
        <v>85</v>
      </c>
      <c r="AH73" s="22">
        <v>87</v>
      </c>
      <c r="AI73" s="22">
        <v>90</v>
      </c>
      <c r="AJ73" s="22">
        <v>85</v>
      </c>
      <c r="AK73" s="21">
        <f t="shared" si="24"/>
        <v>86.75</v>
      </c>
      <c r="AP73" s="21" t="e">
        <f t="shared" si="25"/>
        <v>#DIV/0!</v>
      </c>
      <c r="AR73">
        <v>85</v>
      </c>
      <c r="AS73">
        <v>87</v>
      </c>
      <c r="AT73">
        <v>90</v>
      </c>
      <c r="AU73">
        <v>85</v>
      </c>
      <c r="AV73" s="21">
        <f t="shared" si="26"/>
        <v>86.75</v>
      </c>
      <c r="AW73">
        <v>0</v>
      </c>
      <c r="AX73">
        <v>0</v>
      </c>
      <c r="AY73">
        <v>0</v>
      </c>
      <c r="AZ73" s="21">
        <f t="shared" si="27"/>
        <v>0</v>
      </c>
      <c r="BA73">
        <v>0</v>
      </c>
      <c r="BB73">
        <v>0</v>
      </c>
      <c r="BC73">
        <v>0</v>
      </c>
      <c r="BD73" s="21">
        <f t="shared" si="28"/>
        <v>0</v>
      </c>
      <c r="BH73" s="21">
        <f t="shared" si="29"/>
        <v>0</v>
      </c>
      <c r="BI73">
        <v>30.2</v>
      </c>
      <c r="BJ73">
        <v>17</v>
      </c>
      <c r="BK73" s="18">
        <f t="shared" si="30"/>
        <v>43.70860927152318</v>
      </c>
      <c r="BL73" s="18">
        <f t="shared" si="31"/>
        <v>3.483443708609272</v>
      </c>
      <c r="BM73" s="19">
        <f t="shared" si="32"/>
        <v>44781.48344370861</v>
      </c>
      <c r="BN73" s="71">
        <f t="shared" si="33"/>
        <v>96.483443708610139</v>
      </c>
      <c r="BO73">
        <v>6</v>
      </c>
      <c r="BP73" s="23">
        <f t="shared" si="34"/>
        <v>7.238999999999999</v>
      </c>
      <c r="BQ73">
        <v>9.41</v>
      </c>
      <c r="BR73">
        <v>8.1</v>
      </c>
      <c r="BS73" s="22">
        <f t="shared" si="35"/>
        <v>13810.533342595945</v>
      </c>
      <c r="BT73" s="22">
        <f t="shared" si="36"/>
        <v>256.73427367646309</v>
      </c>
      <c r="BU73">
        <v>103.7</v>
      </c>
      <c r="BV73">
        <v>5.2200000000000006</v>
      </c>
      <c r="BW73">
        <v>5.43</v>
      </c>
      <c r="BX73" s="71">
        <f t="shared" si="37"/>
        <v>56.574277456647401</v>
      </c>
    </row>
    <row r="74" spans="2:76" x14ac:dyDescent="0.3">
      <c r="B74">
        <v>2022</v>
      </c>
      <c r="C74" t="s">
        <v>125</v>
      </c>
      <c r="D74">
        <v>316</v>
      </c>
      <c r="E74">
        <v>3</v>
      </c>
      <c r="F74">
        <v>21</v>
      </c>
      <c r="G74" t="s">
        <v>27</v>
      </c>
      <c r="H74">
        <v>3</v>
      </c>
      <c r="I74" t="s">
        <v>18</v>
      </c>
      <c r="J74">
        <v>42</v>
      </c>
      <c r="K74">
        <v>52</v>
      </c>
      <c r="L74" s="22">
        <f t="shared" si="20"/>
        <v>194.77828429341071</v>
      </c>
      <c r="M74">
        <v>36</v>
      </c>
      <c r="N74">
        <v>37</v>
      </c>
      <c r="O74">
        <v>32</v>
      </c>
      <c r="P74">
        <v>36</v>
      </c>
      <c r="Q74" s="21">
        <f t="shared" si="21"/>
        <v>35.25</v>
      </c>
      <c r="R74">
        <v>54</v>
      </c>
      <c r="S74">
        <v>55</v>
      </c>
      <c r="T74">
        <v>53</v>
      </c>
      <c r="U74">
        <v>50</v>
      </c>
      <c r="V74" s="21">
        <f t="shared" si="19"/>
        <v>53</v>
      </c>
      <c r="W74">
        <v>78</v>
      </c>
      <c r="X74">
        <v>74</v>
      </c>
      <c r="Y74">
        <v>76</v>
      </c>
      <c r="Z74">
        <v>74</v>
      </c>
      <c r="AA74" s="21">
        <f t="shared" si="22"/>
        <v>75.5</v>
      </c>
      <c r="AB74">
        <v>92</v>
      </c>
      <c r="AC74">
        <v>91</v>
      </c>
      <c r="AD74">
        <v>92</v>
      </c>
      <c r="AE74">
        <v>91</v>
      </c>
      <c r="AF74" s="21">
        <f t="shared" si="23"/>
        <v>91.5</v>
      </c>
      <c r="AG74" s="22">
        <v>91</v>
      </c>
      <c r="AH74" s="22">
        <v>93</v>
      </c>
      <c r="AI74" s="22">
        <v>92</v>
      </c>
      <c r="AJ74" s="22">
        <v>94</v>
      </c>
      <c r="AK74" s="21">
        <f t="shared" si="24"/>
        <v>92.5</v>
      </c>
      <c r="AP74" s="21" t="e">
        <f t="shared" si="25"/>
        <v>#DIV/0!</v>
      </c>
      <c r="AR74">
        <v>91</v>
      </c>
      <c r="AS74">
        <v>93</v>
      </c>
      <c r="AT74">
        <v>92</v>
      </c>
      <c r="AU74">
        <v>94</v>
      </c>
      <c r="AV74" s="21">
        <f t="shared" si="26"/>
        <v>92.5</v>
      </c>
      <c r="AW74">
        <v>0</v>
      </c>
      <c r="AX74">
        <v>0</v>
      </c>
      <c r="AY74">
        <v>0</v>
      </c>
      <c r="AZ74" s="21">
        <f t="shared" si="27"/>
        <v>0</v>
      </c>
      <c r="BA74">
        <v>0</v>
      </c>
      <c r="BB74">
        <v>0</v>
      </c>
      <c r="BC74">
        <v>0</v>
      </c>
      <c r="BD74" s="21">
        <f t="shared" si="28"/>
        <v>0</v>
      </c>
      <c r="BH74" s="21">
        <f t="shared" si="29"/>
        <v>0</v>
      </c>
      <c r="BI74">
        <v>24</v>
      </c>
      <c r="BJ74">
        <v>13.6</v>
      </c>
      <c r="BK74" s="18">
        <f t="shared" si="30"/>
        <v>43.333333333333336</v>
      </c>
      <c r="BL74" s="18">
        <f t="shared" si="31"/>
        <v>3.3333333333333344</v>
      </c>
      <c r="BM74" s="19">
        <f t="shared" si="32"/>
        <v>44781.333333333336</v>
      </c>
      <c r="BN74" s="71">
        <f t="shared" si="33"/>
        <v>96.333333333335759</v>
      </c>
      <c r="BO74">
        <v>6</v>
      </c>
      <c r="BP74" s="23">
        <f t="shared" si="34"/>
        <v>7.238999999999999</v>
      </c>
      <c r="BQ74">
        <v>9.3800000000000008</v>
      </c>
      <c r="BR74">
        <v>7</v>
      </c>
      <c r="BS74" s="22">
        <f t="shared" si="35"/>
        <v>13931.282623745657</v>
      </c>
      <c r="BT74" s="22">
        <f t="shared" si="36"/>
        <v>258.9789718516821</v>
      </c>
      <c r="BU74">
        <v>97.1</v>
      </c>
      <c r="BV74">
        <v>5.59</v>
      </c>
      <c r="BW74">
        <v>5.38</v>
      </c>
      <c r="BX74" s="71">
        <f t="shared" si="37"/>
        <v>58.971676300578032</v>
      </c>
    </row>
    <row r="75" spans="2:76" x14ac:dyDescent="0.3">
      <c r="B75">
        <v>2022</v>
      </c>
      <c r="C75" t="s">
        <v>125</v>
      </c>
      <c r="D75">
        <v>317</v>
      </c>
      <c r="E75">
        <v>3</v>
      </c>
      <c r="F75">
        <v>26</v>
      </c>
      <c r="G75" t="s">
        <v>27</v>
      </c>
      <c r="H75">
        <v>8</v>
      </c>
      <c r="I75" t="s">
        <v>23</v>
      </c>
      <c r="J75">
        <v>57</v>
      </c>
      <c r="K75">
        <v>46</v>
      </c>
      <c r="L75" s="22">
        <f t="shared" si="20"/>
        <v>213.4272689598011</v>
      </c>
      <c r="M75">
        <v>36</v>
      </c>
      <c r="N75">
        <v>35</v>
      </c>
      <c r="O75">
        <v>36</v>
      </c>
      <c r="P75">
        <v>35</v>
      </c>
      <c r="Q75" s="21">
        <f t="shared" si="21"/>
        <v>35.5</v>
      </c>
      <c r="R75">
        <v>55</v>
      </c>
      <c r="S75">
        <v>56</v>
      </c>
      <c r="T75">
        <v>55</v>
      </c>
      <c r="U75">
        <v>53</v>
      </c>
      <c r="V75" s="21">
        <f t="shared" si="19"/>
        <v>54.75</v>
      </c>
      <c r="W75">
        <v>83</v>
      </c>
      <c r="X75">
        <v>79</v>
      </c>
      <c r="Y75">
        <v>80</v>
      </c>
      <c r="Z75">
        <v>78</v>
      </c>
      <c r="AA75" s="21">
        <f t="shared" si="22"/>
        <v>80</v>
      </c>
      <c r="AB75">
        <v>93</v>
      </c>
      <c r="AC75">
        <v>90</v>
      </c>
      <c r="AD75">
        <v>89</v>
      </c>
      <c r="AE75">
        <v>85</v>
      </c>
      <c r="AF75" s="21">
        <f t="shared" si="23"/>
        <v>89.25</v>
      </c>
      <c r="AG75" s="22">
        <v>89</v>
      </c>
      <c r="AH75" s="22">
        <v>92</v>
      </c>
      <c r="AI75" s="22">
        <v>93</v>
      </c>
      <c r="AJ75" s="22">
        <v>84</v>
      </c>
      <c r="AK75" s="21">
        <f t="shared" si="24"/>
        <v>89.5</v>
      </c>
      <c r="AP75" s="21" t="e">
        <f t="shared" si="25"/>
        <v>#DIV/0!</v>
      </c>
      <c r="AR75">
        <v>89</v>
      </c>
      <c r="AS75">
        <v>92</v>
      </c>
      <c r="AT75">
        <v>93</v>
      </c>
      <c r="AU75">
        <v>84</v>
      </c>
      <c r="AV75" s="21">
        <f t="shared" si="26"/>
        <v>89.5</v>
      </c>
      <c r="AW75">
        <v>0</v>
      </c>
      <c r="AX75">
        <v>0</v>
      </c>
      <c r="AY75">
        <v>0</v>
      </c>
      <c r="AZ75" s="21">
        <f t="shared" si="27"/>
        <v>0</v>
      </c>
      <c r="BA75">
        <v>0</v>
      </c>
      <c r="BB75">
        <v>0</v>
      </c>
      <c r="BC75">
        <v>0</v>
      </c>
      <c r="BD75" s="21">
        <f t="shared" si="28"/>
        <v>0</v>
      </c>
      <c r="BH75" s="21">
        <f t="shared" si="29"/>
        <v>0</v>
      </c>
      <c r="BI75">
        <v>21.5</v>
      </c>
      <c r="BJ75">
        <v>11.9</v>
      </c>
      <c r="BK75" s="18">
        <f t="shared" si="30"/>
        <v>44.651162790697676</v>
      </c>
      <c r="BL75" s="18">
        <f t="shared" si="31"/>
        <v>3.8604651162790704</v>
      </c>
      <c r="BM75" s="19">
        <f t="shared" si="32"/>
        <v>44781.860465116282</v>
      </c>
      <c r="BN75" s="71">
        <f t="shared" si="33"/>
        <v>96.860465116282285</v>
      </c>
      <c r="BO75">
        <v>6</v>
      </c>
      <c r="BP75" s="23">
        <f t="shared" si="34"/>
        <v>7.238999999999999</v>
      </c>
      <c r="BQ75">
        <v>9.6</v>
      </c>
      <c r="BR75">
        <v>10.1</v>
      </c>
      <c r="BS75" s="22">
        <f t="shared" si="35"/>
        <v>13782.761487031952</v>
      </c>
      <c r="BT75" s="22">
        <f t="shared" si="36"/>
        <v>256.21800200251704</v>
      </c>
      <c r="BU75">
        <v>125.3</v>
      </c>
      <c r="BV75">
        <v>5.2700000000000005</v>
      </c>
      <c r="BW75">
        <v>5.25</v>
      </c>
      <c r="BX75" s="71">
        <f t="shared" si="37"/>
        <v>54.667514450867053</v>
      </c>
    </row>
    <row r="76" spans="2:76" x14ac:dyDescent="0.3">
      <c r="B76">
        <v>2022</v>
      </c>
      <c r="C76" t="s">
        <v>125</v>
      </c>
      <c r="D76">
        <v>318</v>
      </c>
      <c r="E76">
        <v>3</v>
      </c>
      <c r="F76">
        <v>27</v>
      </c>
      <c r="G76" t="s">
        <v>27</v>
      </c>
      <c r="H76">
        <v>9</v>
      </c>
      <c r="I76" t="s">
        <v>24</v>
      </c>
      <c r="J76">
        <v>44</v>
      </c>
      <c r="K76">
        <v>56</v>
      </c>
      <c r="L76" s="22">
        <f t="shared" si="20"/>
        <v>207.21094073767097</v>
      </c>
      <c r="M76">
        <v>39</v>
      </c>
      <c r="N76">
        <v>40</v>
      </c>
      <c r="O76">
        <v>35</v>
      </c>
      <c r="P76">
        <v>42</v>
      </c>
      <c r="Q76" s="21">
        <f t="shared" si="21"/>
        <v>39</v>
      </c>
      <c r="R76">
        <v>54</v>
      </c>
      <c r="S76">
        <v>56</v>
      </c>
      <c r="T76">
        <v>54</v>
      </c>
      <c r="U76">
        <v>53</v>
      </c>
      <c r="V76" s="21">
        <f t="shared" si="19"/>
        <v>54.25</v>
      </c>
      <c r="W76">
        <v>86</v>
      </c>
      <c r="X76">
        <v>82</v>
      </c>
      <c r="Y76">
        <v>81</v>
      </c>
      <c r="Z76">
        <v>84</v>
      </c>
      <c r="AA76" s="21">
        <f t="shared" si="22"/>
        <v>83.25</v>
      </c>
      <c r="AB76">
        <v>86</v>
      </c>
      <c r="AC76">
        <v>90</v>
      </c>
      <c r="AD76">
        <v>90</v>
      </c>
      <c r="AE76">
        <v>94</v>
      </c>
      <c r="AF76" s="21">
        <f t="shared" si="23"/>
        <v>90</v>
      </c>
      <c r="AG76" s="22">
        <v>90</v>
      </c>
      <c r="AH76" s="22">
        <v>84</v>
      </c>
      <c r="AI76" s="22">
        <v>91</v>
      </c>
      <c r="AJ76" s="22">
        <v>82</v>
      </c>
      <c r="AK76" s="21">
        <f t="shared" si="24"/>
        <v>86.75</v>
      </c>
      <c r="AP76" s="21" t="e">
        <f t="shared" si="25"/>
        <v>#DIV/0!</v>
      </c>
      <c r="AR76">
        <v>90</v>
      </c>
      <c r="AS76">
        <v>84</v>
      </c>
      <c r="AT76">
        <v>91</v>
      </c>
      <c r="AU76">
        <v>82</v>
      </c>
      <c r="AV76" s="21">
        <f t="shared" si="26"/>
        <v>86.75</v>
      </c>
      <c r="AW76">
        <v>0</v>
      </c>
      <c r="AX76">
        <v>0</v>
      </c>
      <c r="AY76">
        <v>0</v>
      </c>
      <c r="AZ76" s="21">
        <f t="shared" si="27"/>
        <v>0</v>
      </c>
      <c r="BA76">
        <v>0</v>
      </c>
      <c r="BB76">
        <v>0</v>
      </c>
      <c r="BC76">
        <v>0</v>
      </c>
      <c r="BD76" s="21">
        <f t="shared" si="28"/>
        <v>0</v>
      </c>
      <c r="BH76" s="21">
        <f t="shared" si="29"/>
        <v>0</v>
      </c>
      <c r="BI76">
        <v>31.3</v>
      </c>
      <c r="BJ76">
        <v>18.3</v>
      </c>
      <c r="BK76" s="18">
        <f t="shared" si="30"/>
        <v>41.533546325878596</v>
      </c>
      <c r="BL76" s="18">
        <f t="shared" si="31"/>
        <v>2.6134185303514386</v>
      </c>
      <c r="BM76" s="19">
        <f t="shared" si="32"/>
        <v>44780.613418530353</v>
      </c>
      <c r="BN76" s="71">
        <f t="shared" si="33"/>
        <v>95.613418530352646</v>
      </c>
      <c r="BO76">
        <v>6</v>
      </c>
      <c r="BP76" s="23">
        <f t="shared" si="34"/>
        <v>7.238999999999999</v>
      </c>
      <c r="BQ76">
        <v>9.0399999999999991</v>
      </c>
      <c r="BR76">
        <v>7.8</v>
      </c>
      <c r="BS76" s="22">
        <f t="shared" si="35"/>
        <v>13310.815612605771</v>
      </c>
      <c r="BT76" s="22">
        <f t="shared" si="36"/>
        <v>247.44464920869703</v>
      </c>
      <c r="BU76">
        <v>99.3</v>
      </c>
      <c r="BV76">
        <v>5.38</v>
      </c>
      <c r="BW76">
        <v>5.1100000000000003</v>
      </c>
      <c r="BX76" s="71">
        <f t="shared" si="37"/>
        <v>55.906242774566479</v>
      </c>
    </row>
    <row r="77" spans="2:76" x14ac:dyDescent="0.3">
      <c r="B77">
        <v>2022</v>
      </c>
      <c r="C77" t="s">
        <v>125</v>
      </c>
      <c r="D77">
        <v>319</v>
      </c>
      <c r="E77">
        <v>3</v>
      </c>
      <c r="F77">
        <v>10</v>
      </c>
      <c r="G77" t="s">
        <v>25</v>
      </c>
      <c r="H77">
        <v>1</v>
      </c>
      <c r="I77" t="s">
        <v>16</v>
      </c>
      <c r="J77">
        <v>47</v>
      </c>
      <c r="K77">
        <v>42</v>
      </c>
      <c r="L77" s="22">
        <f t="shared" si="20"/>
        <v>184.41773725652715</v>
      </c>
      <c r="M77">
        <v>47</v>
      </c>
      <c r="N77">
        <v>48</v>
      </c>
      <c r="O77">
        <v>37</v>
      </c>
      <c r="P77">
        <v>38</v>
      </c>
      <c r="Q77" s="21">
        <f t="shared" si="21"/>
        <v>42.5</v>
      </c>
      <c r="R77">
        <v>60</v>
      </c>
      <c r="S77">
        <v>60</v>
      </c>
      <c r="T77">
        <v>58</v>
      </c>
      <c r="U77">
        <v>55</v>
      </c>
      <c r="V77" s="21">
        <f t="shared" si="19"/>
        <v>58.25</v>
      </c>
      <c r="W77">
        <v>77</v>
      </c>
      <c r="X77">
        <v>82</v>
      </c>
      <c r="Y77">
        <v>79</v>
      </c>
      <c r="Z77">
        <v>82</v>
      </c>
      <c r="AA77" s="21">
        <f t="shared" si="22"/>
        <v>80</v>
      </c>
      <c r="AB77">
        <v>116</v>
      </c>
      <c r="AC77">
        <v>114</v>
      </c>
      <c r="AD77">
        <v>110</v>
      </c>
      <c r="AE77">
        <v>109</v>
      </c>
      <c r="AF77" s="21">
        <f t="shared" si="23"/>
        <v>112.25</v>
      </c>
      <c r="AG77" s="22">
        <v>100</v>
      </c>
      <c r="AH77" s="22">
        <v>115</v>
      </c>
      <c r="AI77" s="22">
        <v>112</v>
      </c>
      <c r="AJ77" s="22">
        <v>111</v>
      </c>
      <c r="AK77" s="21">
        <f t="shared" si="24"/>
        <v>109.5</v>
      </c>
      <c r="AP77" s="21" t="e">
        <f t="shared" si="25"/>
        <v>#DIV/0!</v>
      </c>
      <c r="AR77">
        <v>100</v>
      </c>
      <c r="AS77">
        <v>115</v>
      </c>
      <c r="AT77">
        <v>112</v>
      </c>
      <c r="AU77">
        <v>111</v>
      </c>
      <c r="AV77" s="21">
        <f t="shared" si="26"/>
        <v>109.5</v>
      </c>
      <c r="AW77">
        <v>0</v>
      </c>
      <c r="AX77">
        <v>0</v>
      </c>
      <c r="AY77">
        <v>0</v>
      </c>
      <c r="AZ77" s="21">
        <f t="shared" si="27"/>
        <v>0</v>
      </c>
      <c r="BA77">
        <v>0</v>
      </c>
      <c r="BB77">
        <v>20</v>
      </c>
      <c r="BC77">
        <v>5</v>
      </c>
      <c r="BD77" s="21">
        <f t="shared" si="28"/>
        <v>11.666666666666668</v>
      </c>
      <c r="BH77" s="21">
        <f t="shared" si="29"/>
        <v>0</v>
      </c>
      <c r="BI77">
        <v>23.1</v>
      </c>
      <c r="BJ77">
        <v>13.4</v>
      </c>
      <c r="BK77" s="18">
        <f t="shared" si="30"/>
        <v>41.991341991341997</v>
      </c>
      <c r="BL77" s="18">
        <f t="shared" si="31"/>
        <v>2.7965367965367989</v>
      </c>
      <c r="BM77" s="19">
        <f t="shared" si="32"/>
        <v>44780.796536796537</v>
      </c>
      <c r="BN77" s="71">
        <f t="shared" si="33"/>
        <v>95.796536796537112</v>
      </c>
      <c r="BO77">
        <v>6</v>
      </c>
      <c r="BP77" s="23">
        <f t="shared" si="34"/>
        <v>7.238999999999999</v>
      </c>
      <c r="BQ77">
        <v>7.85</v>
      </c>
      <c r="BR77">
        <v>8.1</v>
      </c>
      <c r="BS77" s="22">
        <f t="shared" si="35"/>
        <v>11521.008155088008</v>
      </c>
      <c r="BT77" s="22">
        <f t="shared" si="36"/>
        <v>214.17258749843091</v>
      </c>
      <c r="BU77">
        <v>95.1</v>
      </c>
      <c r="BV77">
        <v>4.4399999999999995</v>
      </c>
      <c r="BW77">
        <v>4.5</v>
      </c>
      <c r="BX77" s="71">
        <f t="shared" si="37"/>
        <v>47.490520231213871</v>
      </c>
    </row>
    <row r="78" spans="2:76" x14ac:dyDescent="0.3">
      <c r="B78">
        <v>2022</v>
      </c>
      <c r="C78" t="s">
        <v>125</v>
      </c>
      <c r="D78">
        <v>320</v>
      </c>
      <c r="E78">
        <v>3</v>
      </c>
      <c r="F78">
        <v>17</v>
      </c>
      <c r="G78" t="s">
        <v>25</v>
      </c>
      <c r="H78">
        <v>8</v>
      </c>
      <c r="I78" t="s">
        <v>23</v>
      </c>
      <c r="J78">
        <v>57</v>
      </c>
      <c r="K78">
        <v>51</v>
      </c>
      <c r="L78" s="22">
        <f t="shared" si="20"/>
        <v>223.78781599668463</v>
      </c>
      <c r="M78">
        <v>44</v>
      </c>
      <c r="N78">
        <v>38</v>
      </c>
      <c r="O78">
        <v>42</v>
      </c>
      <c r="P78">
        <v>40</v>
      </c>
      <c r="Q78" s="21">
        <f t="shared" si="21"/>
        <v>41</v>
      </c>
      <c r="R78">
        <v>68</v>
      </c>
      <c r="S78">
        <v>75</v>
      </c>
      <c r="T78">
        <v>74</v>
      </c>
      <c r="U78">
        <v>73</v>
      </c>
      <c r="V78" s="21">
        <f t="shared" si="19"/>
        <v>72.5</v>
      </c>
      <c r="W78">
        <v>80</v>
      </c>
      <c r="X78">
        <v>84</v>
      </c>
      <c r="Y78">
        <v>84</v>
      </c>
      <c r="Z78">
        <v>80</v>
      </c>
      <c r="AA78" s="21">
        <f t="shared" si="22"/>
        <v>82</v>
      </c>
      <c r="AB78">
        <v>99</v>
      </c>
      <c r="AC78">
        <v>105</v>
      </c>
      <c r="AD78">
        <v>105</v>
      </c>
      <c r="AE78">
        <v>104</v>
      </c>
      <c r="AF78" s="21">
        <f t="shared" si="23"/>
        <v>103.25</v>
      </c>
      <c r="AG78" s="22">
        <v>109</v>
      </c>
      <c r="AH78" s="22">
        <v>113</v>
      </c>
      <c r="AI78" s="22">
        <v>106</v>
      </c>
      <c r="AJ78" s="22">
        <v>102</v>
      </c>
      <c r="AK78" s="21">
        <f t="shared" si="24"/>
        <v>107.5</v>
      </c>
      <c r="AP78" s="21" t="e">
        <f t="shared" si="25"/>
        <v>#DIV/0!</v>
      </c>
      <c r="AR78">
        <v>109</v>
      </c>
      <c r="AS78">
        <v>113</v>
      </c>
      <c r="AT78">
        <v>106</v>
      </c>
      <c r="AU78">
        <v>102</v>
      </c>
      <c r="AV78" s="21">
        <f t="shared" si="26"/>
        <v>107.5</v>
      </c>
      <c r="AW78">
        <v>0</v>
      </c>
      <c r="AX78">
        <v>0</v>
      </c>
      <c r="AY78">
        <v>0</v>
      </c>
      <c r="AZ78" s="21">
        <f t="shared" si="27"/>
        <v>0</v>
      </c>
      <c r="BA78">
        <v>0</v>
      </c>
      <c r="BB78">
        <v>0</v>
      </c>
      <c r="BC78">
        <v>0</v>
      </c>
      <c r="BD78" s="21">
        <f t="shared" si="28"/>
        <v>0</v>
      </c>
      <c r="BH78" s="21">
        <f t="shared" si="29"/>
        <v>0</v>
      </c>
      <c r="BI78">
        <v>24.1</v>
      </c>
      <c r="BJ78">
        <v>14.4</v>
      </c>
      <c r="BK78" s="18">
        <f t="shared" si="30"/>
        <v>40.248962655601659</v>
      </c>
      <c r="BL78" s="18">
        <f t="shared" si="31"/>
        <v>2.0995850622406635</v>
      </c>
      <c r="BM78" s="19">
        <f t="shared" si="32"/>
        <v>44780.099585062242</v>
      </c>
      <c r="BN78" s="71">
        <f t="shared" si="33"/>
        <v>95.099585062242113</v>
      </c>
      <c r="BO78">
        <v>6</v>
      </c>
      <c r="BP78" s="23">
        <f t="shared" si="34"/>
        <v>7.238999999999999</v>
      </c>
      <c r="BQ78">
        <v>8.4700000000000006</v>
      </c>
      <c r="BR78">
        <v>7.2</v>
      </c>
      <c r="BS78" s="22">
        <f t="shared" si="35"/>
        <v>12552.687074748457</v>
      </c>
      <c r="BT78" s="22">
        <f t="shared" si="36"/>
        <v>233.35123408186234</v>
      </c>
      <c r="BU78">
        <v>96.9</v>
      </c>
      <c r="BV78">
        <v>4.3100000000000005</v>
      </c>
      <c r="BW78">
        <v>4.4799999999999995</v>
      </c>
      <c r="BX78" s="71">
        <f t="shared" si="37"/>
        <v>47.150982658959528</v>
      </c>
    </row>
    <row r="79" spans="2:76" x14ac:dyDescent="0.3">
      <c r="B79">
        <v>2022</v>
      </c>
      <c r="C79" t="s">
        <v>125</v>
      </c>
      <c r="D79">
        <v>321</v>
      </c>
      <c r="E79">
        <v>3</v>
      </c>
      <c r="F79">
        <v>16</v>
      </c>
      <c r="G79" t="s">
        <v>25</v>
      </c>
      <c r="H79">
        <v>7</v>
      </c>
      <c r="I79" t="s">
        <v>22</v>
      </c>
      <c r="J79">
        <v>53</v>
      </c>
      <c r="K79">
        <v>45</v>
      </c>
      <c r="L79" s="22">
        <f t="shared" si="20"/>
        <v>203.06672192291754</v>
      </c>
      <c r="M79">
        <v>40</v>
      </c>
      <c r="N79">
        <v>42</v>
      </c>
      <c r="O79">
        <v>32</v>
      </c>
      <c r="P79">
        <v>35</v>
      </c>
      <c r="Q79" s="21">
        <f t="shared" si="21"/>
        <v>37.25</v>
      </c>
      <c r="R79">
        <v>65</v>
      </c>
      <c r="S79">
        <v>68</v>
      </c>
      <c r="T79">
        <v>65</v>
      </c>
      <c r="U79">
        <v>67</v>
      </c>
      <c r="V79" s="21">
        <f t="shared" si="19"/>
        <v>66.25</v>
      </c>
      <c r="W79">
        <v>101</v>
      </c>
      <c r="X79">
        <v>98</v>
      </c>
      <c r="Y79">
        <v>97</v>
      </c>
      <c r="Z79">
        <v>100</v>
      </c>
      <c r="AA79" s="21">
        <f t="shared" si="22"/>
        <v>99</v>
      </c>
      <c r="AB79">
        <v>101</v>
      </c>
      <c r="AC79">
        <v>100</v>
      </c>
      <c r="AD79">
        <v>100</v>
      </c>
      <c r="AE79">
        <v>94</v>
      </c>
      <c r="AF79" s="21">
        <f t="shared" si="23"/>
        <v>98.75</v>
      </c>
      <c r="AG79" s="22">
        <v>102</v>
      </c>
      <c r="AH79" s="22">
        <v>103</v>
      </c>
      <c r="AI79" s="22">
        <v>110</v>
      </c>
      <c r="AJ79" s="22">
        <v>99</v>
      </c>
      <c r="AK79" s="21">
        <f t="shared" si="24"/>
        <v>103.5</v>
      </c>
      <c r="AP79" s="21" t="e">
        <f t="shared" si="25"/>
        <v>#DIV/0!</v>
      </c>
      <c r="AR79">
        <v>102</v>
      </c>
      <c r="AS79">
        <v>103</v>
      </c>
      <c r="AT79">
        <v>110</v>
      </c>
      <c r="AU79">
        <v>99</v>
      </c>
      <c r="AV79" s="21">
        <f t="shared" si="26"/>
        <v>103.5</v>
      </c>
      <c r="AW79">
        <v>0</v>
      </c>
      <c r="AX79">
        <v>0</v>
      </c>
      <c r="AY79">
        <v>0</v>
      </c>
      <c r="AZ79" s="21">
        <f t="shared" si="27"/>
        <v>0</v>
      </c>
      <c r="BA79">
        <v>0</v>
      </c>
      <c r="BB79">
        <v>0</v>
      </c>
      <c r="BC79">
        <v>0</v>
      </c>
      <c r="BD79" s="21">
        <f t="shared" si="28"/>
        <v>0</v>
      </c>
      <c r="BH79" s="21">
        <f t="shared" si="29"/>
        <v>0</v>
      </c>
      <c r="BI79">
        <v>32.9</v>
      </c>
      <c r="BJ79">
        <v>17.7</v>
      </c>
      <c r="BK79" s="18">
        <f t="shared" si="30"/>
        <v>46.200607902735563</v>
      </c>
      <c r="BL79" s="18">
        <f t="shared" si="31"/>
        <v>4.4802431610942248</v>
      </c>
      <c r="BM79" s="19">
        <f t="shared" si="32"/>
        <v>44782.480243161095</v>
      </c>
      <c r="BN79" s="71">
        <f t="shared" si="33"/>
        <v>97.480243161095132</v>
      </c>
      <c r="BO79">
        <v>6</v>
      </c>
      <c r="BP79" s="23">
        <f t="shared" si="34"/>
        <v>7.238999999999999</v>
      </c>
      <c r="BQ79">
        <v>8.15</v>
      </c>
      <c r="BR79">
        <v>8</v>
      </c>
      <c r="BS79" s="22">
        <f t="shared" si="35"/>
        <v>11974.317022358822</v>
      </c>
      <c r="BT79" s="22">
        <f t="shared" si="36"/>
        <v>222.59948310795247</v>
      </c>
      <c r="BU79">
        <v>98.7</v>
      </c>
      <c r="BV79">
        <v>4.5200000000000005</v>
      </c>
      <c r="BW79">
        <v>4.3899999999999997</v>
      </c>
      <c r="BX79" s="71">
        <f t="shared" si="37"/>
        <v>47.382658959537565</v>
      </c>
    </row>
    <row r="80" spans="2:76" x14ac:dyDescent="0.3">
      <c r="B80">
        <v>2022</v>
      </c>
      <c r="C80" t="s">
        <v>125</v>
      </c>
      <c r="D80">
        <v>322</v>
      </c>
      <c r="E80">
        <v>3</v>
      </c>
      <c r="F80">
        <v>18</v>
      </c>
      <c r="G80" t="s">
        <v>25</v>
      </c>
      <c r="H80">
        <v>9</v>
      </c>
      <c r="I80" t="s">
        <v>24</v>
      </c>
      <c r="J80">
        <v>36</v>
      </c>
      <c r="K80">
        <v>37</v>
      </c>
      <c r="L80" s="22">
        <f t="shared" si="20"/>
        <v>151.2639867384998</v>
      </c>
      <c r="M80">
        <v>43</v>
      </c>
      <c r="N80">
        <v>44</v>
      </c>
      <c r="O80">
        <v>43</v>
      </c>
      <c r="P80">
        <v>40</v>
      </c>
      <c r="Q80" s="21">
        <f t="shared" si="21"/>
        <v>42.5</v>
      </c>
      <c r="R80">
        <v>60</v>
      </c>
      <c r="S80">
        <v>65</v>
      </c>
      <c r="T80">
        <v>63</v>
      </c>
      <c r="U80">
        <v>63</v>
      </c>
      <c r="V80" s="21">
        <f t="shared" si="19"/>
        <v>62.75</v>
      </c>
      <c r="W80">
        <v>89</v>
      </c>
      <c r="X80">
        <v>86</v>
      </c>
      <c r="Y80">
        <v>86</v>
      </c>
      <c r="Z80">
        <v>89</v>
      </c>
      <c r="AA80" s="21">
        <f t="shared" si="22"/>
        <v>87.5</v>
      </c>
      <c r="AB80">
        <v>95</v>
      </c>
      <c r="AC80">
        <v>97</v>
      </c>
      <c r="AD80">
        <v>102</v>
      </c>
      <c r="AE80">
        <v>101</v>
      </c>
      <c r="AF80" s="21">
        <f t="shared" si="23"/>
        <v>98.75</v>
      </c>
      <c r="AG80" s="22">
        <v>100</v>
      </c>
      <c r="AH80" s="22">
        <v>99</v>
      </c>
      <c r="AI80" s="22">
        <v>107</v>
      </c>
      <c r="AJ80" s="22">
        <v>102</v>
      </c>
      <c r="AK80" s="21">
        <f t="shared" si="24"/>
        <v>102</v>
      </c>
      <c r="AP80" s="21" t="e">
        <f t="shared" si="25"/>
        <v>#DIV/0!</v>
      </c>
      <c r="AR80">
        <v>100</v>
      </c>
      <c r="AS80">
        <v>99</v>
      </c>
      <c r="AT80">
        <v>107</v>
      </c>
      <c r="AU80">
        <v>102</v>
      </c>
      <c r="AV80" s="21">
        <f t="shared" si="26"/>
        <v>102</v>
      </c>
      <c r="AW80">
        <v>0</v>
      </c>
      <c r="AX80">
        <v>0</v>
      </c>
      <c r="AY80">
        <v>0</v>
      </c>
      <c r="AZ80" s="21">
        <f t="shared" si="27"/>
        <v>0</v>
      </c>
      <c r="BA80">
        <v>0</v>
      </c>
      <c r="BB80">
        <v>0</v>
      </c>
      <c r="BC80">
        <v>0</v>
      </c>
      <c r="BD80" s="21">
        <f t="shared" si="28"/>
        <v>0</v>
      </c>
      <c r="BH80" s="21">
        <f t="shared" si="29"/>
        <v>0</v>
      </c>
      <c r="BI80">
        <v>30.2</v>
      </c>
      <c r="BJ80">
        <v>16.3</v>
      </c>
      <c r="BK80" s="18">
        <f t="shared" si="30"/>
        <v>46.026490066225165</v>
      </c>
      <c r="BL80" s="18">
        <f t="shared" si="31"/>
        <v>4.4105960264900661</v>
      </c>
      <c r="BM80" s="19">
        <f t="shared" si="32"/>
        <v>44782.410596026493</v>
      </c>
      <c r="BN80" s="71">
        <f t="shared" si="33"/>
        <v>97.410596026493295</v>
      </c>
      <c r="BO80">
        <v>6</v>
      </c>
      <c r="BP80" s="23">
        <f t="shared" si="34"/>
        <v>7.238999999999999</v>
      </c>
      <c r="BQ80">
        <v>8.0299999999999994</v>
      </c>
      <c r="BR80">
        <v>8.6</v>
      </c>
      <c r="BS80" s="22">
        <f t="shared" si="35"/>
        <v>11721.0645292399</v>
      </c>
      <c r="BT80" s="22">
        <f t="shared" si="36"/>
        <v>217.89158419740838</v>
      </c>
      <c r="BU80">
        <v>98.4</v>
      </c>
      <c r="BV80">
        <v>4.46</v>
      </c>
      <c r="BW80">
        <v>4.5600000000000005</v>
      </c>
      <c r="BX80" s="71">
        <f t="shared" si="37"/>
        <v>47.654797687861269</v>
      </c>
    </row>
    <row r="81" spans="2:76" x14ac:dyDescent="0.3">
      <c r="B81">
        <v>2022</v>
      </c>
      <c r="C81" t="s">
        <v>125</v>
      </c>
      <c r="D81">
        <v>323</v>
      </c>
      <c r="E81">
        <v>3</v>
      </c>
      <c r="F81">
        <v>13</v>
      </c>
      <c r="G81" t="s">
        <v>25</v>
      </c>
      <c r="H81">
        <v>4</v>
      </c>
      <c r="I81" t="s">
        <v>19</v>
      </c>
      <c r="J81">
        <v>60</v>
      </c>
      <c r="K81">
        <v>36</v>
      </c>
      <c r="L81" s="22">
        <f t="shared" si="20"/>
        <v>198.92250310816414</v>
      </c>
      <c r="M81">
        <v>46</v>
      </c>
      <c r="N81">
        <v>50</v>
      </c>
      <c r="O81">
        <v>35</v>
      </c>
      <c r="P81">
        <v>25</v>
      </c>
      <c r="Q81" s="21">
        <f t="shared" si="21"/>
        <v>39</v>
      </c>
      <c r="R81">
        <v>65</v>
      </c>
      <c r="S81">
        <v>65</v>
      </c>
      <c r="T81">
        <v>65</v>
      </c>
      <c r="U81">
        <v>66</v>
      </c>
      <c r="V81" s="21">
        <f t="shared" si="19"/>
        <v>65.25</v>
      </c>
      <c r="W81">
        <v>87</v>
      </c>
      <c r="X81">
        <v>87</v>
      </c>
      <c r="Y81">
        <v>88</v>
      </c>
      <c r="Z81">
        <v>87</v>
      </c>
      <c r="AA81" s="21">
        <f t="shared" si="22"/>
        <v>87.25</v>
      </c>
      <c r="AB81">
        <v>109</v>
      </c>
      <c r="AC81">
        <v>108</v>
      </c>
      <c r="AD81">
        <v>107</v>
      </c>
      <c r="AE81">
        <v>99</v>
      </c>
      <c r="AF81" s="21">
        <f t="shared" si="23"/>
        <v>105.75</v>
      </c>
      <c r="AG81" s="22">
        <v>109</v>
      </c>
      <c r="AH81" s="22">
        <v>105</v>
      </c>
      <c r="AI81" s="22">
        <v>106</v>
      </c>
      <c r="AJ81" s="22">
        <v>96</v>
      </c>
      <c r="AK81" s="21">
        <f t="shared" si="24"/>
        <v>104</v>
      </c>
      <c r="AP81" s="21" t="e">
        <f t="shared" si="25"/>
        <v>#DIV/0!</v>
      </c>
      <c r="AR81">
        <v>109</v>
      </c>
      <c r="AS81">
        <v>105</v>
      </c>
      <c r="AT81">
        <v>106</v>
      </c>
      <c r="AU81">
        <v>96</v>
      </c>
      <c r="AV81" s="21">
        <f t="shared" si="26"/>
        <v>104</v>
      </c>
      <c r="AW81">
        <v>0</v>
      </c>
      <c r="AX81">
        <v>0</v>
      </c>
      <c r="AY81">
        <v>0</v>
      </c>
      <c r="AZ81" s="21">
        <f t="shared" si="27"/>
        <v>0</v>
      </c>
      <c r="BA81">
        <v>0</v>
      </c>
      <c r="BB81">
        <v>0</v>
      </c>
      <c r="BC81">
        <v>0</v>
      </c>
      <c r="BD81" s="21">
        <f t="shared" si="28"/>
        <v>0</v>
      </c>
      <c r="BH81" s="21">
        <f t="shared" si="29"/>
        <v>0</v>
      </c>
      <c r="BI81">
        <v>26.8</v>
      </c>
      <c r="BJ81">
        <v>15.7</v>
      </c>
      <c r="BK81" s="18">
        <f t="shared" si="30"/>
        <v>41.417910447761194</v>
      </c>
      <c r="BL81" s="18">
        <f t="shared" si="31"/>
        <v>2.5671641791044779</v>
      </c>
      <c r="BM81" s="19">
        <f t="shared" si="32"/>
        <v>44780.567164179105</v>
      </c>
      <c r="BN81" s="71">
        <f t="shared" si="33"/>
        <v>95.567164179105021</v>
      </c>
      <c r="BO81">
        <v>6</v>
      </c>
      <c r="BP81" s="23">
        <f t="shared" si="34"/>
        <v>7.238999999999999</v>
      </c>
      <c r="BQ81">
        <v>8.1199999999999992</v>
      </c>
      <c r="BR81">
        <v>8.8000000000000007</v>
      </c>
      <c r="BS81" s="22">
        <f t="shared" si="35"/>
        <v>11826.498566291932</v>
      </c>
      <c r="BT81" s="22">
        <f t="shared" si="36"/>
        <v>219.85157591183722</v>
      </c>
      <c r="BU81">
        <v>98.5</v>
      </c>
      <c r="BV81">
        <v>4.83</v>
      </c>
      <c r="BW81">
        <v>4.67</v>
      </c>
      <c r="BX81" s="71">
        <f t="shared" si="37"/>
        <v>50.08092485549134</v>
      </c>
    </row>
    <row r="82" spans="2:76" x14ac:dyDescent="0.3">
      <c r="B82">
        <v>2022</v>
      </c>
      <c r="C82" t="s">
        <v>125</v>
      </c>
      <c r="D82">
        <v>324</v>
      </c>
      <c r="E82">
        <v>3</v>
      </c>
      <c r="F82">
        <v>11</v>
      </c>
      <c r="G82" t="s">
        <v>25</v>
      </c>
      <c r="H82">
        <v>2</v>
      </c>
      <c r="I82" t="s">
        <v>17</v>
      </c>
      <c r="J82">
        <v>56</v>
      </c>
      <c r="K82">
        <v>53</v>
      </c>
      <c r="L82" s="22">
        <f t="shared" si="20"/>
        <v>225.85992540406136</v>
      </c>
      <c r="M82">
        <v>37</v>
      </c>
      <c r="N82">
        <v>40</v>
      </c>
      <c r="O82">
        <v>37</v>
      </c>
      <c r="P82">
        <v>38</v>
      </c>
      <c r="Q82" s="21">
        <f t="shared" si="21"/>
        <v>38</v>
      </c>
      <c r="R82">
        <v>70</v>
      </c>
      <c r="S82">
        <v>70</v>
      </c>
      <c r="T82">
        <v>75</v>
      </c>
      <c r="U82">
        <v>73</v>
      </c>
      <c r="V82" s="21">
        <f t="shared" si="19"/>
        <v>72</v>
      </c>
      <c r="W82">
        <v>86</v>
      </c>
      <c r="X82">
        <v>89</v>
      </c>
      <c r="Y82">
        <v>87</v>
      </c>
      <c r="Z82">
        <v>86</v>
      </c>
      <c r="AA82" s="21">
        <f t="shared" si="22"/>
        <v>87</v>
      </c>
      <c r="AB82">
        <v>100</v>
      </c>
      <c r="AC82">
        <v>102</v>
      </c>
      <c r="AD82">
        <v>103</v>
      </c>
      <c r="AE82">
        <v>105</v>
      </c>
      <c r="AF82" s="21">
        <f t="shared" si="23"/>
        <v>102.5</v>
      </c>
      <c r="AG82" s="22">
        <v>105</v>
      </c>
      <c r="AH82" s="22">
        <v>102</v>
      </c>
      <c r="AI82" s="22">
        <v>113</v>
      </c>
      <c r="AJ82" s="22">
        <v>103</v>
      </c>
      <c r="AK82" s="21">
        <f t="shared" si="24"/>
        <v>105.75</v>
      </c>
      <c r="AP82" s="21" t="e">
        <f t="shared" si="25"/>
        <v>#DIV/0!</v>
      </c>
      <c r="AR82">
        <v>105</v>
      </c>
      <c r="AS82">
        <v>102</v>
      </c>
      <c r="AT82">
        <v>113</v>
      </c>
      <c r="AU82">
        <v>103</v>
      </c>
      <c r="AV82" s="21">
        <f t="shared" si="26"/>
        <v>105.75</v>
      </c>
      <c r="AW82">
        <v>0</v>
      </c>
      <c r="AX82">
        <v>0</v>
      </c>
      <c r="AY82">
        <v>0</v>
      </c>
      <c r="AZ82" s="21">
        <f t="shared" si="27"/>
        <v>0</v>
      </c>
      <c r="BA82">
        <v>0</v>
      </c>
      <c r="BB82">
        <v>0</v>
      </c>
      <c r="BC82">
        <v>0</v>
      </c>
      <c r="BD82" s="21">
        <f t="shared" si="28"/>
        <v>0</v>
      </c>
      <c r="BH82" s="21">
        <f t="shared" si="29"/>
        <v>0</v>
      </c>
      <c r="BI82">
        <v>23.8</v>
      </c>
      <c r="BJ82">
        <v>13.2</v>
      </c>
      <c r="BK82" s="18">
        <f t="shared" si="30"/>
        <v>44.537815126050425</v>
      </c>
      <c r="BL82" s="18">
        <f t="shared" si="31"/>
        <v>3.8151260504201701</v>
      </c>
      <c r="BM82" s="19">
        <f t="shared" si="32"/>
        <v>44781.815126050424</v>
      </c>
      <c r="BN82" s="71">
        <f t="shared" si="33"/>
        <v>96.815126050423714</v>
      </c>
      <c r="BO82">
        <v>6</v>
      </c>
      <c r="BP82" s="23">
        <f t="shared" si="34"/>
        <v>7.238999999999999</v>
      </c>
      <c r="BQ82">
        <v>7.9</v>
      </c>
      <c r="BR82">
        <v>7.5</v>
      </c>
      <c r="BS82" s="22">
        <f t="shared" si="35"/>
        <v>11670.088242316229</v>
      </c>
      <c r="BT82" s="22">
        <f t="shared" si="36"/>
        <v>216.94394809434016</v>
      </c>
      <c r="BU82">
        <v>96.8</v>
      </c>
      <c r="BV82">
        <v>4.3899999999999997</v>
      </c>
      <c r="BW82">
        <v>4.33</v>
      </c>
      <c r="BX82" s="71">
        <f t="shared" si="37"/>
        <v>46.624277456647391</v>
      </c>
    </row>
    <row r="83" spans="2:76" x14ac:dyDescent="0.3">
      <c r="B83">
        <v>2022</v>
      </c>
      <c r="C83" t="s">
        <v>125</v>
      </c>
      <c r="D83">
        <v>325</v>
      </c>
      <c r="E83">
        <v>3</v>
      </c>
      <c r="F83">
        <v>12</v>
      </c>
      <c r="G83" t="s">
        <v>25</v>
      </c>
      <c r="H83">
        <v>3</v>
      </c>
      <c r="I83" t="s">
        <v>18</v>
      </c>
      <c r="J83">
        <v>55</v>
      </c>
      <c r="K83">
        <v>45</v>
      </c>
      <c r="L83" s="22">
        <f t="shared" si="20"/>
        <v>207.21094073767097</v>
      </c>
      <c r="M83">
        <v>45</v>
      </c>
      <c r="N83">
        <v>43</v>
      </c>
      <c r="O83">
        <v>45</v>
      </c>
      <c r="P83">
        <v>43</v>
      </c>
      <c r="Q83" s="21">
        <f t="shared" si="21"/>
        <v>44</v>
      </c>
      <c r="R83">
        <v>65</v>
      </c>
      <c r="S83">
        <v>62</v>
      </c>
      <c r="T83">
        <v>65</v>
      </c>
      <c r="U83">
        <v>63</v>
      </c>
      <c r="V83" s="21">
        <f t="shared" si="19"/>
        <v>63.75</v>
      </c>
      <c r="W83">
        <v>94</v>
      </c>
      <c r="X83">
        <v>97</v>
      </c>
      <c r="Y83">
        <v>90</v>
      </c>
      <c r="Z83">
        <v>81</v>
      </c>
      <c r="AA83" s="21">
        <f t="shared" si="22"/>
        <v>90.5</v>
      </c>
      <c r="AB83">
        <v>105</v>
      </c>
      <c r="AC83">
        <v>109</v>
      </c>
      <c r="AD83">
        <v>106</v>
      </c>
      <c r="AE83">
        <v>109</v>
      </c>
      <c r="AF83" s="21">
        <f t="shared" si="23"/>
        <v>107.25</v>
      </c>
      <c r="AG83" s="22">
        <v>102</v>
      </c>
      <c r="AH83" s="22">
        <v>105</v>
      </c>
      <c r="AI83" s="22">
        <v>106</v>
      </c>
      <c r="AJ83" s="22">
        <v>103</v>
      </c>
      <c r="AK83" s="21">
        <f t="shared" si="24"/>
        <v>104</v>
      </c>
      <c r="AP83" s="21" t="e">
        <f t="shared" si="25"/>
        <v>#DIV/0!</v>
      </c>
      <c r="AR83">
        <v>102</v>
      </c>
      <c r="AS83">
        <v>105</v>
      </c>
      <c r="AT83">
        <v>106</v>
      </c>
      <c r="AU83">
        <v>103</v>
      </c>
      <c r="AV83" s="21">
        <f t="shared" si="26"/>
        <v>104</v>
      </c>
      <c r="AW83">
        <v>0</v>
      </c>
      <c r="AX83">
        <v>0</v>
      </c>
      <c r="AY83">
        <v>0</v>
      </c>
      <c r="AZ83" s="21">
        <f t="shared" si="27"/>
        <v>0</v>
      </c>
      <c r="BA83">
        <v>0</v>
      </c>
      <c r="BB83">
        <v>0</v>
      </c>
      <c r="BC83">
        <v>0</v>
      </c>
      <c r="BD83" s="21">
        <f t="shared" si="28"/>
        <v>0</v>
      </c>
      <c r="BH83" s="21">
        <f t="shared" si="29"/>
        <v>0</v>
      </c>
      <c r="BI83">
        <v>24.9</v>
      </c>
      <c r="BJ83">
        <v>13.8</v>
      </c>
      <c r="BK83" s="18">
        <f t="shared" si="30"/>
        <v>44.578313253012041</v>
      </c>
      <c r="BL83" s="18">
        <f t="shared" si="31"/>
        <v>3.8313253012048163</v>
      </c>
      <c r="BM83" s="19">
        <f t="shared" si="32"/>
        <v>44781.831325301202</v>
      </c>
      <c r="BN83" s="71">
        <f t="shared" si="33"/>
        <v>96.831325301202014</v>
      </c>
      <c r="BO83">
        <v>6</v>
      </c>
      <c r="BP83" s="23">
        <f t="shared" si="34"/>
        <v>7.238999999999999</v>
      </c>
      <c r="BQ83">
        <v>8.1</v>
      </c>
      <c r="BR83">
        <v>8.8000000000000007</v>
      </c>
      <c r="BS83" s="22">
        <f t="shared" si="35"/>
        <v>11797.369259478406</v>
      </c>
      <c r="BT83" s="22">
        <f t="shared" si="36"/>
        <v>219.31006956722675</v>
      </c>
      <c r="BU83">
        <v>99</v>
      </c>
      <c r="BV83">
        <v>4.4700000000000006</v>
      </c>
      <c r="BW83">
        <v>4.9000000000000004</v>
      </c>
      <c r="BX83" s="71">
        <f t="shared" si="37"/>
        <v>49.3956069364162</v>
      </c>
    </row>
    <row r="84" spans="2:76" x14ac:dyDescent="0.3">
      <c r="B84">
        <v>2022</v>
      </c>
      <c r="C84" t="s">
        <v>125</v>
      </c>
      <c r="D84">
        <v>326</v>
      </c>
      <c r="E84">
        <v>3</v>
      </c>
      <c r="F84">
        <v>15</v>
      </c>
      <c r="G84" t="s">
        <v>25</v>
      </c>
      <c r="H84">
        <v>6</v>
      </c>
      <c r="I84" t="s">
        <v>21</v>
      </c>
      <c r="J84">
        <v>45</v>
      </c>
      <c r="K84">
        <v>25</v>
      </c>
      <c r="L84" s="22">
        <f t="shared" si="20"/>
        <v>145.04765851636967</v>
      </c>
      <c r="M84">
        <v>45</v>
      </c>
      <c r="N84">
        <v>44</v>
      </c>
      <c r="O84">
        <v>50</v>
      </c>
      <c r="P84">
        <v>45</v>
      </c>
      <c r="Q84" s="21">
        <f t="shared" si="21"/>
        <v>46</v>
      </c>
      <c r="R84">
        <v>60</v>
      </c>
      <c r="S84">
        <v>70</v>
      </c>
      <c r="T84">
        <v>65</v>
      </c>
      <c r="U84">
        <v>60</v>
      </c>
      <c r="V84" s="21">
        <f t="shared" si="19"/>
        <v>63.75</v>
      </c>
      <c r="W84">
        <v>84</v>
      </c>
      <c r="X84">
        <v>81</v>
      </c>
      <c r="Y84">
        <v>87</v>
      </c>
      <c r="Z84">
        <v>84</v>
      </c>
      <c r="AA84" s="21">
        <f t="shared" si="22"/>
        <v>84</v>
      </c>
      <c r="AB84">
        <v>95</v>
      </c>
      <c r="AC84">
        <v>93</v>
      </c>
      <c r="AD84">
        <v>97</v>
      </c>
      <c r="AE84">
        <v>99</v>
      </c>
      <c r="AF84" s="21">
        <f t="shared" si="23"/>
        <v>96</v>
      </c>
      <c r="AG84" s="22">
        <v>98</v>
      </c>
      <c r="AH84" s="22">
        <v>103</v>
      </c>
      <c r="AI84" s="22">
        <v>100</v>
      </c>
      <c r="AJ84" s="22">
        <v>95</v>
      </c>
      <c r="AK84" s="21">
        <f t="shared" si="24"/>
        <v>99</v>
      </c>
      <c r="AP84" s="21" t="e">
        <f t="shared" si="25"/>
        <v>#DIV/0!</v>
      </c>
      <c r="AR84">
        <v>98</v>
      </c>
      <c r="AS84">
        <v>103</v>
      </c>
      <c r="AT84">
        <v>100</v>
      </c>
      <c r="AU84">
        <v>95</v>
      </c>
      <c r="AV84" s="21">
        <f t="shared" si="26"/>
        <v>99</v>
      </c>
      <c r="AW84">
        <v>0</v>
      </c>
      <c r="AX84">
        <v>0</v>
      </c>
      <c r="AY84">
        <v>0</v>
      </c>
      <c r="AZ84" s="21">
        <f t="shared" si="27"/>
        <v>0</v>
      </c>
      <c r="BA84">
        <v>0</v>
      </c>
      <c r="BB84">
        <v>0</v>
      </c>
      <c r="BC84">
        <v>0</v>
      </c>
      <c r="BD84" s="21">
        <f t="shared" si="28"/>
        <v>0</v>
      </c>
      <c r="BH84" s="21">
        <f t="shared" si="29"/>
        <v>0</v>
      </c>
      <c r="BI84">
        <v>32.1</v>
      </c>
      <c r="BJ84">
        <v>16.2</v>
      </c>
      <c r="BK84" s="18">
        <f t="shared" si="30"/>
        <v>49.532710280373834</v>
      </c>
      <c r="BL84" s="18">
        <f t="shared" si="31"/>
        <v>5.813084112149534</v>
      </c>
      <c r="BM84" s="19">
        <f t="shared" si="32"/>
        <v>44783.813084112153</v>
      </c>
      <c r="BN84" s="71">
        <f t="shared" si="33"/>
        <v>98.813084112152865</v>
      </c>
      <c r="BO84">
        <v>6</v>
      </c>
      <c r="BP84" s="23">
        <f t="shared" si="34"/>
        <v>7.238999999999999</v>
      </c>
      <c r="BQ84">
        <v>8.36</v>
      </c>
      <c r="BR84">
        <v>8.9</v>
      </c>
      <c r="BS84" s="22">
        <f t="shared" si="35"/>
        <v>12162.699315764718</v>
      </c>
      <c r="BT84" s="22">
        <f t="shared" si="36"/>
        <v>226.1014616392159</v>
      </c>
      <c r="BU84">
        <v>98.7</v>
      </c>
      <c r="BV84">
        <v>4.55</v>
      </c>
      <c r="BW84">
        <v>4.3</v>
      </c>
      <c r="BX84" s="71">
        <f t="shared" si="37"/>
        <v>46.60317919075144</v>
      </c>
    </row>
    <row r="85" spans="2:76" x14ac:dyDescent="0.3">
      <c r="B85">
        <v>2022</v>
      </c>
      <c r="C85" t="s">
        <v>125</v>
      </c>
      <c r="D85">
        <v>327</v>
      </c>
      <c r="E85">
        <v>3</v>
      </c>
      <c r="F85">
        <v>14</v>
      </c>
      <c r="G85" t="s">
        <v>25</v>
      </c>
      <c r="H85">
        <v>5</v>
      </c>
      <c r="I85" t="s">
        <v>20</v>
      </c>
      <c r="J85">
        <v>53</v>
      </c>
      <c r="K85">
        <v>37</v>
      </c>
      <c r="L85" s="22">
        <f t="shared" si="20"/>
        <v>186.48984666390388</v>
      </c>
      <c r="M85">
        <v>45</v>
      </c>
      <c r="N85">
        <v>43</v>
      </c>
      <c r="O85">
        <v>42</v>
      </c>
      <c r="P85">
        <v>38</v>
      </c>
      <c r="Q85" s="21">
        <f t="shared" si="21"/>
        <v>42</v>
      </c>
      <c r="R85">
        <v>60</v>
      </c>
      <c r="S85">
        <v>62</v>
      </c>
      <c r="T85">
        <v>66</v>
      </c>
      <c r="U85">
        <v>63</v>
      </c>
      <c r="V85" s="21">
        <f t="shared" si="19"/>
        <v>62.75</v>
      </c>
      <c r="W85">
        <v>85</v>
      </c>
      <c r="X85">
        <v>91</v>
      </c>
      <c r="Y85">
        <v>93</v>
      </c>
      <c r="Z85">
        <v>83</v>
      </c>
      <c r="AA85" s="21">
        <f t="shared" si="22"/>
        <v>88</v>
      </c>
      <c r="AB85">
        <v>103</v>
      </c>
      <c r="AC85">
        <v>105</v>
      </c>
      <c r="AD85">
        <v>100</v>
      </c>
      <c r="AE85">
        <v>98</v>
      </c>
      <c r="AF85" s="21">
        <f t="shared" si="23"/>
        <v>101.5</v>
      </c>
      <c r="AG85" s="22">
        <v>111</v>
      </c>
      <c r="AH85" s="22">
        <v>101</v>
      </c>
      <c r="AI85" s="22">
        <v>104</v>
      </c>
      <c r="AJ85" s="22">
        <v>100</v>
      </c>
      <c r="AK85" s="21">
        <f t="shared" si="24"/>
        <v>104</v>
      </c>
      <c r="AP85" s="21" t="e">
        <f t="shared" si="25"/>
        <v>#DIV/0!</v>
      </c>
      <c r="AR85">
        <v>111</v>
      </c>
      <c r="AS85">
        <v>101</v>
      </c>
      <c r="AT85">
        <v>104</v>
      </c>
      <c r="AU85">
        <v>100</v>
      </c>
      <c r="AV85" s="21">
        <f t="shared" si="26"/>
        <v>104</v>
      </c>
      <c r="AW85">
        <v>0</v>
      </c>
      <c r="AX85">
        <v>0</v>
      </c>
      <c r="AY85">
        <v>0</v>
      </c>
      <c r="AZ85" s="21">
        <f t="shared" si="27"/>
        <v>0</v>
      </c>
      <c r="BA85">
        <v>0</v>
      </c>
      <c r="BB85">
        <v>0</v>
      </c>
      <c r="BC85">
        <v>0</v>
      </c>
      <c r="BD85" s="21">
        <f t="shared" si="28"/>
        <v>0</v>
      </c>
      <c r="BH85" s="21">
        <f t="shared" si="29"/>
        <v>0</v>
      </c>
      <c r="BI85">
        <v>27.6</v>
      </c>
      <c r="BJ85">
        <v>14.7</v>
      </c>
      <c r="BK85" s="18">
        <f t="shared" si="30"/>
        <v>46.739130434782616</v>
      </c>
      <c r="BL85" s="18">
        <f t="shared" si="31"/>
        <v>4.6956521739130466</v>
      </c>
      <c r="BM85" s="19">
        <f t="shared" si="32"/>
        <v>44782.695652173912</v>
      </c>
      <c r="BN85" s="71">
        <f t="shared" si="33"/>
        <v>97.695652173912094</v>
      </c>
      <c r="BO85">
        <v>6</v>
      </c>
      <c r="BP85" s="23">
        <f t="shared" si="34"/>
        <v>7.238999999999999</v>
      </c>
      <c r="BQ85">
        <v>8.58</v>
      </c>
      <c r="BR85">
        <v>8.4</v>
      </c>
      <c r="BS85" s="22">
        <f t="shared" si="35"/>
        <v>12551.281713454819</v>
      </c>
      <c r="BT85" s="22">
        <f t="shared" si="36"/>
        <v>233.32510877576266</v>
      </c>
      <c r="BU85">
        <v>96.9</v>
      </c>
      <c r="BV85">
        <v>4.5600000000000005</v>
      </c>
      <c r="BW85">
        <v>4.3899999999999997</v>
      </c>
      <c r="BX85" s="71">
        <f t="shared" si="37"/>
        <v>47.388439306358379</v>
      </c>
    </row>
    <row r="86" spans="2:76" x14ac:dyDescent="0.3">
      <c r="B86">
        <v>2022</v>
      </c>
      <c r="C86" t="s">
        <v>125</v>
      </c>
      <c r="D86">
        <v>401</v>
      </c>
      <c r="E86">
        <v>4</v>
      </c>
      <c r="F86">
        <v>24</v>
      </c>
      <c r="G86" t="s">
        <v>27</v>
      </c>
      <c r="H86">
        <v>6</v>
      </c>
      <c r="I86" t="s">
        <v>21</v>
      </c>
      <c r="J86">
        <v>50</v>
      </c>
      <c r="K86">
        <v>54</v>
      </c>
      <c r="L86" s="22">
        <f t="shared" si="20"/>
        <v>215.4993783671778</v>
      </c>
      <c r="M86">
        <v>39</v>
      </c>
      <c r="N86">
        <v>44</v>
      </c>
      <c r="O86">
        <v>30</v>
      </c>
      <c r="P86">
        <v>33</v>
      </c>
      <c r="Q86" s="21">
        <f t="shared" si="21"/>
        <v>36.5</v>
      </c>
      <c r="R86">
        <v>58</v>
      </c>
      <c r="S86">
        <v>50</v>
      </c>
      <c r="T86">
        <v>60</v>
      </c>
      <c r="U86">
        <v>64</v>
      </c>
      <c r="V86" s="21">
        <f t="shared" si="19"/>
        <v>58</v>
      </c>
      <c r="W86">
        <v>85</v>
      </c>
      <c r="X86">
        <v>86</v>
      </c>
      <c r="Y86">
        <v>77</v>
      </c>
      <c r="Z86">
        <v>79</v>
      </c>
      <c r="AA86" s="21">
        <f t="shared" si="22"/>
        <v>81.75</v>
      </c>
      <c r="AB86">
        <v>84</v>
      </c>
      <c r="AC86">
        <v>86</v>
      </c>
      <c r="AD86">
        <v>81</v>
      </c>
      <c r="AE86">
        <v>85</v>
      </c>
      <c r="AF86" s="21">
        <f t="shared" si="23"/>
        <v>84</v>
      </c>
      <c r="AG86" s="22">
        <v>85</v>
      </c>
      <c r="AH86" s="22">
        <v>80</v>
      </c>
      <c r="AI86" s="22">
        <v>85</v>
      </c>
      <c r="AJ86" s="22">
        <v>88</v>
      </c>
      <c r="AK86" s="21">
        <f t="shared" si="24"/>
        <v>84.5</v>
      </c>
      <c r="AP86" s="21" t="e">
        <f t="shared" si="25"/>
        <v>#DIV/0!</v>
      </c>
      <c r="AR86">
        <v>85</v>
      </c>
      <c r="AS86">
        <v>80</v>
      </c>
      <c r="AT86">
        <v>85</v>
      </c>
      <c r="AU86">
        <v>88</v>
      </c>
      <c r="AV86" s="21">
        <f t="shared" si="26"/>
        <v>84.5</v>
      </c>
      <c r="AW86">
        <v>0</v>
      </c>
      <c r="AX86">
        <v>0</v>
      </c>
      <c r="AY86">
        <v>0</v>
      </c>
      <c r="AZ86" s="21">
        <f t="shared" si="27"/>
        <v>0</v>
      </c>
      <c r="BA86">
        <v>0</v>
      </c>
      <c r="BB86">
        <v>0</v>
      </c>
      <c r="BC86">
        <v>0</v>
      </c>
      <c r="BD86" s="21">
        <f t="shared" si="28"/>
        <v>0</v>
      </c>
      <c r="BH86" s="21">
        <f t="shared" si="29"/>
        <v>0</v>
      </c>
      <c r="BI86">
        <v>24.2</v>
      </c>
      <c r="BJ86">
        <v>13.3</v>
      </c>
      <c r="BK86" s="18">
        <f t="shared" si="30"/>
        <v>45.04132231404958</v>
      </c>
      <c r="BL86" s="18">
        <f t="shared" si="31"/>
        <v>4.0165289256198324</v>
      </c>
      <c r="BM86" s="19">
        <f t="shared" si="32"/>
        <v>44782.016528925618</v>
      </c>
      <c r="BN86" s="71">
        <f t="shared" si="33"/>
        <v>97.016528925618331</v>
      </c>
      <c r="BO86">
        <v>6</v>
      </c>
      <c r="BP86" s="23">
        <f t="shared" si="34"/>
        <v>7.238999999999999</v>
      </c>
      <c r="BQ86">
        <v>8.89</v>
      </c>
      <c r="BR86">
        <v>7.8</v>
      </c>
      <c r="BS86" s="22">
        <f t="shared" si="35"/>
        <v>13089.950309299264</v>
      </c>
      <c r="BT86" s="22">
        <f t="shared" si="36"/>
        <v>243.33881985235811</v>
      </c>
      <c r="BU86">
        <v>105</v>
      </c>
      <c r="BV86">
        <v>5.05</v>
      </c>
      <c r="BW86">
        <v>5.29</v>
      </c>
      <c r="BX86" s="71">
        <f t="shared" si="37"/>
        <v>55.106820809248561</v>
      </c>
    </row>
    <row r="87" spans="2:76" x14ac:dyDescent="0.3">
      <c r="B87">
        <v>2022</v>
      </c>
      <c r="C87" t="s">
        <v>125</v>
      </c>
      <c r="D87">
        <v>402</v>
      </c>
      <c r="E87">
        <v>4</v>
      </c>
      <c r="F87">
        <v>21</v>
      </c>
      <c r="G87" t="s">
        <v>27</v>
      </c>
      <c r="H87">
        <v>3</v>
      </c>
      <c r="I87" t="s">
        <v>18</v>
      </c>
      <c r="J87">
        <v>67</v>
      </c>
      <c r="K87">
        <v>59</v>
      </c>
      <c r="L87" s="22">
        <f t="shared" si="20"/>
        <v>261.08578532946541</v>
      </c>
      <c r="M87">
        <v>33</v>
      </c>
      <c r="N87">
        <v>34</v>
      </c>
      <c r="O87">
        <v>35</v>
      </c>
      <c r="P87">
        <v>37</v>
      </c>
      <c r="Q87" s="21">
        <f t="shared" si="21"/>
        <v>34.75</v>
      </c>
      <c r="R87">
        <v>54</v>
      </c>
      <c r="S87">
        <v>48</v>
      </c>
      <c r="T87">
        <v>52</v>
      </c>
      <c r="U87">
        <v>56</v>
      </c>
      <c r="V87" s="21">
        <f t="shared" si="19"/>
        <v>52.5</v>
      </c>
      <c r="W87">
        <v>78</v>
      </c>
      <c r="X87">
        <v>81</v>
      </c>
      <c r="Y87">
        <v>80</v>
      </c>
      <c r="Z87">
        <v>82</v>
      </c>
      <c r="AA87" s="21">
        <f t="shared" si="22"/>
        <v>80.25</v>
      </c>
      <c r="AB87">
        <v>94</v>
      </c>
      <c r="AC87">
        <v>94</v>
      </c>
      <c r="AD87">
        <v>91</v>
      </c>
      <c r="AE87">
        <v>93</v>
      </c>
      <c r="AF87" s="21">
        <f t="shared" si="23"/>
        <v>93</v>
      </c>
      <c r="AG87" s="22">
        <v>95</v>
      </c>
      <c r="AH87" s="22">
        <v>90</v>
      </c>
      <c r="AI87" s="22">
        <v>91</v>
      </c>
      <c r="AJ87" s="22">
        <v>89</v>
      </c>
      <c r="AK87" s="21">
        <f t="shared" si="24"/>
        <v>91.25</v>
      </c>
      <c r="AP87" s="21" t="e">
        <f t="shared" si="25"/>
        <v>#DIV/0!</v>
      </c>
      <c r="AR87">
        <v>95</v>
      </c>
      <c r="AS87">
        <v>90</v>
      </c>
      <c r="AT87">
        <v>91</v>
      </c>
      <c r="AU87">
        <v>89</v>
      </c>
      <c r="AV87" s="21">
        <f t="shared" si="26"/>
        <v>91.25</v>
      </c>
      <c r="AW87">
        <v>0</v>
      </c>
      <c r="AX87">
        <v>0</v>
      </c>
      <c r="AY87">
        <v>0</v>
      </c>
      <c r="AZ87" s="21">
        <f t="shared" si="27"/>
        <v>0</v>
      </c>
      <c r="BA87">
        <v>0</v>
      </c>
      <c r="BB87">
        <v>0</v>
      </c>
      <c r="BC87">
        <v>0</v>
      </c>
      <c r="BD87" s="21">
        <f t="shared" si="28"/>
        <v>0</v>
      </c>
      <c r="BH87" s="21">
        <f t="shared" si="29"/>
        <v>0</v>
      </c>
      <c r="BI87">
        <v>25.1</v>
      </c>
      <c r="BJ87">
        <v>13.4</v>
      </c>
      <c r="BK87" s="18">
        <f t="shared" si="30"/>
        <v>46.613545816733073</v>
      </c>
      <c r="BL87" s="18">
        <f t="shared" si="31"/>
        <v>4.6454183266932292</v>
      </c>
      <c r="BM87" s="19">
        <f t="shared" si="32"/>
        <v>44782.645418326691</v>
      </c>
      <c r="BN87" s="71">
        <f t="shared" si="33"/>
        <v>97.64541832669056</v>
      </c>
      <c r="BO87">
        <v>6</v>
      </c>
      <c r="BP87" s="23">
        <f t="shared" si="34"/>
        <v>7.238999999999999</v>
      </c>
      <c r="BQ87">
        <v>9.1999999999999993</v>
      </c>
      <c r="BR87">
        <v>7.2</v>
      </c>
      <c r="BS87" s="22">
        <f t="shared" si="35"/>
        <v>13634.55975061225</v>
      </c>
      <c r="BT87" s="22">
        <f t="shared" si="36"/>
        <v>253.46296972292006</v>
      </c>
      <c r="BU87">
        <v>99.7</v>
      </c>
      <c r="BV87">
        <v>5.25</v>
      </c>
      <c r="BW87">
        <v>5.17</v>
      </c>
      <c r="BX87" s="71">
        <f t="shared" si="37"/>
        <v>55.894566473988434</v>
      </c>
    </row>
    <row r="88" spans="2:76" x14ac:dyDescent="0.3">
      <c r="B88">
        <v>2022</v>
      </c>
      <c r="C88" t="s">
        <v>125</v>
      </c>
      <c r="D88">
        <v>403</v>
      </c>
      <c r="E88">
        <v>4</v>
      </c>
      <c r="F88">
        <v>23</v>
      </c>
      <c r="G88" t="s">
        <v>27</v>
      </c>
      <c r="H88">
        <v>5</v>
      </c>
      <c r="I88" t="s">
        <v>20</v>
      </c>
      <c r="J88">
        <v>65</v>
      </c>
      <c r="K88">
        <v>73</v>
      </c>
      <c r="L88" s="22">
        <f t="shared" si="20"/>
        <v>285.95109821798593</v>
      </c>
      <c r="M88">
        <v>42</v>
      </c>
      <c r="N88">
        <v>40</v>
      </c>
      <c r="O88">
        <v>35</v>
      </c>
      <c r="P88">
        <v>34</v>
      </c>
      <c r="Q88" s="21">
        <f t="shared" si="21"/>
        <v>37.75</v>
      </c>
      <c r="R88">
        <v>54</v>
      </c>
      <c r="S88">
        <v>53</v>
      </c>
      <c r="T88">
        <v>55</v>
      </c>
      <c r="U88">
        <v>55</v>
      </c>
      <c r="V88" s="21">
        <f t="shared" ref="V88:V112" si="38">AVERAGE(R88:U88)</f>
        <v>54.25</v>
      </c>
      <c r="W88">
        <v>81</v>
      </c>
      <c r="X88">
        <v>80</v>
      </c>
      <c r="Y88">
        <v>82</v>
      </c>
      <c r="Z88">
        <v>79</v>
      </c>
      <c r="AA88" s="21">
        <f t="shared" si="22"/>
        <v>80.5</v>
      </c>
      <c r="AB88">
        <v>82</v>
      </c>
      <c r="AC88">
        <v>85</v>
      </c>
      <c r="AD88">
        <v>84</v>
      </c>
      <c r="AE88">
        <v>86</v>
      </c>
      <c r="AF88" s="21">
        <f t="shared" si="23"/>
        <v>84.25</v>
      </c>
      <c r="AG88" s="22">
        <v>93</v>
      </c>
      <c r="AH88" s="22">
        <v>85</v>
      </c>
      <c r="AI88" s="22">
        <v>80</v>
      </c>
      <c r="AJ88" s="22">
        <v>92</v>
      </c>
      <c r="AK88" s="21">
        <f t="shared" si="24"/>
        <v>87.5</v>
      </c>
      <c r="AP88" s="21" t="e">
        <f t="shared" si="25"/>
        <v>#DIV/0!</v>
      </c>
      <c r="AR88">
        <v>93</v>
      </c>
      <c r="AS88">
        <v>85</v>
      </c>
      <c r="AT88">
        <v>80</v>
      </c>
      <c r="AU88">
        <v>92</v>
      </c>
      <c r="AV88" s="21">
        <f t="shared" si="26"/>
        <v>87.5</v>
      </c>
      <c r="AW88">
        <v>0</v>
      </c>
      <c r="AX88">
        <v>0</v>
      </c>
      <c r="AY88">
        <v>0</v>
      </c>
      <c r="AZ88" s="21">
        <f t="shared" si="27"/>
        <v>0</v>
      </c>
      <c r="BA88">
        <v>0</v>
      </c>
      <c r="BB88">
        <v>0</v>
      </c>
      <c r="BC88">
        <v>0</v>
      </c>
      <c r="BD88" s="21">
        <f t="shared" si="28"/>
        <v>0</v>
      </c>
      <c r="BH88" s="21">
        <f t="shared" si="29"/>
        <v>0</v>
      </c>
      <c r="BI88">
        <v>26</v>
      </c>
      <c r="BJ88">
        <v>14.3</v>
      </c>
      <c r="BK88" s="18">
        <f t="shared" si="30"/>
        <v>44.999999999999993</v>
      </c>
      <c r="BL88" s="18">
        <f t="shared" si="31"/>
        <v>3.9999999999999973</v>
      </c>
      <c r="BM88" s="19">
        <f t="shared" si="32"/>
        <v>44782</v>
      </c>
      <c r="BN88" s="71">
        <f t="shared" si="33"/>
        <v>97</v>
      </c>
      <c r="BO88">
        <v>6</v>
      </c>
      <c r="BP88" s="23">
        <f t="shared" si="34"/>
        <v>7.238999999999999</v>
      </c>
      <c r="BQ88">
        <v>9.25</v>
      </c>
      <c r="BR88">
        <v>7.7</v>
      </c>
      <c r="BS88" s="22">
        <f t="shared" si="35"/>
        <v>13634.799300832758</v>
      </c>
      <c r="BT88" s="22">
        <f t="shared" si="36"/>
        <v>253.46742290009612</v>
      </c>
      <c r="BU88">
        <v>105.9</v>
      </c>
      <c r="BV88">
        <v>5.43</v>
      </c>
      <c r="BW88">
        <v>5.43</v>
      </c>
      <c r="BX88" s="71">
        <f t="shared" si="37"/>
        <v>57.940924855491332</v>
      </c>
    </row>
    <row r="89" spans="2:76" x14ac:dyDescent="0.3">
      <c r="B89">
        <v>2022</v>
      </c>
      <c r="C89" t="s">
        <v>125</v>
      </c>
      <c r="D89">
        <v>404</v>
      </c>
      <c r="E89">
        <v>4</v>
      </c>
      <c r="F89">
        <v>25</v>
      </c>
      <c r="G89" t="s">
        <v>27</v>
      </c>
      <c r="H89">
        <v>7</v>
      </c>
      <c r="I89" t="s">
        <v>22</v>
      </c>
      <c r="J89">
        <v>76</v>
      </c>
      <c r="K89">
        <v>57</v>
      </c>
      <c r="L89" s="22">
        <f t="shared" si="20"/>
        <v>275.5905511811024</v>
      </c>
      <c r="M89">
        <v>36</v>
      </c>
      <c r="N89">
        <v>35</v>
      </c>
      <c r="O89">
        <v>40</v>
      </c>
      <c r="P89">
        <v>39</v>
      </c>
      <c r="Q89" s="21">
        <f t="shared" si="21"/>
        <v>37.5</v>
      </c>
      <c r="R89">
        <v>59</v>
      </c>
      <c r="S89">
        <v>57</v>
      </c>
      <c r="T89">
        <v>60</v>
      </c>
      <c r="U89">
        <v>63</v>
      </c>
      <c r="V89" s="21">
        <f t="shared" si="38"/>
        <v>59.75</v>
      </c>
      <c r="W89">
        <v>84</v>
      </c>
      <c r="X89">
        <v>84</v>
      </c>
      <c r="Y89">
        <v>83</v>
      </c>
      <c r="Z89">
        <v>85</v>
      </c>
      <c r="AA89" s="21">
        <f t="shared" si="22"/>
        <v>84</v>
      </c>
      <c r="AB89">
        <v>86</v>
      </c>
      <c r="AC89">
        <v>90</v>
      </c>
      <c r="AD89">
        <v>88</v>
      </c>
      <c r="AE89">
        <v>86</v>
      </c>
      <c r="AF89" s="21">
        <f t="shared" si="23"/>
        <v>87.5</v>
      </c>
      <c r="AG89" s="22">
        <v>88</v>
      </c>
      <c r="AH89" s="22">
        <v>85</v>
      </c>
      <c r="AI89" s="22">
        <v>82</v>
      </c>
      <c r="AJ89" s="22">
        <v>91</v>
      </c>
      <c r="AK89" s="21">
        <f t="shared" si="24"/>
        <v>86.5</v>
      </c>
      <c r="AP89" s="21" t="e">
        <f t="shared" si="25"/>
        <v>#DIV/0!</v>
      </c>
      <c r="AR89">
        <v>88</v>
      </c>
      <c r="AS89">
        <v>85</v>
      </c>
      <c r="AT89">
        <v>82</v>
      </c>
      <c r="AU89">
        <v>91</v>
      </c>
      <c r="AV89" s="21">
        <f t="shared" si="26"/>
        <v>86.5</v>
      </c>
      <c r="AW89">
        <v>0</v>
      </c>
      <c r="AX89">
        <v>0</v>
      </c>
      <c r="AY89">
        <v>0</v>
      </c>
      <c r="AZ89" s="21">
        <f t="shared" si="27"/>
        <v>0</v>
      </c>
      <c r="BA89">
        <v>0</v>
      </c>
      <c r="BB89">
        <v>0</v>
      </c>
      <c r="BC89">
        <v>0</v>
      </c>
      <c r="BD89" s="21">
        <f t="shared" si="28"/>
        <v>0</v>
      </c>
      <c r="BH89" s="21">
        <f t="shared" si="29"/>
        <v>0</v>
      </c>
      <c r="BI89">
        <v>19.7</v>
      </c>
      <c r="BJ89">
        <v>10.5</v>
      </c>
      <c r="BK89" s="18">
        <f t="shared" si="30"/>
        <v>46.700507614213194</v>
      </c>
      <c r="BL89" s="18">
        <f t="shared" si="31"/>
        <v>4.6802030456852775</v>
      </c>
      <c r="BM89" s="19">
        <f t="shared" si="32"/>
        <v>44782.680203045682</v>
      </c>
      <c r="BN89" s="71">
        <f t="shared" si="33"/>
        <v>97.680203045681992</v>
      </c>
      <c r="BO89">
        <v>6</v>
      </c>
      <c r="BP89" s="23">
        <f t="shared" si="34"/>
        <v>7.238999999999999</v>
      </c>
      <c r="BQ89">
        <v>9.34</v>
      </c>
      <c r="BR89">
        <v>7.1</v>
      </c>
      <c r="BS89" s="22">
        <f t="shared" si="35"/>
        <v>13856.958175330003</v>
      </c>
      <c r="BT89" s="22">
        <f t="shared" si="36"/>
        <v>257.59729941318591</v>
      </c>
      <c r="BU89">
        <v>105.4</v>
      </c>
      <c r="BV89">
        <v>5.18</v>
      </c>
      <c r="BW89">
        <v>5.3</v>
      </c>
      <c r="BX89" s="71">
        <f t="shared" si="37"/>
        <v>56.276994219653183</v>
      </c>
    </row>
    <row r="90" spans="2:76" x14ac:dyDescent="0.3">
      <c r="B90">
        <v>2022</v>
      </c>
      <c r="C90" t="s">
        <v>125</v>
      </c>
      <c r="D90">
        <v>405</v>
      </c>
      <c r="E90">
        <v>4</v>
      </c>
      <c r="F90">
        <v>27</v>
      </c>
      <c r="G90" t="s">
        <v>27</v>
      </c>
      <c r="H90">
        <v>9</v>
      </c>
      <c r="I90" t="s">
        <v>24</v>
      </c>
      <c r="J90">
        <v>66</v>
      </c>
      <c r="K90">
        <v>52</v>
      </c>
      <c r="L90" s="22">
        <f t="shared" si="20"/>
        <v>244.50891007045172</v>
      </c>
      <c r="M90">
        <v>37</v>
      </c>
      <c r="N90">
        <v>39</v>
      </c>
      <c r="O90">
        <v>42</v>
      </c>
      <c r="P90">
        <v>38</v>
      </c>
      <c r="Q90" s="21">
        <f t="shared" si="21"/>
        <v>39</v>
      </c>
      <c r="R90">
        <v>60</v>
      </c>
      <c r="S90">
        <v>61</v>
      </c>
      <c r="T90">
        <v>62</v>
      </c>
      <c r="U90">
        <v>61</v>
      </c>
      <c r="V90" s="21">
        <f t="shared" si="38"/>
        <v>61</v>
      </c>
      <c r="W90">
        <v>86</v>
      </c>
      <c r="X90">
        <v>83</v>
      </c>
      <c r="Y90">
        <v>84</v>
      </c>
      <c r="Z90">
        <v>85</v>
      </c>
      <c r="AA90" s="21">
        <f t="shared" si="22"/>
        <v>84.5</v>
      </c>
      <c r="AB90">
        <v>80</v>
      </c>
      <c r="AC90">
        <v>87</v>
      </c>
      <c r="AD90">
        <v>85</v>
      </c>
      <c r="AE90">
        <v>85</v>
      </c>
      <c r="AF90" s="21">
        <f t="shared" si="23"/>
        <v>84.25</v>
      </c>
      <c r="AG90" s="22">
        <v>87</v>
      </c>
      <c r="AH90" s="22">
        <v>88</v>
      </c>
      <c r="AI90" s="22">
        <v>85</v>
      </c>
      <c r="AJ90" s="22">
        <v>93</v>
      </c>
      <c r="AK90" s="21">
        <f t="shared" si="24"/>
        <v>88.25</v>
      </c>
      <c r="AP90" s="21" t="e">
        <f t="shared" si="25"/>
        <v>#DIV/0!</v>
      </c>
      <c r="AR90">
        <v>87</v>
      </c>
      <c r="AS90">
        <v>88</v>
      </c>
      <c r="AT90">
        <v>85</v>
      </c>
      <c r="AU90">
        <v>93</v>
      </c>
      <c r="AV90" s="21">
        <f t="shared" si="26"/>
        <v>88.25</v>
      </c>
      <c r="AW90">
        <v>0</v>
      </c>
      <c r="AX90">
        <v>0</v>
      </c>
      <c r="AY90">
        <v>0</v>
      </c>
      <c r="AZ90" s="21">
        <f t="shared" si="27"/>
        <v>0</v>
      </c>
      <c r="BA90">
        <v>0</v>
      </c>
      <c r="BB90">
        <v>0</v>
      </c>
      <c r="BC90">
        <v>0</v>
      </c>
      <c r="BD90" s="21">
        <f t="shared" si="28"/>
        <v>0</v>
      </c>
      <c r="BH90" s="21">
        <f t="shared" si="29"/>
        <v>0</v>
      </c>
      <c r="BI90">
        <v>21.8</v>
      </c>
      <c r="BJ90">
        <v>12.5</v>
      </c>
      <c r="BK90" s="18">
        <f t="shared" si="30"/>
        <v>42.660550458715598</v>
      </c>
      <c r="BL90" s="18">
        <f t="shared" si="31"/>
        <v>3.0642201834862393</v>
      </c>
      <c r="BM90" s="19">
        <f t="shared" si="32"/>
        <v>44781.064220183485</v>
      </c>
      <c r="BN90" s="71">
        <f t="shared" si="33"/>
        <v>96.064220183485304</v>
      </c>
      <c r="BO90">
        <v>6</v>
      </c>
      <c r="BP90" s="23">
        <f t="shared" si="34"/>
        <v>7.238999999999999</v>
      </c>
      <c r="BQ90">
        <v>9.6</v>
      </c>
      <c r="BR90">
        <v>7.3</v>
      </c>
      <c r="BS90" s="22">
        <f t="shared" si="35"/>
        <v>14212.035482178662</v>
      </c>
      <c r="BT90" s="22">
        <f t="shared" si="36"/>
        <v>264.19809550203928</v>
      </c>
      <c r="BU90">
        <v>105.8</v>
      </c>
      <c r="BV90">
        <v>5.21</v>
      </c>
      <c r="BW90">
        <v>5.32</v>
      </c>
      <c r="BX90" s="71">
        <f t="shared" si="37"/>
        <v>56.423757225433533</v>
      </c>
    </row>
    <row r="91" spans="2:76" x14ac:dyDescent="0.3">
      <c r="B91">
        <v>2022</v>
      </c>
      <c r="C91" t="s">
        <v>125</v>
      </c>
      <c r="D91">
        <v>406</v>
      </c>
      <c r="E91">
        <v>4</v>
      </c>
      <c r="F91">
        <v>20</v>
      </c>
      <c r="G91" t="s">
        <v>27</v>
      </c>
      <c r="H91">
        <v>2</v>
      </c>
      <c r="I91" t="s">
        <v>17</v>
      </c>
      <c r="J91">
        <v>54</v>
      </c>
      <c r="K91">
        <v>54</v>
      </c>
      <c r="L91" s="22">
        <f t="shared" si="20"/>
        <v>223.78781599668463</v>
      </c>
      <c r="M91">
        <v>35</v>
      </c>
      <c r="N91">
        <v>32</v>
      </c>
      <c r="O91">
        <v>42</v>
      </c>
      <c r="P91">
        <v>39</v>
      </c>
      <c r="Q91" s="21">
        <f t="shared" si="21"/>
        <v>37</v>
      </c>
      <c r="R91">
        <v>58</v>
      </c>
      <c r="S91">
        <v>57</v>
      </c>
      <c r="T91">
        <v>56</v>
      </c>
      <c r="U91">
        <v>62</v>
      </c>
      <c r="V91" s="21">
        <f t="shared" si="38"/>
        <v>58.25</v>
      </c>
      <c r="W91">
        <v>85</v>
      </c>
      <c r="X91">
        <v>81</v>
      </c>
      <c r="Y91">
        <v>81</v>
      </c>
      <c r="Z91">
        <v>83</v>
      </c>
      <c r="AA91" s="21">
        <f t="shared" si="22"/>
        <v>82.5</v>
      </c>
      <c r="AB91">
        <v>94</v>
      </c>
      <c r="AC91">
        <v>93</v>
      </c>
      <c r="AD91">
        <v>94</v>
      </c>
      <c r="AE91">
        <v>90</v>
      </c>
      <c r="AF91" s="21">
        <f t="shared" si="23"/>
        <v>92.75</v>
      </c>
      <c r="AG91" s="22">
        <v>92</v>
      </c>
      <c r="AH91" s="22">
        <v>90</v>
      </c>
      <c r="AI91" s="22">
        <v>93</v>
      </c>
      <c r="AJ91" s="22">
        <v>93</v>
      </c>
      <c r="AK91" s="21">
        <f t="shared" si="24"/>
        <v>92</v>
      </c>
      <c r="AP91" s="21" t="e">
        <f t="shared" si="25"/>
        <v>#DIV/0!</v>
      </c>
      <c r="AR91">
        <v>92</v>
      </c>
      <c r="AS91">
        <v>90</v>
      </c>
      <c r="AT91">
        <v>93</v>
      </c>
      <c r="AU91">
        <v>93</v>
      </c>
      <c r="AV91" s="21">
        <f t="shared" si="26"/>
        <v>92</v>
      </c>
      <c r="AW91">
        <v>0</v>
      </c>
      <c r="AX91">
        <v>0</v>
      </c>
      <c r="AY91">
        <v>0</v>
      </c>
      <c r="AZ91" s="21">
        <f t="shared" si="27"/>
        <v>0</v>
      </c>
      <c r="BA91">
        <v>0</v>
      </c>
      <c r="BB91">
        <v>0</v>
      </c>
      <c r="BC91">
        <v>0</v>
      </c>
      <c r="BD91" s="21">
        <f t="shared" si="28"/>
        <v>0</v>
      </c>
      <c r="BH91" s="21">
        <f t="shared" si="29"/>
        <v>0</v>
      </c>
      <c r="BI91">
        <v>25.2</v>
      </c>
      <c r="BJ91">
        <v>14.5</v>
      </c>
      <c r="BK91" s="18">
        <f t="shared" si="30"/>
        <v>42.460317460317462</v>
      </c>
      <c r="BL91" s="18">
        <f t="shared" si="31"/>
        <v>2.9841269841269851</v>
      </c>
      <c r="BM91" s="19">
        <f t="shared" si="32"/>
        <v>44780.984126984127</v>
      </c>
      <c r="BN91" s="71">
        <f t="shared" si="33"/>
        <v>95.984126984127215</v>
      </c>
      <c r="BO91">
        <v>6</v>
      </c>
      <c r="BP91" s="23">
        <f t="shared" si="34"/>
        <v>7.238999999999999</v>
      </c>
      <c r="BQ91">
        <v>8.91</v>
      </c>
      <c r="BR91">
        <v>7.2</v>
      </c>
      <c r="BS91" s="22">
        <f t="shared" si="35"/>
        <v>13204.774714995126</v>
      </c>
      <c r="BT91" s="22">
        <f t="shared" si="36"/>
        <v>245.47337611208889</v>
      </c>
      <c r="BU91">
        <v>104.7</v>
      </c>
      <c r="BV91">
        <v>5.41</v>
      </c>
      <c r="BW91">
        <v>5.33</v>
      </c>
      <c r="BX91" s="71">
        <f t="shared" si="37"/>
        <v>57.611098265895954</v>
      </c>
    </row>
    <row r="92" spans="2:76" x14ac:dyDescent="0.3">
      <c r="B92">
        <v>2022</v>
      </c>
      <c r="C92" t="s">
        <v>125</v>
      </c>
      <c r="D92">
        <v>407</v>
      </c>
      <c r="E92">
        <v>4</v>
      </c>
      <c r="F92">
        <v>26</v>
      </c>
      <c r="G92" t="s">
        <v>27</v>
      </c>
      <c r="H92">
        <v>8</v>
      </c>
      <c r="I92" t="s">
        <v>23</v>
      </c>
      <c r="J92">
        <v>66</v>
      </c>
      <c r="K92">
        <v>55</v>
      </c>
      <c r="L92" s="22">
        <f t="shared" si="20"/>
        <v>250.72523829258185</v>
      </c>
      <c r="M92">
        <v>38</v>
      </c>
      <c r="N92">
        <v>37</v>
      </c>
      <c r="O92">
        <v>35</v>
      </c>
      <c r="P92">
        <v>38</v>
      </c>
      <c r="Q92" s="21">
        <f t="shared" si="21"/>
        <v>37</v>
      </c>
      <c r="R92">
        <v>66</v>
      </c>
      <c r="S92">
        <v>61</v>
      </c>
      <c r="T92">
        <v>60</v>
      </c>
      <c r="U92">
        <v>63</v>
      </c>
      <c r="V92" s="21">
        <f t="shared" si="38"/>
        <v>62.5</v>
      </c>
      <c r="W92">
        <v>87</v>
      </c>
      <c r="X92">
        <v>87</v>
      </c>
      <c r="Y92">
        <v>85</v>
      </c>
      <c r="Z92">
        <v>89</v>
      </c>
      <c r="AA92" s="21">
        <f t="shared" si="22"/>
        <v>87</v>
      </c>
      <c r="AB92">
        <v>86</v>
      </c>
      <c r="AC92">
        <v>89</v>
      </c>
      <c r="AD92">
        <v>86</v>
      </c>
      <c r="AE92">
        <v>88</v>
      </c>
      <c r="AF92" s="21">
        <f t="shared" si="23"/>
        <v>87.25</v>
      </c>
      <c r="AG92" s="22">
        <v>93</v>
      </c>
      <c r="AH92" s="22">
        <v>85</v>
      </c>
      <c r="AI92" s="22">
        <v>95</v>
      </c>
      <c r="AJ92" s="22">
        <v>90</v>
      </c>
      <c r="AK92" s="21">
        <f t="shared" si="24"/>
        <v>90.75</v>
      </c>
      <c r="AP92" s="21" t="e">
        <f t="shared" si="25"/>
        <v>#DIV/0!</v>
      </c>
      <c r="AR92">
        <v>93</v>
      </c>
      <c r="AS92">
        <v>85</v>
      </c>
      <c r="AT92">
        <v>95</v>
      </c>
      <c r="AU92">
        <v>90</v>
      </c>
      <c r="AV92" s="21">
        <f t="shared" si="26"/>
        <v>90.75</v>
      </c>
      <c r="AW92">
        <v>0</v>
      </c>
      <c r="AX92">
        <v>0</v>
      </c>
      <c r="AY92">
        <v>0</v>
      </c>
      <c r="AZ92" s="21">
        <f t="shared" si="27"/>
        <v>0</v>
      </c>
      <c r="BA92">
        <v>0</v>
      </c>
      <c r="BB92">
        <v>0</v>
      </c>
      <c r="BC92">
        <v>0</v>
      </c>
      <c r="BD92" s="21">
        <f t="shared" si="28"/>
        <v>0</v>
      </c>
      <c r="BH92" s="21">
        <f t="shared" si="29"/>
        <v>0</v>
      </c>
      <c r="BI92">
        <v>25.5</v>
      </c>
      <c r="BJ92">
        <v>14.6</v>
      </c>
      <c r="BK92" s="18">
        <f t="shared" si="30"/>
        <v>42.745098039215691</v>
      </c>
      <c r="BL92" s="18">
        <f t="shared" si="31"/>
        <v>3.0980392156862764</v>
      </c>
      <c r="BM92" s="19">
        <f t="shared" si="32"/>
        <v>44781.098039215685</v>
      </c>
      <c r="BN92" s="71">
        <f t="shared" si="33"/>
        <v>96.098039215685276</v>
      </c>
      <c r="BO92">
        <v>6</v>
      </c>
      <c r="BP92" s="23">
        <f t="shared" si="34"/>
        <v>7.238999999999999</v>
      </c>
      <c r="BQ92">
        <v>9.18</v>
      </c>
      <c r="BR92">
        <v>7.3</v>
      </c>
      <c r="BS92" s="22">
        <f t="shared" si="35"/>
        <v>13590.258929833346</v>
      </c>
      <c r="BT92" s="22">
        <f t="shared" si="36"/>
        <v>252.63942882382503</v>
      </c>
      <c r="BU92">
        <v>102.6</v>
      </c>
      <c r="BV92">
        <v>5.0600000000000005</v>
      </c>
      <c r="BW92">
        <v>5.0999999999999996</v>
      </c>
      <c r="BX92" s="71">
        <f t="shared" si="37"/>
        <v>54.441156069364162</v>
      </c>
    </row>
    <row r="93" spans="2:76" x14ac:dyDescent="0.3">
      <c r="B93">
        <v>2022</v>
      </c>
      <c r="C93" t="s">
        <v>125</v>
      </c>
      <c r="D93">
        <v>408</v>
      </c>
      <c r="E93">
        <v>4</v>
      </c>
      <c r="F93">
        <v>19</v>
      </c>
      <c r="G93" t="s">
        <v>27</v>
      </c>
      <c r="H93">
        <v>1</v>
      </c>
      <c r="I93" t="s">
        <v>16</v>
      </c>
      <c r="J93">
        <v>65</v>
      </c>
      <c r="K93">
        <v>56</v>
      </c>
      <c r="L93" s="22">
        <f t="shared" si="20"/>
        <v>250.72523829258185</v>
      </c>
      <c r="M93">
        <v>37</v>
      </c>
      <c r="N93">
        <v>36</v>
      </c>
      <c r="O93">
        <v>38</v>
      </c>
      <c r="P93">
        <v>42</v>
      </c>
      <c r="Q93" s="21">
        <f t="shared" si="21"/>
        <v>38.25</v>
      </c>
      <c r="R93">
        <v>60</v>
      </c>
      <c r="S93">
        <v>60</v>
      </c>
      <c r="T93">
        <v>58</v>
      </c>
      <c r="U93">
        <v>60</v>
      </c>
      <c r="V93" s="21">
        <f t="shared" si="38"/>
        <v>59.5</v>
      </c>
      <c r="W93">
        <v>85</v>
      </c>
      <c r="X93">
        <v>83</v>
      </c>
      <c r="Y93">
        <v>82</v>
      </c>
      <c r="Z93">
        <v>84</v>
      </c>
      <c r="AA93" s="21">
        <f t="shared" si="22"/>
        <v>83.5</v>
      </c>
      <c r="AB93">
        <v>93</v>
      </c>
      <c r="AC93">
        <v>94</v>
      </c>
      <c r="AD93">
        <v>92</v>
      </c>
      <c r="AE93">
        <v>92</v>
      </c>
      <c r="AF93" s="21">
        <f t="shared" si="23"/>
        <v>92.75</v>
      </c>
      <c r="AG93" s="22">
        <v>95</v>
      </c>
      <c r="AH93" s="22">
        <v>91</v>
      </c>
      <c r="AI93" s="22">
        <v>89</v>
      </c>
      <c r="AJ93" s="22">
        <v>94</v>
      </c>
      <c r="AK93" s="21">
        <f t="shared" si="24"/>
        <v>92.25</v>
      </c>
      <c r="AP93" s="21" t="e">
        <f t="shared" si="25"/>
        <v>#DIV/0!</v>
      </c>
      <c r="AR93">
        <v>95</v>
      </c>
      <c r="AS93">
        <v>91</v>
      </c>
      <c r="AT93">
        <v>89</v>
      </c>
      <c r="AU93">
        <v>94</v>
      </c>
      <c r="AV93" s="21">
        <f t="shared" si="26"/>
        <v>92.25</v>
      </c>
      <c r="AW93">
        <v>0</v>
      </c>
      <c r="AX93">
        <v>0</v>
      </c>
      <c r="AY93">
        <v>0</v>
      </c>
      <c r="AZ93" s="21">
        <f t="shared" si="27"/>
        <v>0</v>
      </c>
      <c r="BA93">
        <v>0</v>
      </c>
      <c r="BB93">
        <v>0</v>
      </c>
      <c r="BC93">
        <v>0</v>
      </c>
      <c r="BD93" s="21">
        <f t="shared" si="28"/>
        <v>0</v>
      </c>
      <c r="BH93" s="21">
        <f t="shared" si="29"/>
        <v>0</v>
      </c>
      <c r="BI93">
        <v>22.5</v>
      </c>
      <c r="BJ93">
        <v>12.8</v>
      </c>
      <c r="BK93" s="18">
        <f t="shared" si="30"/>
        <v>43.111111111111107</v>
      </c>
      <c r="BL93" s="18">
        <f t="shared" si="31"/>
        <v>3.2444444444444427</v>
      </c>
      <c r="BM93" s="19">
        <f t="shared" si="32"/>
        <v>44781.244444444441</v>
      </c>
      <c r="BN93" s="71">
        <f t="shared" si="33"/>
        <v>96.244444444440887</v>
      </c>
      <c r="BO93">
        <v>6</v>
      </c>
      <c r="BP93" s="23">
        <f t="shared" si="34"/>
        <v>7.238999999999999</v>
      </c>
      <c r="BQ93">
        <v>9.26</v>
      </c>
      <c r="BR93">
        <v>6.4</v>
      </c>
      <c r="BS93" s="22">
        <f t="shared" si="35"/>
        <v>13841.786661364622</v>
      </c>
      <c r="BT93" s="22">
        <f t="shared" si="36"/>
        <v>257.31526485870131</v>
      </c>
      <c r="BU93">
        <v>98.3</v>
      </c>
      <c r="BV93">
        <v>5.12</v>
      </c>
      <c r="BW93">
        <v>5.26</v>
      </c>
      <c r="BX93" s="71">
        <f t="shared" si="37"/>
        <v>56.159999999999982</v>
      </c>
    </row>
    <row r="94" spans="2:76" x14ac:dyDescent="0.3">
      <c r="B94">
        <v>2022</v>
      </c>
      <c r="C94" t="s">
        <v>125</v>
      </c>
      <c r="D94">
        <v>409</v>
      </c>
      <c r="E94">
        <v>4</v>
      </c>
      <c r="F94">
        <v>22</v>
      </c>
      <c r="G94" t="s">
        <v>27</v>
      </c>
      <c r="H94">
        <v>4</v>
      </c>
      <c r="I94" t="s">
        <v>19</v>
      </c>
      <c r="J94">
        <v>73</v>
      </c>
      <c r="K94">
        <v>58</v>
      </c>
      <c r="L94" s="22">
        <f t="shared" si="20"/>
        <v>271.44633236634894</v>
      </c>
      <c r="M94">
        <v>37</v>
      </c>
      <c r="N94">
        <v>36</v>
      </c>
      <c r="O94">
        <v>38</v>
      </c>
      <c r="P94">
        <v>40</v>
      </c>
      <c r="Q94" s="21">
        <f t="shared" si="21"/>
        <v>37.75</v>
      </c>
      <c r="R94">
        <v>60</v>
      </c>
      <c r="S94">
        <v>57</v>
      </c>
      <c r="T94">
        <v>58</v>
      </c>
      <c r="U94">
        <v>58</v>
      </c>
      <c r="V94" s="21">
        <f t="shared" si="38"/>
        <v>58.25</v>
      </c>
      <c r="W94">
        <v>88</v>
      </c>
      <c r="X94">
        <v>87</v>
      </c>
      <c r="Y94">
        <v>85</v>
      </c>
      <c r="Z94">
        <v>83</v>
      </c>
      <c r="AA94" s="21">
        <f t="shared" si="22"/>
        <v>85.75</v>
      </c>
      <c r="AB94">
        <v>88</v>
      </c>
      <c r="AC94">
        <v>88</v>
      </c>
      <c r="AD94">
        <v>89</v>
      </c>
      <c r="AE94">
        <v>89</v>
      </c>
      <c r="AF94" s="21">
        <f t="shared" si="23"/>
        <v>88.5</v>
      </c>
      <c r="AG94" s="22">
        <v>99</v>
      </c>
      <c r="AH94" s="22">
        <v>98</v>
      </c>
      <c r="AI94" s="22">
        <v>84</v>
      </c>
      <c r="AJ94" s="22">
        <v>89</v>
      </c>
      <c r="AK94" s="21">
        <f t="shared" si="24"/>
        <v>92.5</v>
      </c>
      <c r="AP94" s="21" t="e">
        <f t="shared" si="25"/>
        <v>#DIV/0!</v>
      </c>
      <c r="AR94">
        <v>99</v>
      </c>
      <c r="AS94">
        <v>98</v>
      </c>
      <c r="AT94">
        <v>84</v>
      </c>
      <c r="AU94">
        <v>89</v>
      </c>
      <c r="AV94" s="21">
        <f t="shared" si="26"/>
        <v>92.5</v>
      </c>
      <c r="AW94">
        <v>0</v>
      </c>
      <c r="AX94">
        <v>0</v>
      </c>
      <c r="AY94">
        <v>0</v>
      </c>
      <c r="AZ94" s="21">
        <f t="shared" si="27"/>
        <v>0</v>
      </c>
      <c r="BA94">
        <v>0</v>
      </c>
      <c r="BB94">
        <v>0</v>
      </c>
      <c r="BC94">
        <v>0</v>
      </c>
      <c r="BD94" s="21">
        <f t="shared" si="28"/>
        <v>0</v>
      </c>
      <c r="BH94" s="21">
        <f t="shared" si="29"/>
        <v>0</v>
      </c>
      <c r="BI94">
        <v>21.9</v>
      </c>
      <c r="BJ94">
        <v>12.4</v>
      </c>
      <c r="BK94" s="18">
        <f t="shared" si="30"/>
        <v>43.378995433789946</v>
      </c>
      <c r="BL94" s="18">
        <f t="shared" si="31"/>
        <v>3.3515981735159786</v>
      </c>
      <c r="BM94" s="19">
        <f t="shared" si="32"/>
        <v>44781.351598173518</v>
      </c>
      <c r="BN94" s="71">
        <f t="shared" si="33"/>
        <v>96.351598173518141</v>
      </c>
      <c r="BO94">
        <v>6</v>
      </c>
      <c r="BP94" s="23">
        <f t="shared" si="34"/>
        <v>7.238999999999999</v>
      </c>
      <c r="BQ94">
        <v>9.1999999999999993</v>
      </c>
      <c r="BR94">
        <v>7.2</v>
      </c>
      <c r="BS94" s="22">
        <f t="shared" si="35"/>
        <v>13634.55975061225</v>
      </c>
      <c r="BT94" s="22">
        <f t="shared" si="36"/>
        <v>253.46296972292006</v>
      </c>
      <c r="BU94">
        <v>102</v>
      </c>
      <c r="BV94">
        <v>5.59</v>
      </c>
      <c r="BW94">
        <v>5.42</v>
      </c>
      <c r="BX94" s="71">
        <f t="shared" si="37"/>
        <v>59.05942196531791</v>
      </c>
    </row>
    <row r="95" spans="2:76" x14ac:dyDescent="0.3">
      <c r="B95">
        <v>2022</v>
      </c>
      <c r="C95" t="s">
        <v>125</v>
      </c>
      <c r="D95">
        <v>410</v>
      </c>
      <c r="E95">
        <v>4</v>
      </c>
      <c r="F95">
        <v>8</v>
      </c>
      <c r="G95" t="s">
        <v>15</v>
      </c>
      <c r="H95">
        <v>8</v>
      </c>
      <c r="I95" t="s">
        <v>23</v>
      </c>
      <c r="J95">
        <v>44</v>
      </c>
      <c r="K95">
        <v>42</v>
      </c>
      <c r="L95" s="22">
        <f t="shared" si="20"/>
        <v>178.20140903439702</v>
      </c>
      <c r="M95">
        <v>38</v>
      </c>
      <c r="N95">
        <v>39</v>
      </c>
      <c r="O95">
        <v>41</v>
      </c>
      <c r="P95">
        <v>40</v>
      </c>
      <c r="Q95" s="21">
        <f t="shared" si="21"/>
        <v>39.5</v>
      </c>
      <c r="R95">
        <v>62</v>
      </c>
      <c r="S95">
        <v>64</v>
      </c>
      <c r="T95">
        <v>60</v>
      </c>
      <c r="U95">
        <v>64</v>
      </c>
      <c r="V95" s="21">
        <f t="shared" si="38"/>
        <v>62.5</v>
      </c>
      <c r="W95">
        <v>97</v>
      </c>
      <c r="X95">
        <v>86</v>
      </c>
      <c r="Y95">
        <v>84</v>
      </c>
      <c r="Z95">
        <v>73</v>
      </c>
      <c r="AA95" s="21">
        <f t="shared" si="22"/>
        <v>85</v>
      </c>
      <c r="AB95">
        <v>102</v>
      </c>
      <c r="AC95">
        <v>99</v>
      </c>
      <c r="AD95">
        <v>103</v>
      </c>
      <c r="AE95">
        <v>104</v>
      </c>
      <c r="AF95" s="21">
        <f t="shared" si="23"/>
        <v>102</v>
      </c>
      <c r="AG95" s="22">
        <v>111</v>
      </c>
      <c r="AH95" s="22">
        <v>110</v>
      </c>
      <c r="AI95" s="22">
        <v>99</v>
      </c>
      <c r="AJ95" s="22">
        <v>105</v>
      </c>
      <c r="AK95" s="21">
        <f t="shared" si="24"/>
        <v>106.25</v>
      </c>
      <c r="AP95" s="21" t="e">
        <f t="shared" si="25"/>
        <v>#DIV/0!</v>
      </c>
      <c r="AR95">
        <v>111</v>
      </c>
      <c r="AS95">
        <v>110</v>
      </c>
      <c r="AT95">
        <v>99</v>
      </c>
      <c r="AU95">
        <v>105</v>
      </c>
      <c r="AV95" s="21">
        <f t="shared" si="26"/>
        <v>106.25</v>
      </c>
      <c r="AW95">
        <v>0</v>
      </c>
      <c r="AX95">
        <v>0</v>
      </c>
      <c r="AY95">
        <v>0</v>
      </c>
      <c r="AZ95" s="21">
        <f t="shared" si="27"/>
        <v>0</v>
      </c>
      <c r="BA95">
        <v>0</v>
      </c>
      <c r="BB95">
        <v>0</v>
      </c>
      <c r="BC95">
        <v>0</v>
      </c>
      <c r="BD95" s="21">
        <f t="shared" si="28"/>
        <v>0</v>
      </c>
      <c r="BH95" s="21">
        <f t="shared" si="29"/>
        <v>0</v>
      </c>
      <c r="BI95">
        <v>27.6</v>
      </c>
      <c r="BJ95">
        <v>15.2</v>
      </c>
      <c r="BK95" s="18">
        <f t="shared" si="30"/>
        <v>44.927536231884062</v>
      </c>
      <c r="BL95" s="18">
        <f t="shared" si="31"/>
        <v>3.9710144927536248</v>
      </c>
      <c r="BM95" s="19">
        <f t="shared" si="32"/>
        <v>44781.971014492752</v>
      </c>
      <c r="BN95" s="71">
        <f t="shared" si="33"/>
        <v>96.971014492752147</v>
      </c>
      <c r="BO95">
        <v>6</v>
      </c>
      <c r="BP95" s="23">
        <f t="shared" si="34"/>
        <v>7.238999999999999</v>
      </c>
      <c r="BQ95">
        <v>8.94</v>
      </c>
      <c r="BR95">
        <v>8.1999999999999993</v>
      </c>
      <c r="BS95" s="22">
        <f t="shared" si="35"/>
        <v>13106.463304499472</v>
      </c>
      <c r="BT95" s="22">
        <f t="shared" si="36"/>
        <v>243.64579219902865</v>
      </c>
      <c r="BU95">
        <v>99.2</v>
      </c>
      <c r="BV95">
        <v>4.88</v>
      </c>
      <c r="BW95">
        <v>4.93</v>
      </c>
      <c r="BX95" s="71">
        <f t="shared" si="37"/>
        <v>52.055375722543353</v>
      </c>
    </row>
    <row r="96" spans="2:76" x14ac:dyDescent="0.3">
      <c r="B96">
        <v>2022</v>
      </c>
      <c r="C96" t="s">
        <v>125</v>
      </c>
      <c r="D96">
        <v>411</v>
      </c>
      <c r="E96">
        <v>4</v>
      </c>
      <c r="F96">
        <v>6</v>
      </c>
      <c r="G96" t="s">
        <v>15</v>
      </c>
      <c r="H96">
        <v>6</v>
      </c>
      <c r="I96" t="s">
        <v>21</v>
      </c>
      <c r="J96">
        <v>58</v>
      </c>
      <c r="K96">
        <v>54</v>
      </c>
      <c r="L96" s="22">
        <f t="shared" si="20"/>
        <v>232.07625362619149</v>
      </c>
      <c r="M96">
        <v>35</v>
      </c>
      <c r="N96">
        <v>39</v>
      </c>
      <c r="O96">
        <v>42</v>
      </c>
      <c r="P96">
        <v>42</v>
      </c>
      <c r="Q96" s="21">
        <f t="shared" si="21"/>
        <v>39.5</v>
      </c>
      <c r="R96">
        <v>64</v>
      </c>
      <c r="S96">
        <v>65</v>
      </c>
      <c r="T96">
        <v>60</v>
      </c>
      <c r="U96">
        <v>57</v>
      </c>
      <c r="V96" s="21">
        <f t="shared" si="38"/>
        <v>61.5</v>
      </c>
      <c r="W96">
        <v>88</v>
      </c>
      <c r="X96">
        <v>87</v>
      </c>
      <c r="Y96">
        <v>85</v>
      </c>
      <c r="Z96">
        <v>86</v>
      </c>
      <c r="AA96" s="21">
        <f t="shared" si="22"/>
        <v>86.5</v>
      </c>
      <c r="AB96">
        <v>84</v>
      </c>
      <c r="AC96">
        <v>89</v>
      </c>
      <c r="AD96">
        <v>91</v>
      </c>
      <c r="AE96">
        <v>90</v>
      </c>
      <c r="AF96" s="21">
        <f t="shared" si="23"/>
        <v>88.5</v>
      </c>
      <c r="AG96" s="22">
        <v>95</v>
      </c>
      <c r="AH96" s="22">
        <v>81</v>
      </c>
      <c r="AI96" s="22">
        <v>95</v>
      </c>
      <c r="AJ96" s="22">
        <v>91</v>
      </c>
      <c r="AK96" s="21">
        <f t="shared" si="24"/>
        <v>90.5</v>
      </c>
      <c r="AP96" s="21" t="e">
        <f t="shared" si="25"/>
        <v>#DIV/0!</v>
      </c>
      <c r="AR96">
        <v>95</v>
      </c>
      <c r="AS96">
        <v>81</v>
      </c>
      <c r="AT96">
        <v>95</v>
      </c>
      <c r="AU96">
        <v>91</v>
      </c>
      <c r="AV96" s="21">
        <f t="shared" si="26"/>
        <v>90.5</v>
      </c>
      <c r="AW96">
        <v>0</v>
      </c>
      <c r="AX96">
        <v>0</v>
      </c>
      <c r="AY96">
        <v>0</v>
      </c>
      <c r="AZ96" s="21">
        <f t="shared" si="27"/>
        <v>0</v>
      </c>
      <c r="BA96">
        <v>0</v>
      </c>
      <c r="BB96">
        <v>0</v>
      </c>
      <c r="BC96">
        <v>0</v>
      </c>
      <c r="BD96" s="21">
        <f t="shared" si="28"/>
        <v>0</v>
      </c>
      <c r="BH96" s="21">
        <f t="shared" si="29"/>
        <v>0</v>
      </c>
      <c r="BI96">
        <v>24.7</v>
      </c>
      <c r="BJ96">
        <v>14.2</v>
      </c>
      <c r="BK96" s="18">
        <f t="shared" si="30"/>
        <v>42.51012145748988</v>
      </c>
      <c r="BL96" s="18">
        <f t="shared" si="31"/>
        <v>3.004048582995952</v>
      </c>
      <c r="BM96" s="19">
        <f t="shared" si="32"/>
        <v>44781.004048582996</v>
      </c>
      <c r="BN96" s="71">
        <f t="shared" si="33"/>
        <v>96.004048582995893</v>
      </c>
      <c r="BO96">
        <v>6</v>
      </c>
      <c r="BP96" s="23">
        <f t="shared" si="34"/>
        <v>7.238999999999999</v>
      </c>
      <c r="BQ96">
        <v>8.6199999999999992</v>
      </c>
      <c r="BR96">
        <v>7.9</v>
      </c>
      <c r="BS96" s="22">
        <f t="shared" si="35"/>
        <v>12678.626610675794</v>
      </c>
      <c r="BT96" s="22">
        <f t="shared" si="36"/>
        <v>235.69241776256283</v>
      </c>
      <c r="BU96">
        <v>98.7</v>
      </c>
      <c r="BV96">
        <v>4.7200000000000006</v>
      </c>
      <c r="BW96">
        <v>4.8600000000000003</v>
      </c>
      <c r="BX96" s="71">
        <f t="shared" si="37"/>
        <v>51.001040462427753</v>
      </c>
    </row>
    <row r="97" spans="2:76" x14ac:dyDescent="0.3">
      <c r="B97">
        <v>2022</v>
      </c>
      <c r="C97" t="s">
        <v>125</v>
      </c>
      <c r="D97">
        <v>412</v>
      </c>
      <c r="E97">
        <v>4</v>
      </c>
      <c r="F97">
        <v>2</v>
      </c>
      <c r="G97" t="s">
        <v>15</v>
      </c>
      <c r="H97">
        <v>2</v>
      </c>
      <c r="I97" t="s">
        <v>17</v>
      </c>
      <c r="J97">
        <v>47</v>
      </c>
      <c r="K97">
        <v>44</v>
      </c>
      <c r="L97" s="22">
        <f t="shared" si="20"/>
        <v>188.56195607128058</v>
      </c>
      <c r="M97">
        <v>38</v>
      </c>
      <c r="N97">
        <v>37</v>
      </c>
      <c r="O97">
        <v>40</v>
      </c>
      <c r="P97">
        <v>39</v>
      </c>
      <c r="Q97" s="21">
        <f t="shared" si="21"/>
        <v>38.5</v>
      </c>
      <c r="R97">
        <v>58</v>
      </c>
      <c r="S97">
        <v>57</v>
      </c>
      <c r="T97">
        <v>58</v>
      </c>
      <c r="U97">
        <v>57</v>
      </c>
      <c r="V97" s="21">
        <f t="shared" si="38"/>
        <v>57.5</v>
      </c>
      <c r="W97">
        <v>95</v>
      </c>
      <c r="X97">
        <v>91</v>
      </c>
      <c r="Y97">
        <v>94</v>
      </c>
      <c r="Z97">
        <v>87</v>
      </c>
      <c r="AA97" s="21">
        <f t="shared" si="22"/>
        <v>91.75</v>
      </c>
      <c r="AB97">
        <v>101</v>
      </c>
      <c r="AC97">
        <v>101</v>
      </c>
      <c r="AD97">
        <v>99</v>
      </c>
      <c r="AE97">
        <v>102</v>
      </c>
      <c r="AF97" s="21">
        <f t="shared" si="23"/>
        <v>100.75</v>
      </c>
      <c r="AG97" s="22">
        <v>105</v>
      </c>
      <c r="AH97" s="22">
        <v>106</v>
      </c>
      <c r="AI97" s="22">
        <v>102</v>
      </c>
      <c r="AJ97" s="22">
        <v>110</v>
      </c>
      <c r="AK97" s="21">
        <f t="shared" si="24"/>
        <v>105.75</v>
      </c>
      <c r="AP97" s="21" t="e">
        <f t="shared" si="25"/>
        <v>#DIV/0!</v>
      </c>
      <c r="AR97">
        <v>105</v>
      </c>
      <c r="AS97">
        <v>106</v>
      </c>
      <c r="AT97">
        <v>102</v>
      </c>
      <c r="AU97">
        <v>110</v>
      </c>
      <c r="AV97" s="21">
        <f t="shared" si="26"/>
        <v>105.75</v>
      </c>
      <c r="AW97">
        <v>0</v>
      </c>
      <c r="AX97">
        <v>0</v>
      </c>
      <c r="AY97">
        <v>0</v>
      </c>
      <c r="AZ97" s="21">
        <f t="shared" si="27"/>
        <v>0</v>
      </c>
      <c r="BA97">
        <v>0</v>
      </c>
      <c r="BB97">
        <v>0</v>
      </c>
      <c r="BC97">
        <v>0</v>
      </c>
      <c r="BD97" s="21">
        <f t="shared" si="28"/>
        <v>0</v>
      </c>
      <c r="BH97" s="21">
        <f t="shared" si="29"/>
        <v>0</v>
      </c>
      <c r="BI97">
        <v>26.3</v>
      </c>
      <c r="BJ97">
        <v>14.4</v>
      </c>
      <c r="BK97" s="18">
        <f t="shared" si="30"/>
        <v>45.247148288973385</v>
      </c>
      <c r="BL97" s="18">
        <f t="shared" si="31"/>
        <v>4.0988593155893538</v>
      </c>
      <c r="BM97" s="19">
        <f t="shared" si="32"/>
        <v>44782.098859315593</v>
      </c>
      <c r="BN97" s="71">
        <f t="shared" si="33"/>
        <v>97.098859315592563</v>
      </c>
      <c r="BO97">
        <v>6</v>
      </c>
      <c r="BP97" s="23">
        <f t="shared" si="34"/>
        <v>7.238999999999999</v>
      </c>
      <c r="BQ97">
        <v>8.9600000000000009</v>
      </c>
      <c r="BR97">
        <v>7.9</v>
      </c>
      <c r="BS97" s="22">
        <f t="shared" si="35"/>
        <v>13178.711651004076</v>
      </c>
      <c r="BT97" s="22">
        <f t="shared" si="36"/>
        <v>244.98887043533219</v>
      </c>
      <c r="BU97">
        <v>97.5</v>
      </c>
      <c r="BV97">
        <v>4.66</v>
      </c>
      <c r="BW97">
        <v>4.82</v>
      </c>
      <c r="BX97" s="71">
        <f t="shared" si="37"/>
        <v>50.468670520231221</v>
      </c>
    </row>
    <row r="98" spans="2:76" x14ac:dyDescent="0.3">
      <c r="B98">
        <v>2022</v>
      </c>
      <c r="C98" t="s">
        <v>125</v>
      </c>
      <c r="D98">
        <v>413</v>
      </c>
      <c r="E98">
        <v>4</v>
      </c>
      <c r="F98">
        <v>4</v>
      </c>
      <c r="G98" t="s">
        <v>15</v>
      </c>
      <c r="H98">
        <v>4</v>
      </c>
      <c r="I98" t="s">
        <v>19</v>
      </c>
      <c r="J98">
        <v>52</v>
      </c>
      <c r="K98">
        <v>54</v>
      </c>
      <c r="L98" s="22">
        <f t="shared" si="20"/>
        <v>219.64359718193123</v>
      </c>
      <c r="M98">
        <v>39</v>
      </c>
      <c r="N98">
        <v>42</v>
      </c>
      <c r="O98">
        <v>43</v>
      </c>
      <c r="P98">
        <v>41</v>
      </c>
      <c r="Q98" s="21">
        <f t="shared" si="21"/>
        <v>41.25</v>
      </c>
      <c r="R98">
        <v>65</v>
      </c>
      <c r="S98">
        <v>63</v>
      </c>
      <c r="T98">
        <v>66</v>
      </c>
      <c r="U98">
        <v>60</v>
      </c>
      <c r="V98" s="21">
        <f t="shared" si="38"/>
        <v>63.5</v>
      </c>
      <c r="W98">
        <v>84</v>
      </c>
      <c r="X98">
        <v>85</v>
      </c>
      <c r="Y98">
        <v>82</v>
      </c>
      <c r="Z98">
        <v>75</v>
      </c>
      <c r="AA98" s="21">
        <f t="shared" si="22"/>
        <v>81.5</v>
      </c>
      <c r="AB98">
        <v>94</v>
      </c>
      <c r="AC98">
        <v>97</v>
      </c>
      <c r="AD98">
        <v>98</v>
      </c>
      <c r="AE98">
        <v>101</v>
      </c>
      <c r="AF98" s="21">
        <f t="shared" si="23"/>
        <v>97.5</v>
      </c>
      <c r="AG98" s="22">
        <v>100</v>
      </c>
      <c r="AH98" s="22">
        <v>102</v>
      </c>
      <c r="AI98" s="22">
        <v>95</v>
      </c>
      <c r="AJ98" s="22">
        <v>96</v>
      </c>
      <c r="AK98" s="21">
        <f t="shared" si="24"/>
        <v>98.25</v>
      </c>
      <c r="AP98" s="21" t="e">
        <f t="shared" si="25"/>
        <v>#DIV/0!</v>
      </c>
      <c r="AR98">
        <v>100</v>
      </c>
      <c r="AS98">
        <v>102</v>
      </c>
      <c r="AT98">
        <v>95</v>
      </c>
      <c r="AU98">
        <v>96</v>
      </c>
      <c r="AV98" s="21">
        <f t="shared" si="26"/>
        <v>98.25</v>
      </c>
      <c r="AW98">
        <v>0</v>
      </c>
      <c r="AX98">
        <v>0</v>
      </c>
      <c r="AY98">
        <v>0</v>
      </c>
      <c r="AZ98" s="21">
        <f t="shared" si="27"/>
        <v>0</v>
      </c>
      <c r="BA98">
        <v>0</v>
      </c>
      <c r="BB98">
        <v>0</v>
      </c>
      <c r="BC98">
        <v>0</v>
      </c>
      <c r="BD98" s="21">
        <f t="shared" si="28"/>
        <v>0</v>
      </c>
      <c r="BH98" s="21">
        <f t="shared" si="29"/>
        <v>0</v>
      </c>
      <c r="BI98">
        <v>23.4</v>
      </c>
      <c r="BJ98">
        <v>13.4</v>
      </c>
      <c r="BK98" s="18">
        <f t="shared" si="30"/>
        <v>42.735042735042725</v>
      </c>
      <c r="BL98" s="18">
        <f t="shared" si="31"/>
        <v>3.0940170940170901</v>
      </c>
      <c r="BM98" s="19">
        <f t="shared" si="32"/>
        <v>44781.094017094016</v>
      </c>
      <c r="BN98" s="71">
        <f t="shared" si="33"/>
        <v>96.094017094015726</v>
      </c>
      <c r="BO98">
        <v>6</v>
      </c>
      <c r="BP98" s="23">
        <f t="shared" si="34"/>
        <v>7.238999999999999</v>
      </c>
      <c r="BQ98">
        <v>8.94</v>
      </c>
      <c r="BR98">
        <v>8.6</v>
      </c>
      <c r="BS98" s="22">
        <f t="shared" si="35"/>
        <v>13049.35453193085</v>
      </c>
      <c r="BT98" s="22">
        <f t="shared" si="36"/>
        <v>242.584154760253</v>
      </c>
      <c r="BU98">
        <v>98.9</v>
      </c>
      <c r="BV98">
        <v>4.8100000000000005</v>
      </c>
      <c r="BW98">
        <v>4.8499999999999996</v>
      </c>
      <c r="BX98" s="71">
        <f t="shared" si="37"/>
        <v>51.036069364161847</v>
      </c>
    </row>
    <row r="99" spans="2:76" x14ac:dyDescent="0.3">
      <c r="B99">
        <v>2022</v>
      </c>
      <c r="C99" t="s">
        <v>125</v>
      </c>
      <c r="D99">
        <v>414</v>
      </c>
      <c r="E99">
        <v>4</v>
      </c>
      <c r="F99">
        <v>3</v>
      </c>
      <c r="G99" t="s">
        <v>15</v>
      </c>
      <c r="H99">
        <v>3</v>
      </c>
      <c r="I99" t="s">
        <v>18</v>
      </c>
      <c r="J99">
        <v>49</v>
      </c>
      <c r="K99">
        <v>42</v>
      </c>
      <c r="L99" s="22">
        <f t="shared" si="20"/>
        <v>188.56195607128058</v>
      </c>
      <c r="M99">
        <v>36</v>
      </c>
      <c r="N99">
        <v>35</v>
      </c>
      <c r="O99">
        <v>37</v>
      </c>
      <c r="P99">
        <v>41</v>
      </c>
      <c r="Q99" s="21">
        <f t="shared" si="21"/>
        <v>37.25</v>
      </c>
      <c r="R99">
        <v>59</v>
      </c>
      <c r="S99">
        <v>57</v>
      </c>
      <c r="T99">
        <v>58</v>
      </c>
      <c r="U99">
        <v>57</v>
      </c>
      <c r="V99" s="21">
        <f t="shared" si="38"/>
        <v>57.75</v>
      </c>
      <c r="W99">
        <v>78</v>
      </c>
      <c r="X99">
        <v>77</v>
      </c>
      <c r="Y99">
        <v>79</v>
      </c>
      <c r="Z99">
        <v>75</v>
      </c>
      <c r="AA99" s="21">
        <f t="shared" si="22"/>
        <v>77.25</v>
      </c>
      <c r="AB99">
        <v>92</v>
      </c>
      <c r="AC99">
        <v>101</v>
      </c>
      <c r="AD99">
        <v>98</v>
      </c>
      <c r="AE99">
        <v>101</v>
      </c>
      <c r="AF99" s="21">
        <f t="shared" si="23"/>
        <v>98</v>
      </c>
      <c r="AG99" s="22">
        <v>105</v>
      </c>
      <c r="AH99" s="22">
        <v>101</v>
      </c>
      <c r="AI99" s="22">
        <v>109</v>
      </c>
      <c r="AJ99" s="22">
        <v>111</v>
      </c>
      <c r="AK99" s="21">
        <f t="shared" si="24"/>
        <v>106.5</v>
      </c>
      <c r="AP99" s="21" t="e">
        <f t="shared" si="25"/>
        <v>#DIV/0!</v>
      </c>
      <c r="AR99">
        <v>105</v>
      </c>
      <c r="AS99">
        <v>101</v>
      </c>
      <c r="AT99">
        <v>109</v>
      </c>
      <c r="AU99">
        <v>111</v>
      </c>
      <c r="AV99" s="21">
        <f t="shared" si="26"/>
        <v>106.5</v>
      </c>
      <c r="AW99">
        <v>0</v>
      </c>
      <c r="AX99">
        <v>0</v>
      </c>
      <c r="AY99">
        <v>0</v>
      </c>
      <c r="AZ99" s="21">
        <f t="shared" si="27"/>
        <v>0</v>
      </c>
      <c r="BA99">
        <v>0</v>
      </c>
      <c r="BB99">
        <v>0</v>
      </c>
      <c r="BC99">
        <v>0</v>
      </c>
      <c r="BD99" s="21">
        <f t="shared" si="28"/>
        <v>0</v>
      </c>
      <c r="BH99" s="21">
        <f t="shared" si="29"/>
        <v>0</v>
      </c>
      <c r="BI99">
        <v>28</v>
      </c>
      <c r="BJ99">
        <v>16</v>
      </c>
      <c r="BK99" s="18">
        <f t="shared" si="30"/>
        <v>42.857142857142854</v>
      </c>
      <c r="BL99" s="18">
        <f t="shared" si="31"/>
        <v>3.1428571428571415</v>
      </c>
      <c r="BM99" s="19">
        <f t="shared" si="32"/>
        <v>44781.142857142855</v>
      </c>
      <c r="BN99" s="71">
        <f t="shared" si="33"/>
        <v>96.142857142855064</v>
      </c>
      <c r="BO99">
        <v>6</v>
      </c>
      <c r="BP99" s="23">
        <f t="shared" si="34"/>
        <v>7.238999999999999</v>
      </c>
      <c r="BQ99">
        <v>8.9600000000000009</v>
      </c>
      <c r="BR99">
        <v>7.6</v>
      </c>
      <c r="BS99" s="22">
        <f t="shared" si="35"/>
        <v>13221.63905051875</v>
      </c>
      <c r="BT99" s="22">
        <f t="shared" si="36"/>
        <v>245.78687978528447</v>
      </c>
      <c r="BU99">
        <v>99.7</v>
      </c>
      <c r="BV99">
        <v>4.88</v>
      </c>
      <c r="BW99">
        <v>4.7200000000000006</v>
      </c>
      <c r="BX99" s="71">
        <f t="shared" si="37"/>
        <v>51.273988439306372</v>
      </c>
    </row>
    <row r="100" spans="2:76" x14ac:dyDescent="0.3">
      <c r="B100">
        <v>2022</v>
      </c>
      <c r="C100" t="s">
        <v>125</v>
      </c>
      <c r="D100">
        <v>415</v>
      </c>
      <c r="E100">
        <v>4</v>
      </c>
      <c r="F100">
        <v>5</v>
      </c>
      <c r="G100" t="s">
        <v>15</v>
      </c>
      <c r="H100">
        <v>5</v>
      </c>
      <c r="I100" t="s">
        <v>20</v>
      </c>
      <c r="J100">
        <v>52</v>
      </c>
      <c r="K100">
        <v>47</v>
      </c>
      <c r="L100" s="22">
        <f t="shared" si="20"/>
        <v>205.13883133029424</v>
      </c>
      <c r="M100">
        <v>39</v>
      </c>
      <c r="N100">
        <v>40</v>
      </c>
      <c r="O100">
        <v>38</v>
      </c>
      <c r="P100">
        <v>39</v>
      </c>
      <c r="Q100" s="21">
        <f t="shared" si="21"/>
        <v>39</v>
      </c>
      <c r="R100">
        <v>53</v>
      </c>
      <c r="S100">
        <v>53</v>
      </c>
      <c r="T100">
        <v>56</v>
      </c>
      <c r="U100">
        <v>55</v>
      </c>
      <c r="V100" s="21">
        <f t="shared" si="38"/>
        <v>54.25</v>
      </c>
      <c r="W100">
        <v>67</v>
      </c>
      <c r="X100">
        <v>69</v>
      </c>
      <c r="Y100">
        <v>66</v>
      </c>
      <c r="Z100">
        <v>67</v>
      </c>
      <c r="AA100" s="21">
        <f t="shared" si="22"/>
        <v>67.25</v>
      </c>
      <c r="AB100">
        <v>81</v>
      </c>
      <c r="AC100">
        <v>84</v>
      </c>
      <c r="AD100">
        <v>90</v>
      </c>
      <c r="AE100">
        <v>85</v>
      </c>
      <c r="AF100" s="21">
        <f t="shared" si="23"/>
        <v>85</v>
      </c>
      <c r="AG100" s="22">
        <v>95</v>
      </c>
      <c r="AH100" s="22">
        <v>92</v>
      </c>
      <c r="AI100" s="22">
        <v>98</v>
      </c>
      <c r="AJ100" s="22">
        <v>100</v>
      </c>
      <c r="AK100" s="21">
        <f t="shared" si="24"/>
        <v>96.25</v>
      </c>
      <c r="AP100" s="21" t="e">
        <f t="shared" si="25"/>
        <v>#DIV/0!</v>
      </c>
      <c r="AR100">
        <v>95</v>
      </c>
      <c r="AS100">
        <v>92</v>
      </c>
      <c r="AT100">
        <v>98</v>
      </c>
      <c r="AU100">
        <v>100</v>
      </c>
      <c r="AV100" s="21">
        <f t="shared" si="26"/>
        <v>96.25</v>
      </c>
      <c r="AW100">
        <v>0</v>
      </c>
      <c r="AX100">
        <v>0</v>
      </c>
      <c r="AY100">
        <v>0</v>
      </c>
      <c r="AZ100" s="21">
        <f t="shared" si="27"/>
        <v>0</v>
      </c>
      <c r="BA100">
        <v>0</v>
      </c>
      <c r="BB100">
        <v>0</v>
      </c>
      <c r="BC100">
        <v>0</v>
      </c>
      <c r="BD100" s="21">
        <f t="shared" si="28"/>
        <v>0</v>
      </c>
      <c r="BH100" s="21">
        <f t="shared" si="29"/>
        <v>0</v>
      </c>
      <c r="BI100">
        <v>27.1</v>
      </c>
      <c r="BJ100">
        <v>14.8</v>
      </c>
      <c r="BK100" s="18">
        <f t="shared" si="30"/>
        <v>45.38745387453875</v>
      </c>
      <c r="BL100" s="18">
        <f t="shared" si="31"/>
        <v>4.1549815498155001</v>
      </c>
      <c r="BM100" s="19">
        <f t="shared" si="32"/>
        <v>44782.154981549815</v>
      </c>
      <c r="BN100" s="71">
        <f t="shared" si="33"/>
        <v>97.154981549814693</v>
      </c>
      <c r="BO100">
        <v>6</v>
      </c>
      <c r="BP100" s="23">
        <f t="shared" si="34"/>
        <v>7.238999999999999</v>
      </c>
      <c r="BQ100">
        <v>8.74</v>
      </c>
      <c r="BR100">
        <v>9.1999999999999993</v>
      </c>
      <c r="BS100" s="22">
        <f t="shared" si="35"/>
        <v>12673.675906118673</v>
      </c>
      <c r="BT100" s="22">
        <f t="shared" si="36"/>
        <v>235.60038543425736</v>
      </c>
      <c r="BU100">
        <v>104.9</v>
      </c>
      <c r="BV100">
        <v>4.58</v>
      </c>
      <c r="BW100">
        <v>4.58</v>
      </c>
      <c r="BX100" s="71">
        <f t="shared" si="37"/>
        <v>48.076763005780343</v>
      </c>
    </row>
    <row r="101" spans="2:76" x14ac:dyDescent="0.3">
      <c r="B101">
        <v>2022</v>
      </c>
      <c r="C101" t="s">
        <v>125</v>
      </c>
      <c r="D101">
        <v>416</v>
      </c>
      <c r="E101">
        <v>4</v>
      </c>
      <c r="F101">
        <v>7</v>
      </c>
      <c r="G101" t="s">
        <v>15</v>
      </c>
      <c r="H101">
        <v>7</v>
      </c>
      <c r="I101" t="s">
        <v>22</v>
      </c>
      <c r="J101">
        <v>44</v>
      </c>
      <c r="K101">
        <v>46</v>
      </c>
      <c r="L101" s="22">
        <f t="shared" si="20"/>
        <v>186.48984666390388</v>
      </c>
      <c r="M101">
        <v>37</v>
      </c>
      <c r="N101">
        <v>37</v>
      </c>
      <c r="O101">
        <v>35</v>
      </c>
      <c r="P101">
        <v>36</v>
      </c>
      <c r="Q101" s="21">
        <f t="shared" si="21"/>
        <v>36.25</v>
      </c>
      <c r="R101">
        <v>64</v>
      </c>
      <c r="S101">
        <v>64</v>
      </c>
      <c r="T101">
        <v>66</v>
      </c>
      <c r="U101">
        <v>67</v>
      </c>
      <c r="V101" s="21">
        <f t="shared" si="38"/>
        <v>65.25</v>
      </c>
      <c r="W101">
        <v>73</v>
      </c>
      <c r="X101">
        <v>72</v>
      </c>
      <c r="Y101">
        <v>77</v>
      </c>
      <c r="Z101">
        <v>77</v>
      </c>
      <c r="AA101" s="21">
        <f t="shared" si="22"/>
        <v>74.75</v>
      </c>
      <c r="AB101">
        <v>87</v>
      </c>
      <c r="AC101">
        <v>93</v>
      </c>
      <c r="AD101">
        <v>89</v>
      </c>
      <c r="AE101">
        <v>91</v>
      </c>
      <c r="AF101" s="21">
        <f t="shared" si="23"/>
        <v>90</v>
      </c>
      <c r="AG101" s="22">
        <v>109</v>
      </c>
      <c r="AH101" s="22">
        <v>105</v>
      </c>
      <c r="AI101" s="22">
        <v>94</v>
      </c>
      <c r="AJ101" s="22">
        <v>94</v>
      </c>
      <c r="AK101" s="21">
        <f t="shared" si="24"/>
        <v>100.5</v>
      </c>
      <c r="AP101" s="21" t="e">
        <f t="shared" si="25"/>
        <v>#DIV/0!</v>
      </c>
      <c r="AR101">
        <v>109</v>
      </c>
      <c r="AS101">
        <v>105</v>
      </c>
      <c r="AT101">
        <v>94</v>
      </c>
      <c r="AU101">
        <v>94</v>
      </c>
      <c r="AV101" s="21">
        <f t="shared" si="26"/>
        <v>100.5</v>
      </c>
      <c r="AW101">
        <v>0</v>
      </c>
      <c r="AX101">
        <v>0</v>
      </c>
      <c r="AY101">
        <v>0</v>
      </c>
      <c r="AZ101" s="21">
        <f t="shared" si="27"/>
        <v>0</v>
      </c>
      <c r="BA101">
        <v>0</v>
      </c>
      <c r="BB101">
        <v>0</v>
      </c>
      <c r="BC101">
        <v>0</v>
      </c>
      <c r="BD101" s="21">
        <f t="shared" si="28"/>
        <v>0</v>
      </c>
      <c r="BH101" s="21">
        <f t="shared" si="29"/>
        <v>0</v>
      </c>
      <c r="BI101">
        <v>26.5</v>
      </c>
      <c r="BJ101">
        <v>14.8</v>
      </c>
      <c r="BK101" s="18">
        <f t="shared" si="30"/>
        <v>44.15094339622641</v>
      </c>
      <c r="BL101" s="18">
        <f t="shared" si="31"/>
        <v>3.6603773584905639</v>
      </c>
      <c r="BM101" s="19">
        <f t="shared" si="32"/>
        <v>44781.660377358494</v>
      </c>
      <c r="BN101" s="71">
        <f t="shared" si="33"/>
        <v>96.660377358493861</v>
      </c>
      <c r="BO101">
        <v>6</v>
      </c>
      <c r="BP101" s="23">
        <f t="shared" si="34"/>
        <v>7.238999999999999</v>
      </c>
      <c r="BQ101">
        <v>8.94</v>
      </c>
      <c r="BR101">
        <v>8.8000000000000007</v>
      </c>
      <c r="BS101" s="22">
        <f t="shared" si="35"/>
        <v>13020.800145646534</v>
      </c>
      <c r="BT101" s="22">
        <f t="shared" si="36"/>
        <v>242.05333604086508</v>
      </c>
      <c r="BU101">
        <v>98.6</v>
      </c>
      <c r="BV101">
        <v>4.7299999999999995</v>
      </c>
      <c r="BW101">
        <v>4.87</v>
      </c>
      <c r="BX101" s="71">
        <f t="shared" si="37"/>
        <v>50.608092485549136</v>
      </c>
    </row>
    <row r="102" spans="2:76" x14ac:dyDescent="0.3">
      <c r="B102">
        <v>2022</v>
      </c>
      <c r="C102" t="s">
        <v>125</v>
      </c>
      <c r="D102">
        <v>417</v>
      </c>
      <c r="E102">
        <v>4</v>
      </c>
      <c r="F102">
        <v>9</v>
      </c>
      <c r="G102" t="s">
        <v>15</v>
      </c>
      <c r="H102">
        <v>9</v>
      </c>
      <c r="I102" t="s">
        <v>24</v>
      </c>
      <c r="J102">
        <v>61</v>
      </c>
      <c r="K102">
        <v>54</v>
      </c>
      <c r="L102" s="22">
        <f t="shared" si="20"/>
        <v>238.29258184832162</v>
      </c>
      <c r="M102">
        <v>39</v>
      </c>
      <c r="N102">
        <v>40</v>
      </c>
      <c r="O102">
        <v>36</v>
      </c>
      <c r="P102">
        <v>37</v>
      </c>
      <c r="Q102" s="21">
        <f t="shared" si="21"/>
        <v>38</v>
      </c>
      <c r="R102">
        <v>60</v>
      </c>
      <c r="S102">
        <v>64</v>
      </c>
      <c r="T102">
        <v>68</v>
      </c>
      <c r="U102">
        <v>65</v>
      </c>
      <c r="V102" s="21">
        <f t="shared" si="38"/>
        <v>64.25</v>
      </c>
      <c r="W102">
        <v>77</v>
      </c>
      <c r="X102">
        <v>72</v>
      </c>
      <c r="Y102">
        <v>76</v>
      </c>
      <c r="Z102">
        <v>75</v>
      </c>
      <c r="AA102" s="21">
        <f t="shared" si="22"/>
        <v>75</v>
      </c>
      <c r="AB102">
        <v>90</v>
      </c>
      <c r="AC102">
        <v>91</v>
      </c>
      <c r="AD102">
        <v>90</v>
      </c>
      <c r="AE102">
        <v>94</v>
      </c>
      <c r="AF102" s="21">
        <f t="shared" si="23"/>
        <v>91.25</v>
      </c>
      <c r="AG102" s="22">
        <v>96</v>
      </c>
      <c r="AH102" s="22">
        <v>99</v>
      </c>
      <c r="AI102" s="22">
        <v>95</v>
      </c>
      <c r="AJ102" s="22">
        <v>101</v>
      </c>
      <c r="AK102" s="21">
        <f t="shared" si="24"/>
        <v>97.75</v>
      </c>
      <c r="AP102" s="21" t="e">
        <f t="shared" si="25"/>
        <v>#DIV/0!</v>
      </c>
      <c r="AR102">
        <v>96</v>
      </c>
      <c r="AS102">
        <v>99</v>
      </c>
      <c r="AT102">
        <v>95</v>
      </c>
      <c r="AU102">
        <v>101</v>
      </c>
      <c r="AV102" s="21">
        <f t="shared" si="26"/>
        <v>97.75</v>
      </c>
      <c r="AW102">
        <v>0</v>
      </c>
      <c r="AX102">
        <v>0</v>
      </c>
      <c r="AY102">
        <v>0</v>
      </c>
      <c r="AZ102" s="21">
        <f t="shared" si="27"/>
        <v>0</v>
      </c>
      <c r="BA102">
        <v>0</v>
      </c>
      <c r="BB102">
        <v>0</v>
      </c>
      <c r="BC102">
        <v>0</v>
      </c>
      <c r="BD102" s="21">
        <f t="shared" si="28"/>
        <v>0</v>
      </c>
      <c r="BH102" s="21">
        <f t="shared" si="29"/>
        <v>0</v>
      </c>
      <c r="BI102">
        <v>29.4</v>
      </c>
      <c r="BJ102">
        <v>16.899999999999999</v>
      </c>
      <c r="BK102" s="18">
        <f t="shared" si="30"/>
        <v>42.517006802721092</v>
      </c>
      <c r="BL102" s="18">
        <f t="shared" si="31"/>
        <v>3.0068027210884365</v>
      </c>
      <c r="BM102" s="19">
        <f t="shared" si="32"/>
        <v>44781.006802721087</v>
      </c>
      <c r="BN102" s="71">
        <f t="shared" si="33"/>
        <v>96.006802721087297</v>
      </c>
      <c r="BO102">
        <v>6</v>
      </c>
      <c r="BP102" s="23">
        <f t="shared" si="34"/>
        <v>7.238999999999999</v>
      </c>
      <c r="BQ102">
        <v>9.1999999999999993</v>
      </c>
      <c r="BR102">
        <v>10.199999999999999</v>
      </c>
      <c r="BS102" s="22">
        <f t="shared" si="35"/>
        <v>13193.78734488125</v>
      </c>
      <c r="BT102" s="22">
        <f t="shared" si="36"/>
        <v>245.2691237189463</v>
      </c>
      <c r="BU102">
        <v>125</v>
      </c>
      <c r="BV102" s="42" t="s">
        <v>191</v>
      </c>
      <c r="BW102" s="42" t="s">
        <v>191</v>
      </c>
      <c r="BX102" s="71"/>
    </row>
    <row r="103" spans="2:76" x14ac:dyDescent="0.3">
      <c r="B103">
        <v>2022</v>
      </c>
      <c r="C103" t="s">
        <v>125</v>
      </c>
      <c r="D103">
        <v>418</v>
      </c>
      <c r="E103">
        <v>4</v>
      </c>
      <c r="F103">
        <v>1</v>
      </c>
      <c r="G103" t="s">
        <v>15</v>
      </c>
      <c r="H103">
        <v>1</v>
      </c>
      <c r="I103" t="s">
        <v>16</v>
      </c>
      <c r="J103">
        <v>45</v>
      </c>
      <c r="K103">
        <v>45</v>
      </c>
      <c r="L103" s="22">
        <f t="shared" si="20"/>
        <v>186.48984666390388</v>
      </c>
      <c r="M103">
        <v>38</v>
      </c>
      <c r="N103">
        <v>35</v>
      </c>
      <c r="O103">
        <v>40</v>
      </c>
      <c r="P103">
        <v>42</v>
      </c>
      <c r="Q103" s="21">
        <f t="shared" si="21"/>
        <v>38.75</v>
      </c>
      <c r="R103">
        <v>67</v>
      </c>
      <c r="S103">
        <v>67</v>
      </c>
      <c r="T103">
        <v>68</v>
      </c>
      <c r="U103">
        <v>65</v>
      </c>
      <c r="V103" s="21">
        <f t="shared" si="38"/>
        <v>66.75</v>
      </c>
      <c r="W103">
        <v>87</v>
      </c>
      <c r="X103">
        <v>83</v>
      </c>
      <c r="Y103">
        <v>86</v>
      </c>
      <c r="Z103">
        <v>87</v>
      </c>
      <c r="AA103" s="21">
        <f t="shared" si="22"/>
        <v>85.75</v>
      </c>
      <c r="AB103">
        <v>111</v>
      </c>
      <c r="AC103">
        <v>109</v>
      </c>
      <c r="AD103">
        <v>109</v>
      </c>
      <c r="AE103">
        <v>110</v>
      </c>
      <c r="AF103" s="21">
        <f t="shared" si="23"/>
        <v>109.75</v>
      </c>
      <c r="AG103" s="22">
        <v>110</v>
      </c>
      <c r="AH103" s="22">
        <v>115</v>
      </c>
      <c r="AI103" s="22">
        <v>113</v>
      </c>
      <c r="AJ103" s="22">
        <v>112</v>
      </c>
      <c r="AK103" s="21">
        <f t="shared" si="24"/>
        <v>112.5</v>
      </c>
      <c r="AP103" s="21" t="e">
        <f t="shared" si="25"/>
        <v>#DIV/0!</v>
      </c>
      <c r="AR103">
        <v>110</v>
      </c>
      <c r="AS103">
        <v>115</v>
      </c>
      <c r="AT103">
        <v>113</v>
      </c>
      <c r="AU103">
        <v>112</v>
      </c>
      <c r="AV103" s="21">
        <f t="shared" si="26"/>
        <v>112.5</v>
      </c>
      <c r="AW103">
        <v>20</v>
      </c>
      <c r="AX103">
        <v>10</v>
      </c>
      <c r="AY103">
        <v>0</v>
      </c>
      <c r="AZ103" s="21">
        <f t="shared" si="27"/>
        <v>16.666666666666668</v>
      </c>
      <c r="BA103">
        <v>0</v>
      </c>
      <c r="BB103">
        <v>10</v>
      </c>
      <c r="BC103">
        <v>5</v>
      </c>
      <c r="BD103" s="21">
        <f t="shared" si="28"/>
        <v>8.3333333333333339</v>
      </c>
      <c r="BH103" s="21">
        <f t="shared" si="29"/>
        <v>0</v>
      </c>
      <c r="BI103">
        <v>24.9</v>
      </c>
      <c r="BJ103">
        <v>14.1</v>
      </c>
      <c r="BK103" s="18">
        <f t="shared" si="30"/>
        <v>43.373493975903614</v>
      </c>
      <c r="BL103" s="18">
        <f t="shared" si="31"/>
        <v>3.3493975903614457</v>
      </c>
      <c r="BM103" s="19">
        <f t="shared" si="32"/>
        <v>44781.349397590362</v>
      </c>
      <c r="BN103" s="71">
        <f t="shared" si="33"/>
        <v>96.349397590362059</v>
      </c>
      <c r="BO103">
        <v>6</v>
      </c>
      <c r="BP103" s="23">
        <f t="shared" si="34"/>
        <v>7.238999999999999</v>
      </c>
      <c r="BQ103">
        <v>8.59</v>
      </c>
      <c r="BR103">
        <v>7.9</v>
      </c>
      <c r="BS103" s="22">
        <f t="shared" si="35"/>
        <v>12634.501460058596</v>
      </c>
      <c r="BT103" s="22">
        <f t="shared" si="36"/>
        <v>234.8721425267303</v>
      </c>
      <c r="BU103">
        <v>87.3</v>
      </c>
      <c r="BV103">
        <v>4.88</v>
      </c>
      <c r="BW103">
        <v>4.95</v>
      </c>
      <c r="BX103" s="71">
        <f t="shared" si="37"/>
        <v>52.331965317919071</v>
      </c>
    </row>
    <row r="104" spans="2:76" x14ac:dyDescent="0.3">
      <c r="B104">
        <v>2022</v>
      </c>
      <c r="C104" t="s">
        <v>125</v>
      </c>
      <c r="D104">
        <v>419</v>
      </c>
      <c r="E104">
        <v>4</v>
      </c>
      <c r="F104">
        <v>13</v>
      </c>
      <c r="G104" t="s">
        <v>25</v>
      </c>
      <c r="H104">
        <v>4</v>
      </c>
      <c r="I104" t="s">
        <v>19</v>
      </c>
      <c r="J104">
        <v>60</v>
      </c>
      <c r="K104">
        <v>42</v>
      </c>
      <c r="L104" s="22">
        <f t="shared" si="20"/>
        <v>211.35515955242437</v>
      </c>
      <c r="M104">
        <v>49</v>
      </c>
      <c r="N104">
        <v>48</v>
      </c>
      <c r="O104">
        <v>49</v>
      </c>
      <c r="P104">
        <v>50</v>
      </c>
      <c r="Q104" s="21">
        <f t="shared" si="21"/>
        <v>49</v>
      </c>
      <c r="R104">
        <v>80</v>
      </c>
      <c r="S104">
        <v>77</v>
      </c>
      <c r="T104">
        <v>74</v>
      </c>
      <c r="U104">
        <v>71</v>
      </c>
      <c r="V104" s="21">
        <f t="shared" si="38"/>
        <v>75.5</v>
      </c>
      <c r="W104">
        <v>87</v>
      </c>
      <c r="X104">
        <v>93</v>
      </c>
      <c r="Y104">
        <v>88</v>
      </c>
      <c r="Z104">
        <v>91</v>
      </c>
      <c r="AA104" s="21">
        <f t="shared" si="22"/>
        <v>89.75</v>
      </c>
      <c r="AB104">
        <v>103</v>
      </c>
      <c r="AC104">
        <v>106</v>
      </c>
      <c r="AD104">
        <v>107</v>
      </c>
      <c r="AE104">
        <v>104</v>
      </c>
      <c r="AF104" s="21">
        <f t="shared" si="23"/>
        <v>105</v>
      </c>
      <c r="AG104" s="22">
        <v>115</v>
      </c>
      <c r="AH104" s="22">
        <v>107</v>
      </c>
      <c r="AI104" s="22">
        <v>109</v>
      </c>
      <c r="AJ104" s="22">
        <v>113</v>
      </c>
      <c r="AK104" s="21">
        <f t="shared" si="24"/>
        <v>111</v>
      </c>
      <c r="AP104" s="21" t="e">
        <f t="shared" si="25"/>
        <v>#DIV/0!</v>
      </c>
      <c r="AR104">
        <v>115</v>
      </c>
      <c r="AS104">
        <v>107</v>
      </c>
      <c r="AT104">
        <v>109</v>
      </c>
      <c r="AU104">
        <v>113</v>
      </c>
      <c r="AV104" s="21">
        <f t="shared" si="26"/>
        <v>111</v>
      </c>
      <c r="AW104">
        <v>0</v>
      </c>
      <c r="AX104">
        <v>0</v>
      </c>
      <c r="AY104">
        <v>0</v>
      </c>
      <c r="AZ104" s="21">
        <f t="shared" si="27"/>
        <v>0</v>
      </c>
      <c r="BA104">
        <v>0</v>
      </c>
      <c r="BB104">
        <v>0</v>
      </c>
      <c r="BC104">
        <v>0</v>
      </c>
      <c r="BD104" s="21">
        <f t="shared" si="28"/>
        <v>0</v>
      </c>
      <c r="BH104" s="21">
        <f t="shared" si="29"/>
        <v>0</v>
      </c>
      <c r="BI104">
        <v>22.5</v>
      </c>
      <c r="BJ104">
        <v>13.4</v>
      </c>
      <c r="BK104" s="18">
        <f t="shared" si="30"/>
        <v>40.444444444444443</v>
      </c>
      <c r="BL104" s="18">
        <f t="shared" si="31"/>
        <v>2.1777777777777771</v>
      </c>
      <c r="BM104" s="19">
        <f t="shared" si="32"/>
        <v>44780.177777777775</v>
      </c>
      <c r="BN104" s="71">
        <f t="shared" si="33"/>
        <v>95.177777777775191</v>
      </c>
      <c r="BO104">
        <v>6</v>
      </c>
      <c r="BP104" s="23">
        <f t="shared" si="34"/>
        <v>7.238999999999999</v>
      </c>
      <c r="BQ104">
        <v>8.4700000000000006</v>
      </c>
      <c r="BR104">
        <v>8.6999999999999993</v>
      </c>
      <c r="BS104" s="22">
        <f t="shared" si="35"/>
        <v>12349.788037979892</v>
      </c>
      <c r="BT104" s="22">
        <f t="shared" si="36"/>
        <v>229.57939301372878</v>
      </c>
      <c r="BU104">
        <v>98.7</v>
      </c>
      <c r="BV104">
        <v>4.6500000000000004</v>
      </c>
      <c r="BW104">
        <v>4.75</v>
      </c>
      <c r="BX104" s="71">
        <f t="shared" si="37"/>
        <v>49.608092485549129</v>
      </c>
    </row>
    <row r="105" spans="2:76" x14ac:dyDescent="0.3">
      <c r="B105">
        <v>2022</v>
      </c>
      <c r="C105" t="s">
        <v>125</v>
      </c>
      <c r="D105">
        <v>420</v>
      </c>
      <c r="E105">
        <v>4</v>
      </c>
      <c r="F105">
        <v>12</v>
      </c>
      <c r="G105" t="s">
        <v>25</v>
      </c>
      <c r="H105">
        <v>3</v>
      </c>
      <c r="I105" t="s">
        <v>18</v>
      </c>
      <c r="J105">
        <v>52</v>
      </c>
      <c r="K105">
        <v>49</v>
      </c>
      <c r="L105" s="22">
        <f t="shared" si="20"/>
        <v>209.28305014504767</v>
      </c>
      <c r="M105">
        <v>45</v>
      </c>
      <c r="N105">
        <v>45</v>
      </c>
      <c r="O105">
        <v>46</v>
      </c>
      <c r="P105">
        <v>47</v>
      </c>
      <c r="Q105" s="21">
        <f t="shared" si="21"/>
        <v>45.75</v>
      </c>
      <c r="R105">
        <v>70</v>
      </c>
      <c r="S105">
        <v>65</v>
      </c>
      <c r="T105">
        <v>71</v>
      </c>
      <c r="U105">
        <v>67</v>
      </c>
      <c r="V105" s="21">
        <f t="shared" si="38"/>
        <v>68.25</v>
      </c>
      <c r="W105">
        <v>88</v>
      </c>
      <c r="X105">
        <v>85</v>
      </c>
      <c r="Y105">
        <v>89</v>
      </c>
      <c r="Z105">
        <v>87</v>
      </c>
      <c r="AA105" s="21">
        <f t="shared" si="22"/>
        <v>87.25</v>
      </c>
      <c r="AB105">
        <v>104</v>
      </c>
      <c r="AC105">
        <v>104</v>
      </c>
      <c r="AD105">
        <v>104</v>
      </c>
      <c r="AE105">
        <v>106</v>
      </c>
      <c r="AF105" s="21">
        <f t="shared" si="23"/>
        <v>104.5</v>
      </c>
      <c r="AG105" s="22">
        <v>105</v>
      </c>
      <c r="AH105" s="22">
        <v>103</v>
      </c>
      <c r="AI105" s="22">
        <v>111</v>
      </c>
      <c r="AJ105" s="22">
        <v>113</v>
      </c>
      <c r="AK105" s="21">
        <f t="shared" si="24"/>
        <v>108</v>
      </c>
      <c r="AP105" s="21" t="e">
        <f t="shared" si="25"/>
        <v>#DIV/0!</v>
      </c>
      <c r="AR105">
        <v>105</v>
      </c>
      <c r="AS105">
        <v>103</v>
      </c>
      <c r="AT105">
        <v>111</v>
      </c>
      <c r="AU105">
        <v>113</v>
      </c>
      <c r="AV105" s="21">
        <f t="shared" si="26"/>
        <v>108</v>
      </c>
      <c r="AW105">
        <v>0</v>
      </c>
      <c r="AX105">
        <v>0</v>
      </c>
      <c r="AY105">
        <v>0</v>
      </c>
      <c r="AZ105" s="21">
        <f t="shared" si="27"/>
        <v>0</v>
      </c>
      <c r="BA105">
        <v>0</v>
      </c>
      <c r="BB105">
        <v>0</v>
      </c>
      <c r="BC105">
        <v>0</v>
      </c>
      <c r="BD105" s="21">
        <f t="shared" si="28"/>
        <v>0</v>
      </c>
      <c r="BH105" s="21">
        <f t="shared" si="29"/>
        <v>0</v>
      </c>
      <c r="BI105">
        <v>22</v>
      </c>
      <c r="BJ105">
        <v>13.7</v>
      </c>
      <c r="BK105" s="18">
        <f t="shared" si="30"/>
        <v>37.727272727272734</v>
      </c>
      <c r="BL105" s="18">
        <f>(BK105-35)/2.5</f>
        <v>1.0909090909090935</v>
      </c>
      <c r="BM105" s="19">
        <f>BL$2+BL105</f>
        <v>44779.090909090912</v>
      </c>
      <c r="BN105" s="71">
        <f>BM105-BL$1</f>
        <v>94.090909090911737</v>
      </c>
      <c r="BO105">
        <v>6</v>
      </c>
      <c r="BP105" s="23">
        <f t="shared" si="34"/>
        <v>7.238999999999999</v>
      </c>
      <c r="BQ105">
        <v>8.2200000000000006</v>
      </c>
      <c r="BR105">
        <v>7.3</v>
      </c>
      <c r="BS105" s="22">
        <f t="shared" si="35"/>
        <v>12169.055381615481</v>
      </c>
      <c r="BT105" s="22">
        <f t="shared" si="36"/>
        <v>226.21961927362111</v>
      </c>
      <c r="BU105">
        <v>100.6</v>
      </c>
      <c r="BV105">
        <v>4.42</v>
      </c>
      <c r="BW105">
        <v>4.41</v>
      </c>
      <c r="BX105" s="71">
        <f t="shared" si="37"/>
        <v>47.314508670520233</v>
      </c>
    </row>
    <row r="106" spans="2:76" x14ac:dyDescent="0.3">
      <c r="B106">
        <v>2022</v>
      </c>
      <c r="C106" t="s">
        <v>125</v>
      </c>
      <c r="D106">
        <v>421</v>
      </c>
      <c r="E106">
        <v>4</v>
      </c>
      <c r="F106">
        <v>11</v>
      </c>
      <c r="G106" t="s">
        <v>25</v>
      </c>
      <c r="H106">
        <v>2</v>
      </c>
      <c r="I106" t="s">
        <v>17</v>
      </c>
      <c r="J106">
        <v>49</v>
      </c>
      <c r="K106">
        <v>51</v>
      </c>
      <c r="L106" s="22">
        <f t="shared" si="20"/>
        <v>207.21094073767097</v>
      </c>
      <c r="M106">
        <v>39</v>
      </c>
      <c r="N106">
        <v>43</v>
      </c>
      <c r="O106">
        <v>42</v>
      </c>
      <c r="P106">
        <v>45</v>
      </c>
      <c r="Q106" s="21">
        <f t="shared" si="21"/>
        <v>42.25</v>
      </c>
      <c r="R106">
        <v>68</v>
      </c>
      <c r="S106">
        <v>66</v>
      </c>
      <c r="T106">
        <v>73</v>
      </c>
      <c r="U106">
        <v>66</v>
      </c>
      <c r="V106" s="21">
        <f t="shared" si="38"/>
        <v>68.25</v>
      </c>
      <c r="W106">
        <v>85</v>
      </c>
      <c r="X106">
        <v>85</v>
      </c>
      <c r="Y106">
        <v>86</v>
      </c>
      <c r="Z106">
        <v>80</v>
      </c>
      <c r="AA106" s="21">
        <f t="shared" si="22"/>
        <v>84</v>
      </c>
      <c r="AB106">
        <v>102</v>
      </c>
      <c r="AC106">
        <v>108</v>
      </c>
      <c r="AD106">
        <v>109</v>
      </c>
      <c r="AE106">
        <v>109</v>
      </c>
      <c r="AF106" s="21">
        <f t="shared" si="23"/>
        <v>107</v>
      </c>
      <c r="AG106" s="22">
        <v>105</v>
      </c>
      <c r="AH106" s="22">
        <v>110</v>
      </c>
      <c r="AI106" s="22">
        <v>109</v>
      </c>
      <c r="AJ106" s="22">
        <v>108</v>
      </c>
      <c r="AK106" s="21">
        <f t="shared" si="24"/>
        <v>108</v>
      </c>
      <c r="AP106" s="21" t="e">
        <f t="shared" si="25"/>
        <v>#DIV/0!</v>
      </c>
      <c r="AR106">
        <v>105</v>
      </c>
      <c r="AS106">
        <v>110</v>
      </c>
      <c r="AT106">
        <v>109</v>
      </c>
      <c r="AU106">
        <v>108</v>
      </c>
      <c r="AV106" s="21">
        <f t="shared" si="26"/>
        <v>108</v>
      </c>
      <c r="AW106">
        <v>0</v>
      </c>
      <c r="AX106">
        <v>0</v>
      </c>
      <c r="AY106">
        <v>0</v>
      </c>
      <c r="AZ106" s="21">
        <f t="shared" si="27"/>
        <v>0</v>
      </c>
      <c r="BA106">
        <v>0</v>
      </c>
      <c r="BB106">
        <v>0</v>
      </c>
      <c r="BC106">
        <v>0</v>
      </c>
      <c r="BD106" s="21">
        <f t="shared" si="28"/>
        <v>0</v>
      </c>
      <c r="BH106" s="21">
        <f t="shared" si="29"/>
        <v>0</v>
      </c>
      <c r="BI106">
        <v>21.2</v>
      </c>
      <c r="BJ106">
        <v>12.5</v>
      </c>
      <c r="BK106" s="18">
        <f t="shared" si="30"/>
        <v>41.037735849056602</v>
      </c>
      <c r="BL106" s="18">
        <f t="shared" si="31"/>
        <v>2.415094339622641</v>
      </c>
      <c r="BM106" s="19">
        <f t="shared" si="32"/>
        <v>44780.415094339623</v>
      </c>
      <c r="BN106" s="71">
        <f t="shared" si="33"/>
        <v>95.415094339623465</v>
      </c>
      <c r="BO106">
        <v>6</v>
      </c>
      <c r="BP106" s="23">
        <f t="shared" si="34"/>
        <v>7.238999999999999</v>
      </c>
      <c r="BQ106">
        <v>8.36</v>
      </c>
      <c r="BR106">
        <v>6.7</v>
      </c>
      <c r="BS106" s="22">
        <f t="shared" si="35"/>
        <v>12456.419826134454</v>
      </c>
      <c r="BT106" s="22">
        <f t="shared" si="36"/>
        <v>231.56165061403789</v>
      </c>
      <c r="BU106">
        <v>81.599999999999994</v>
      </c>
      <c r="BV106">
        <v>4.5200000000000005</v>
      </c>
      <c r="BW106">
        <v>4.3600000000000003</v>
      </c>
      <c r="BX106" s="71">
        <f t="shared" si="37"/>
        <v>47.890404624277458</v>
      </c>
    </row>
    <row r="107" spans="2:76" x14ac:dyDescent="0.3">
      <c r="B107">
        <v>2022</v>
      </c>
      <c r="C107" t="s">
        <v>125</v>
      </c>
      <c r="D107">
        <v>422</v>
      </c>
      <c r="E107">
        <v>4</v>
      </c>
      <c r="F107">
        <v>10</v>
      </c>
      <c r="G107" t="s">
        <v>25</v>
      </c>
      <c r="H107">
        <v>1</v>
      </c>
      <c r="I107" t="s">
        <v>16</v>
      </c>
      <c r="J107">
        <v>45</v>
      </c>
      <c r="K107">
        <v>45</v>
      </c>
      <c r="L107" s="22">
        <f t="shared" si="20"/>
        <v>186.48984666390388</v>
      </c>
      <c r="M107">
        <v>46</v>
      </c>
      <c r="N107">
        <v>50</v>
      </c>
      <c r="O107">
        <v>51</v>
      </c>
      <c r="P107">
        <v>52</v>
      </c>
      <c r="Q107" s="21">
        <f t="shared" si="21"/>
        <v>49.75</v>
      </c>
      <c r="R107">
        <v>70</v>
      </c>
      <c r="S107">
        <v>72</v>
      </c>
      <c r="T107">
        <v>73</v>
      </c>
      <c r="U107">
        <v>75</v>
      </c>
      <c r="V107" s="21">
        <f t="shared" si="38"/>
        <v>72.5</v>
      </c>
      <c r="W107">
        <v>95</v>
      </c>
      <c r="X107">
        <v>93</v>
      </c>
      <c r="Y107">
        <v>96</v>
      </c>
      <c r="Z107">
        <v>97</v>
      </c>
      <c r="AA107" s="21">
        <f t="shared" si="22"/>
        <v>95.25</v>
      </c>
      <c r="AB107">
        <v>115</v>
      </c>
      <c r="AC107">
        <v>114</v>
      </c>
      <c r="AD107">
        <v>113</v>
      </c>
      <c r="AE107">
        <v>116</v>
      </c>
      <c r="AF107" s="21">
        <f t="shared" si="23"/>
        <v>114.5</v>
      </c>
      <c r="AG107" s="22">
        <v>101</v>
      </c>
      <c r="AH107" s="22">
        <v>111</v>
      </c>
      <c r="AI107" s="22">
        <v>119</v>
      </c>
      <c r="AJ107" s="22">
        <v>118</v>
      </c>
      <c r="AK107" s="21">
        <f t="shared" si="24"/>
        <v>112.25</v>
      </c>
      <c r="AP107" s="21" t="e">
        <f t="shared" si="25"/>
        <v>#DIV/0!</v>
      </c>
      <c r="AR107">
        <v>101</v>
      </c>
      <c r="AS107">
        <v>111</v>
      </c>
      <c r="AT107">
        <v>119</v>
      </c>
      <c r="AU107">
        <v>118</v>
      </c>
      <c r="AV107" s="21">
        <f t="shared" si="26"/>
        <v>112.25</v>
      </c>
      <c r="AW107">
        <v>20</v>
      </c>
      <c r="AX107">
        <v>5</v>
      </c>
      <c r="AY107">
        <v>0</v>
      </c>
      <c r="AZ107" s="21">
        <f>((2*AW107)/3)+(AX107/3)+AY107</f>
        <v>15</v>
      </c>
      <c r="BA107">
        <v>0</v>
      </c>
      <c r="BB107">
        <v>30</v>
      </c>
      <c r="BC107">
        <v>5</v>
      </c>
      <c r="BD107" s="21">
        <f t="shared" si="28"/>
        <v>15</v>
      </c>
      <c r="BH107" s="21">
        <f t="shared" si="29"/>
        <v>0</v>
      </c>
      <c r="BI107">
        <v>24.8</v>
      </c>
      <c r="BJ107">
        <v>13.7</v>
      </c>
      <c r="BK107" s="18">
        <f t="shared" si="30"/>
        <v>44.758064516129039</v>
      </c>
      <c r="BL107" s="18">
        <f t="shared" si="31"/>
        <v>3.9032258064516157</v>
      </c>
      <c r="BM107" s="19">
        <f t="shared" si="32"/>
        <v>44781.903225806454</v>
      </c>
      <c r="BN107" s="71">
        <f t="shared" si="33"/>
        <v>96.903225806454429</v>
      </c>
      <c r="BO107">
        <v>6</v>
      </c>
      <c r="BP107" s="23">
        <f t="shared" si="34"/>
        <v>7.238999999999999</v>
      </c>
      <c r="BQ107">
        <v>7.92</v>
      </c>
      <c r="BR107">
        <v>8.4</v>
      </c>
      <c r="BS107" s="22">
        <f t="shared" si="35"/>
        <v>11585.798504727525</v>
      </c>
      <c r="BT107" s="22">
        <f t="shared" si="36"/>
        <v>215.3770234853194</v>
      </c>
      <c r="BU107">
        <v>102.1</v>
      </c>
      <c r="BV107">
        <v>4.17</v>
      </c>
      <c r="BW107">
        <v>4.3100000000000005</v>
      </c>
      <c r="BX107" s="71">
        <f t="shared" si="37"/>
        <v>44.899884393063587</v>
      </c>
    </row>
    <row r="108" spans="2:76" x14ac:dyDescent="0.3">
      <c r="B108">
        <v>2022</v>
      </c>
      <c r="C108" t="s">
        <v>125</v>
      </c>
      <c r="D108">
        <v>423</v>
      </c>
      <c r="E108">
        <v>4</v>
      </c>
      <c r="F108">
        <v>16</v>
      </c>
      <c r="G108" t="s">
        <v>25</v>
      </c>
      <c r="H108">
        <v>7</v>
      </c>
      <c r="I108" t="s">
        <v>22</v>
      </c>
      <c r="J108">
        <v>46</v>
      </c>
      <c r="K108">
        <v>47</v>
      </c>
      <c r="L108" s="22">
        <f t="shared" si="20"/>
        <v>192.70617488603401</v>
      </c>
      <c r="M108">
        <v>35</v>
      </c>
      <c r="N108">
        <v>36</v>
      </c>
      <c r="O108">
        <v>41</v>
      </c>
      <c r="P108">
        <v>43</v>
      </c>
      <c r="Q108" s="21">
        <f t="shared" si="21"/>
        <v>38.75</v>
      </c>
      <c r="R108">
        <v>74</v>
      </c>
      <c r="S108">
        <v>70</v>
      </c>
      <c r="T108">
        <v>75</v>
      </c>
      <c r="U108">
        <v>70</v>
      </c>
      <c r="V108" s="21">
        <f t="shared" si="38"/>
        <v>72.25</v>
      </c>
      <c r="W108">
        <v>78</v>
      </c>
      <c r="X108">
        <v>79</v>
      </c>
      <c r="Y108">
        <v>80</v>
      </c>
      <c r="Z108">
        <v>75</v>
      </c>
      <c r="AA108" s="21">
        <f t="shared" si="22"/>
        <v>78</v>
      </c>
      <c r="AB108">
        <v>98</v>
      </c>
      <c r="AC108">
        <v>99</v>
      </c>
      <c r="AD108">
        <v>100</v>
      </c>
      <c r="AE108">
        <v>101</v>
      </c>
      <c r="AF108" s="21">
        <f t="shared" si="23"/>
        <v>99.5</v>
      </c>
      <c r="AG108" s="22">
        <v>109</v>
      </c>
      <c r="AH108" s="22">
        <v>108</v>
      </c>
      <c r="AI108" s="22">
        <v>99</v>
      </c>
      <c r="AJ108" s="22">
        <v>101</v>
      </c>
      <c r="AK108" s="21">
        <f t="shared" si="24"/>
        <v>104.25</v>
      </c>
      <c r="AP108" s="21" t="e">
        <f t="shared" si="25"/>
        <v>#DIV/0!</v>
      </c>
      <c r="AR108">
        <v>109</v>
      </c>
      <c r="AS108">
        <v>108</v>
      </c>
      <c r="AT108">
        <v>99</v>
      </c>
      <c r="AU108">
        <v>101</v>
      </c>
      <c r="AV108" s="21">
        <f t="shared" si="26"/>
        <v>104.25</v>
      </c>
      <c r="AW108">
        <v>0</v>
      </c>
      <c r="AX108">
        <v>0</v>
      </c>
      <c r="AY108">
        <v>0</v>
      </c>
      <c r="AZ108" s="21">
        <f t="shared" si="27"/>
        <v>0</v>
      </c>
      <c r="BA108">
        <v>0</v>
      </c>
      <c r="BB108">
        <v>0</v>
      </c>
      <c r="BC108">
        <v>0</v>
      </c>
      <c r="BD108" s="21">
        <f t="shared" si="28"/>
        <v>0</v>
      </c>
      <c r="BH108" s="21">
        <f t="shared" si="29"/>
        <v>0</v>
      </c>
      <c r="BI108">
        <v>24.6</v>
      </c>
      <c r="BJ108">
        <v>12.5</v>
      </c>
      <c r="BK108" s="18">
        <f t="shared" si="30"/>
        <v>49.1869918699187</v>
      </c>
      <c r="BL108" s="18">
        <f t="shared" si="31"/>
        <v>5.6747967479674797</v>
      </c>
      <c r="BM108" s="19">
        <f t="shared" si="32"/>
        <v>44783.674796747968</v>
      </c>
      <c r="BN108" s="71">
        <f t="shared" si="33"/>
        <v>98.674796747967775</v>
      </c>
      <c r="BO108">
        <v>6</v>
      </c>
      <c r="BP108" s="23">
        <f t="shared" si="34"/>
        <v>7.238999999999999</v>
      </c>
      <c r="BQ108">
        <v>8.15</v>
      </c>
      <c r="BR108">
        <v>8.6999999999999993</v>
      </c>
      <c r="BS108" s="22">
        <f t="shared" si="35"/>
        <v>11883.208088493047</v>
      </c>
      <c r="BT108" s="22">
        <f t="shared" si="36"/>
        <v>220.90579138865283</v>
      </c>
      <c r="BU108">
        <v>95.2</v>
      </c>
      <c r="BV108">
        <v>4.42</v>
      </c>
      <c r="BW108">
        <v>4.3899999999999997</v>
      </c>
      <c r="BX108" s="71">
        <f t="shared" si="37"/>
        <v>46.494393063583814</v>
      </c>
    </row>
    <row r="109" spans="2:76" x14ac:dyDescent="0.3">
      <c r="B109">
        <v>2022</v>
      </c>
      <c r="C109" t="s">
        <v>125</v>
      </c>
      <c r="D109">
        <v>424</v>
      </c>
      <c r="E109">
        <v>4</v>
      </c>
      <c r="F109">
        <v>18</v>
      </c>
      <c r="G109" t="s">
        <v>25</v>
      </c>
      <c r="H109">
        <v>9</v>
      </c>
      <c r="I109" t="s">
        <v>24</v>
      </c>
      <c r="J109">
        <v>50</v>
      </c>
      <c r="K109">
        <v>46</v>
      </c>
      <c r="L109" s="22">
        <f t="shared" si="20"/>
        <v>198.92250310816414</v>
      </c>
      <c r="M109">
        <v>40</v>
      </c>
      <c r="N109">
        <v>42</v>
      </c>
      <c r="O109">
        <v>47</v>
      </c>
      <c r="P109">
        <v>73</v>
      </c>
      <c r="Q109" s="21">
        <f t="shared" si="21"/>
        <v>50.5</v>
      </c>
      <c r="R109">
        <v>74</v>
      </c>
      <c r="S109">
        <v>65</v>
      </c>
      <c r="T109">
        <v>66</v>
      </c>
      <c r="U109">
        <v>64</v>
      </c>
      <c r="V109" s="21">
        <f t="shared" si="38"/>
        <v>67.25</v>
      </c>
      <c r="W109">
        <v>85</v>
      </c>
      <c r="X109">
        <v>80</v>
      </c>
      <c r="Y109">
        <v>86</v>
      </c>
      <c r="Z109">
        <v>86</v>
      </c>
      <c r="AA109" s="21">
        <f t="shared" si="22"/>
        <v>84.25</v>
      </c>
      <c r="AB109">
        <v>104</v>
      </c>
      <c r="AC109">
        <v>105</v>
      </c>
      <c r="AD109">
        <v>105</v>
      </c>
      <c r="AE109">
        <v>102</v>
      </c>
      <c r="AF109" s="21">
        <f t="shared" si="23"/>
        <v>104</v>
      </c>
      <c r="AG109" s="22">
        <v>110</v>
      </c>
      <c r="AH109" s="22">
        <v>105</v>
      </c>
      <c r="AI109" s="22">
        <v>100</v>
      </c>
      <c r="AJ109" s="22">
        <v>104</v>
      </c>
      <c r="AK109" s="21">
        <f t="shared" si="24"/>
        <v>104.75</v>
      </c>
      <c r="AP109" s="21" t="e">
        <f t="shared" si="25"/>
        <v>#DIV/0!</v>
      </c>
      <c r="AR109">
        <v>110</v>
      </c>
      <c r="AS109">
        <v>105</v>
      </c>
      <c r="AT109">
        <v>100</v>
      </c>
      <c r="AU109">
        <v>104</v>
      </c>
      <c r="AV109" s="21">
        <f t="shared" si="26"/>
        <v>104.75</v>
      </c>
      <c r="AW109">
        <v>0</v>
      </c>
      <c r="AX109">
        <v>0</v>
      </c>
      <c r="AY109">
        <v>0</v>
      </c>
      <c r="AZ109" s="21">
        <f t="shared" si="27"/>
        <v>0</v>
      </c>
      <c r="BA109">
        <v>0</v>
      </c>
      <c r="BB109">
        <v>0</v>
      </c>
      <c r="BC109">
        <v>0</v>
      </c>
      <c r="BD109" s="21">
        <f t="shared" si="28"/>
        <v>0</v>
      </c>
      <c r="BH109" s="21">
        <f t="shared" si="29"/>
        <v>0</v>
      </c>
      <c r="BI109">
        <v>24.9</v>
      </c>
      <c r="BJ109">
        <v>13.7</v>
      </c>
      <c r="BK109" s="18">
        <f t="shared" si="30"/>
        <v>44.979919678714857</v>
      </c>
      <c r="BL109" s="18">
        <f t="shared" si="31"/>
        <v>3.9919678714859428</v>
      </c>
      <c r="BM109" s="19">
        <f t="shared" si="32"/>
        <v>44781.991967871487</v>
      </c>
      <c r="BN109" s="71">
        <f t="shared" si="33"/>
        <v>96.99196787148685</v>
      </c>
      <c r="BO109">
        <v>6</v>
      </c>
      <c r="BP109" s="23">
        <f t="shared" si="34"/>
        <v>7.238999999999999</v>
      </c>
      <c r="BQ109">
        <v>8.7799999999999994</v>
      </c>
      <c r="BR109">
        <v>8.8000000000000007</v>
      </c>
      <c r="BS109" s="22">
        <f t="shared" si="35"/>
        <v>12787.76569113832</v>
      </c>
      <c r="BT109" s="22">
        <f t="shared" si="36"/>
        <v>237.72128528398159</v>
      </c>
      <c r="BU109">
        <v>95.3</v>
      </c>
      <c r="BV109">
        <v>4.4000000000000004</v>
      </c>
      <c r="BW109">
        <v>4.21</v>
      </c>
      <c r="BX109" s="71">
        <f t="shared" si="37"/>
        <v>45.389132947976883</v>
      </c>
    </row>
    <row r="110" spans="2:76" x14ac:dyDescent="0.3">
      <c r="B110">
        <v>2022</v>
      </c>
      <c r="C110" t="s">
        <v>125</v>
      </c>
      <c r="D110">
        <v>425</v>
      </c>
      <c r="E110">
        <v>4</v>
      </c>
      <c r="F110">
        <v>15</v>
      </c>
      <c r="G110" t="s">
        <v>25</v>
      </c>
      <c r="H110">
        <v>6</v>
      </c>
      <c r="I110" t="s">
        <v>21</v>
      </c>
      <c r="J110">
        <v>46</v>
      </c>
      <c r="K110">
        <v>52</v>
      </c>
      <c r="L110" s="22">
        <f t="shared" si="20"/>
        <v>203.06672192291754</v>
      </c>
      <c r="M110">
        <v>45</v>
      </c>
      <c r="N110">
        <v>41</v>
      </c>
      <c r="O110">
        <v>40</v>
      </c>
      <c r="P110">
        <v>47</v>
      </c>
      <c r="Q110" s="21">
        <f t="shared" si="21"/>
        <v>43.25</v>
      </c>
      <c r="R110">
        <v>67</v>
      </c>
      <c r="S110">
        <v>66</v>
      </c>
      <c r="T110">
        <v>65</v>
      </c>
      <c r="U110">
        <v>63</v>
      </c>
      <c r="V110" s="21">
        <f t="shared" si="38"/>
        <v>65.25</v>
      </c>
      <c r="W110">
        <v>89</v>
      </c>
      <c r="X110">
        <v>75</v>
      </c>
      <c r="Y110">
        <v>80</v>
      </c>
      <c r="Z110">
        <v>83</v>
      </c>
      <c r="AA110" s="21">
        <f t="shared" si="22"/>
        <v>81.75</v>
      </c>
      <c r="AB110">
        <v>89</v>
      </c>
      <c r="AC110">
        <v>92</v>
      </c>
      <c r="AD110">
        <v>92</v>
      </c>
      <c r="AE110">
        <v>99</v>
      </c>
      <c r="AF110" s="21">
        <f t="shared" si="23"/>
        <v>93</v>
      </c>
      <c r="AG110" s="22">
        <v>100</v>
      </c>
      <c r="AH110" s="22">
        <v>95</v>
      </c>
      <c r="AI110" s="22">
        <v>90</v>
      </c>
      <c r="AJ110" s="22">
        <v>104</v>
      </c>
      <c r="AK110" s="21">
        <f t="shared" si="24"/>
        <v>97.25</v>
      </c>
      <c r="AP110" s="21" t="e">
        <f t="shared" si="25"/>
        <v>#DIV/0!</v>
      </c>
      <c r="AR110">
        <v>100</v>
      </c>
      <c r="AS110">
        <v>95</v>
      </c>
      <c r="AT110">
        <v>90</v>
      </c>
      <c r="AU110">
        <v>104</v>
      </c>
      <c r="AV110" s="21">
        <f t="shared" si="26"/>
        <v>97.25</v>
      </c>
      <c r="AW110">
        <v>0</v>
      </c>
      <c r="AX110">
        <v>0</v>
      </c>
      <c r="AY110">
        <v>0</v>
      </c>
      <c r="AZ110" s="21">
        <f t="shared" si="27"/>
        <v>0</v>
      </c>
      <c r="BA110">
        <v>0</v>
      </c>
      <c r="BB110">
        <v>0</v>
      </c>
      <c r="BC110">
        <v>0</v>
      </c>
      <c r="BD110" s="21">
        <f t="shared" si="28"/>
        <v>0</v>
      </c>
      <c r="BH110" s="21">
        <f t="shared" si="29"/>
        <v>0</v>
      </c>
      <c r="BI110">
        <v>26.3</v>
      </c>
      <c r="BJ110">
        <v>15.1</v>
      </c>
      <c r="BK110" s="18">
        <f t="shared" si="30"/>
        <v>42.585551330798481</v>
      </c>
      <c r="BL110" s="18">
        <f t="shared" si="31"/>
        <v>3.0342205323193925</v>
      </c>
      <c r="BM110" s="19">
        <f t="shared" si="32"/>
        <v>44781.034220532318</v>
      </c>
      <c r="BN110" s="71">
        <f t="shared" si="33"/>
        <v>96.034220532317704</v>
      </c>
      <c r="BO110">
        <v>6</v>
      </c>
      <c r="BP110" s="23">
        <f t="shared" si="34"/>
        <v>7.238999999999999</v>
      </c>
      <c r="BQ110">
        <v>8.36</v>
      </c>
      <c r="BR110">
        <v>6.3</v>
      </c>
      <c r="BS110" s="22">
        <f t="shared" si="35"/>
        <v>12509.823555292585</v>
      </c>
      <c r="BT110" s="22">
        <f t="shared" si="36"/>
        <v>232.5544122458237</v>
      </c>
      <c r="BU110">
        <v>68.400000000000006</v>
      </c>
      <c r="BV110">
        <v>4.5299999999999994</v>
      </c>
      <c r="BW110">
        <v>4.5200000000000005</v>
      </c>
      <c r="BX110" s="71">
        <f t="shared" si="37"/>
        <v>49.016473988439301</v>
      </c>
    </row>
    <row r="111" spans="2:76" x14ac:dyDescent="0.3">
      <c r="B111">
        <v>2022</v>
      </c>
      <c r="C111" t="s">
        <v>125</v>
      </c>
      <c r="D111">
        <v>426</v>
      </c>
      <c r="E111">
        <v>4</v>
      </c>
      <c r="F111">
        <v>14</v>
      </c>
      <c r="G111" t="s">
        <v>25</v>
      </c>
      <c r="H111">
        <v>5</v>
      </c>
      <c r="I111" t="s">
        <v>20</v>
      </c>
      <c r="J111">
        <v>43</v>
      </c>
      <c r="K111">
        <v>48</v>
      </c>
      <c r="L111" s="22">
        <f t="shared" si="20"/>
        <v>188.56195607128058</v>
      </c>
      <c r="M111">
        <v>37</v>
      </c>
      <c r="N111">
        <v>38</v>
      </c>
      <c r="O111">
        <v>45</v>
      </c>
      <c r="P111">
        <v>39</v>
      </c>
      <c r="Q111" s="21">
        <f t="shared" si="21"/>
        <v>39.75</v>
      </c>
      <c r="R111">
        <v>60</v>
      </c>
      <c r="S111">
        <v>62</v>
      </c>
      <c r="T111">
        <v>67</v>
      </c>
      <c r="U111">
        <v>65</v>
      </c>
      <c r="V111" s="21">
        <f t="shared" si="38"/>
        <v>63.5</v>
      </c>
      <c r="W111">
        <v>75</v>
      </c>
      <c r="X111">
        <v>74</v>
      </c>
      <c r="Y111">
        <v>83</v>
      </c>
      <c r="Z111">
        <v>82</v>
      </c>
      <c r="AA111" s="21">
        <f t="shared" si="22"/>
        <v>78.5</v>
      </c>
      <c r="AB111">
        <v>100</v>
      </c>
      <c r="AC111">
        <v>101</v>
      </c>
      <c r="AD111">
        <v>97</v>
      </c>
      <c r="AE111">
        <v>93</v>
      </c>
      <c r="AF111" s="21">
        <f t="shared" si="23"/>
        <v>97.75</v>
      </c>
      <c r="AG111" s="22">
        <v>105</v>
      </c>
      <c r="AH111" s="22">
        <v>111</v>
      </c>
      <c r="AI111" s="22">
        <v>103</v>
      </c>
      <c r="AJ111" s="22">
        <v>104</v>
      </c>
      <c r="AK111" s="21">
        <f t="shared" si="24"/>
        <v>105.75</v>
      </c>
      <c r="AP111" s="21" t="e">
        <f t="shared" si="25"/>
        <v>#DIV/0!</v>
      </c>
      <c r="AR111">
        <v>105</v>
      </c>
      <c r="AS111">
        <v>111</v>
      </c>
      <c r="AT111">
        <v>103</v>
      </c>
      <c r="AU111">
        <v>104</v>
      </c>
      <c r="AV111" s="21">
        <f t="shared" si="26"/>
        <v>105.75</v>
      </c>
      <c r="AW111">
        <v>0</v>
      </c>
      <c r="AX111">
        <v>0</v>
      </c>
      <c r="AY111">
        <v>0</v>
      </c>
      <c r="AZ111" s="21">
        <f t="shared" si="27"/>
        <v>0</v>
      </c>
      <c r="BA111">
        <v>0</v>
      </c>
      <c r="BB111">
        <v>0</v>
      </c>
      <c r="BC111">
        <v>0</v>
      </c>
      <c r="BD111" s="21">
        <f t="shared" si="28"/>
        <v>0</v>
      </c>
      <c r="BH111" s="21">
        <f t="shared" si="29"/>
        <v>0</v>
      </c>
      <c r="BI111">
        <v>26.4</v>
      </c>
      <c r="BJ111">
        <v>13.1</v>
      </c>
      <c r="BK111" s="18">
        <f t="shared" si="30"/>
        <v>50.378787878787875</v>
      </c>
      <c r="BL111" s="18">
        <f t="shared" si="31"/>
        <v>6.1515151515151505</v>
      </c>
      <c r="BM111" s="19">
        <f t="shared" si="32"/>
        <v>44784.151515151512</v>
      </c>
      <c r="BN111" s="71">
        <f t="shared" si="33"/>
        <v>99.151515151512285</v>
      </c>
      <c r="BO111">
        <v>6</v>
      </c>
      <c r="BP111" s="23">
        <f t="shared" si="34"/>
        <v>7.238999999999999</v>
      </c>
      <c r="BQ111">
        <v>8.1199999999999992</v>
      </c>
      <c r="BR111">
        <v>8.4</v>
      </c>
      <c r="BS111" s="22">
        <f t="shared" si="35"/>
        <v>11878.369174038824</v>
      </c>
      <c r="BT111" s="22">
        <f t="shared" si="36"/>
        <v>220.8158372096961</v>
      </c>
      <c r="BU111">
        <v>96.4</v>
      </c>
      <c r="BV111">
        <v>4.38</v>
      </c>
      <c r="BW111">
        <v>4.32</v>
      </c>
      <c r="BX111" s="71">
        <f t="shared" si="37"/>
        <v>46.064739884393063</v>
      </c>
    </row>
    <row r="112" spans="2:76" x14ac:dyDescent="0.3">
      <c r="B112">
        <v>2022</v>
      </c>
      <c r="C112" t="s">
        <v>125</v>
      </c>
      <c r="D112">
        <v>427</v>
      </c>
      <c r="E112">
        <v>4</v>
      </c>
      <c r="F112">
        <v>17</v>
      </c>
      <c r="G112" t="s">
        <v>25</v>
      </c>
      <c r="H112">
        <v>8</v>
      </c>
      <c r="I112" t="s">
        <v>23</v>
      </c>
      <c r="J112">
        <v>58</v>
      </c>
      <c r="K112">
        <v>48</v>
      </c>
      <c r="L112" s="22">
        <f t="shared" si="20"/>
        <v>219.64359718193123</v>
      </c>
      <c r="M112">
        <v>38</v>
      </c>
      <c r="N112">
        <v>39</v>
      </c>
      <c r="O112">
        <v>43</v>
      </c>
      <c r="P112">
        <v>44</v>
      </c>
      <c r="Q112" s="21">
        <f t="shared" si="21"/>
        <v>41</v>
      </c>
      <c r="R112">
        <v>58</v>
      </c>
      <c r="S112">
        <v>60</v>
      </c>
      <c r="T112">
        <v>59</v>
      </c>
      <c r="U112">
        <v>58</v>
      </c>
      <c r="V112" s="21">
        <f t="shared" si="38"/>
        <v>58.75</v>
      </c>
      <c r="W112">
        <v>80</v>
      </c>
      <c r="X112">
        <v>81</v>
      </c>
      <c r="Y112">
        <v>80</v>
      </c>
      <c r="Z112">
        <v>81</v>
      </c>
      <c r="AA112" s="21">
        <f t="shared" si="22"/>
        <v>80.5</v>
      </c>
      <c r="AB112">
        <v>96</v>
      </c>
      <c r="AC112">
        <v>100</v>
      </c>
      <c r="AD112">
        <v>101</v>
      </c>
      <c r="AE112">
        <v>100</v>
      </c>
      <c r="AF112" s="21">
        <f t="shared" si="23"/>
        <v>99.25</v>
      </c>
      <c r="AG112" s="22">
        <v>104</v>
      </c>
      <c r="AH112" s="22">
        <v>107</v>
      </c>
      <c r="AI112" s="22">
        <v>109</v>
      </c>
      <c r="AJ112" s="22">
        <v>106</v>
      </c>
      <c r="AK112" s="21">
        <f t="shared" si="24"/>
        <v>106.5</v>
      </c>
      <c r="AP112" s="21" t="e">
        <f t="shared" si="25"/>
        <v>#DIV/0!</v>
      </c>
      <c r="AR112">
        <v>104</v>
      </c>
      <c r="AS112">
        <v>107</v>
      </c>
      <c r="AT112">
        <v>109</v>
      </c>
      <c r="AU112">
        <v>106</v>
      </c>
      <c r="AV112" s="21">
        <f t="shared" si="26"/>
        <v>106.5</v>
      </c>
      <c r="AW112">
        <v>0</v>
      </c>
      <c r="AX112">
        <v>0</v>
      </c>
      <c r="AY112">
        <v>0</v>
      </c>
      <c r="AZ112" s="21">
        <f t="shared" si="27"/>
        <v>0</v>
      </c>
      <c r="BA112">
        <v>0</v>
      </c>
      <c r="BB112">
        <v>0</v>
      </c>
      <c r="BC112">
        <v>0</v>
      </c>
      <c r="BD112" s="21">
        <f t="shared" si="28"/>
        <v>0</v>
      </c>
      <c r="BH112" s="21">
        <f t="shared" si="29"/>
        <v>0</v>
      </c>
      <c r="BI112">
        <v>22.6</v>
      </c>
      <c r="BJ112">
        <v>11.5</v>
      </c>
      <c r="BK112" s="18">
        <f t="shared" si="30"/>
        <v>49.115044247787615</v>
      </c>
      <c r="BL112" s="18">
        <f>(BK112-35)/2.5</f>
        <v>5.6460176991150464</v>
      </c>
      <c r="BM112" s="19">
        <f t="shared" si="32"/>
        <v>44783.646017699117</v>
      </c>
      <c r="BN112" s="71">
        <f t="shared" si="33"/>
        <v>98.646017699116783</v>
      </c>
      <c r="BO112">
        <v>6</v>
      </c>
      <c r="BP112" s="23">
        <f t="shared" si="34"/>
        <v>7.238999999999999</v>
      </c>
      <c r="BQ112">
        <v>8.15</v>
      </c>
      <c r="BR112">
        <v>8.9</v>
      </c>
      <c r="BS112" s="22">
        <f t="shared" si="35"/>
        <v>11857.176964531398</v>
      </c>
      <c r="BT112" s="22">
        <f t="shared" si="36"/>
        <v>220.42187946885289</v>
      </c>
      <c r="BU112">
        <v>98.4</v>
      </c>
      <c r="BV112">
        <v>4.43</v>
      </c>
      <c r="BW112">
        <v>4.54</v>
      </c>
      <c r="BX112" s="71">
        <f t="shared" si="37"/>
        <v>47.235086705202299</v>
      </c>
    </row>
  </sheetData>
  <sortState xmlns:xlrd2="http://schemas.microsoft.com/office/spreadsheetml/2017/richdata2" ref="B5:BX112">
    <sortCondition ref="D5:D112"/>
  </sortState>
  <mergeCells count="12">
    <mergeCell ref="J3:L3"/>
    <mergeCell ref="M3:Q3"/>
    <mergeCell ref="R3:V3"/>
    <mergeCell ref="AW3:AZ3"/>
    <mergeCell ref="BI3:BN3"/>
    <mergeCell ref="W3:AA3"/>
    <mergeCell ref="AB3:AF3"/>
    <mergeCell ref="AG3:AK3"/>
    <mergeCell ref="AL3:AP3"/>
    <mergeCell ref="AR3:AV3"/>
    <mergeCell ref="BA3:BD3"/>
    <mergeCell ref="BE3:BH3"/>
  </mergeCells>
  <phoneticPr fontId="17" type="noConversion"/>
  <conditionalFormatting sqref="M5:P3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:U3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 AQ4 AV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:Z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:AE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:AJ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2:AQ68 AQ5:AQ31 AL42:AO68 AL5:AO3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:AU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DF75DA385D9D49AEF1AFFA7B6C9CC6" ma:contentTypeVersion="19" ma:contentTypeDescription="Create a new document." ma:contentTypeScope="" ma:versionID="ce931ee89191dae6b98df4a9eb785eda">
  <xsd:schema xmlns:xsd="http://www.w3.org/2001/XMLSchema" xmlns:xs="http://www.w3.org/2001/XMLSchema" xmlns:p="http://schemas.microsoft.com/office/2006/metadata/properties" xmlns:ns2="6f7d0794-db2d-4812-b604-61f5a4ff255c" xmlns:ns3="a5c6594c-ef7c-4f4e-b6c2-b279c11b84c4" xmlns:ns4="a8605628-264e-41a0-8475-cece7ab702df" targetNamespace="http://schemas.microsoft.com/office/2006/metadata/properties" ma:root="true" ma:fieldsID="1423969beab7147e8f16463e1187da9b" ns2:_="" ns3:_="" ns4:_="">
    <xsd:import namespace="6f7d0794-db2d-4812-b604-61f5a4ff255c"/>
    <xsd:import namespace="a5c6594c-ef7c-4f4e-b6c2-b279c11b84c4"/>
    <xsd:import namespace="a8605628-264e-41a0-8475-cece7ab702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7d0794-db2d-4812-b604-61f5a4ff25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e00d72-d7b1-4584-97c1-b448dd6f78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6594c-ef7c-4f4e-b6c2-b279c11b84c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05628-264e-41a0-8475-cece7ab702d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17fab13-479b-49b5-8e0e-377edeac1d27}" ma:internalName="TaxCatchAll" ma:showField="CatchAllData" ma:web="a8605628-264e-41a0-8475-cece7ab702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7d0794-db2d-4812-b604-61f5a4ff255c">
      <Terms xmlns="http://schemas.microsoft.com/office/infopath/2007/PartnerControls"/>
    </lcf76f155ced4ddcb4097134ff3c332f>
    <TaxCatchAll xmlns="a8605628-264e-41a0-8475-cece7ab702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6EFC63-BE85-452F-B8F7-0C3393BEC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7d0794-db2d-4812-b604-61f5a4ff255c"/>
    <ds:schemaRef ds:uri="a5c6594c-ef7c-4f4e-b6c2-b279c11b84c4"/>
    <ds:schemaRef ds:uri="a8605628-264e-41a0-8475-cece7ab702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D74528-3922-4B91-9B6E-A6E54F9C70B4}">
  <ds:schemaRefs>
    <ds:schemaRef ds:uri="http://schemas.microsoft.com/office/2006/metadata/properties"/>
    <ds:schemaRef ds:uri="http://schemas.microsoft.com/office/infopath/2007/PartnerControls"/>
    <ds:schemaRef ds:uri="6f7d0794-db2d-4812-b604-61f5a4ff255c"/>
    <ds:schemaRef ds:uri="a8605628-264e-41a0-8475-cece7ab702df"/>
  </ds:schemaRefs>
</ds:datastoreItem>
</file>

<file path=customXml/itemProps3.xml><?xml version="1.0" encoding="utf-8"?>
<ds:datastoreItem xmlns:ds="http://schemas.openxmlformats.org/officeDocument/2006/customXml" ds:itemID="{4E0FC32F-A32D-421B-810C-05F6677A09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Treatments</vt:lpstr>
      <vt:lpstr>BBCH staging guide</vt:lpstr>
      <vt:lpstr>2022 Plot Map</vt:lpstr>
      <vt:lpstr>Field notes</vt:lpstr>
      <vt:lpstr>weather_final</vt:lpstr>
      <vt:lpstr>irrigation_final</vt:lpstr>
      <vt:lpstr>Irrigation</vt:lpstr>
      <vt:lpstr>Sheet1</vt:lpstr>
      <vt:lpstr>Weather</vt:lpstr>
      <vt:lpstr>Data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Laurel Perrott</dc:creator>
  <cp:keywords/>
  <dc:description/>
  <cp:lastModifiedBy>Wilfried Dossou-Yovo</cp:lastModifiedBy>
  <cp:revision/>
  <dcterms:created xsi:type="dcterms:W3CDTF">2019-02-28T16:52:31Z</dcterms:created>
  <dcterms:modified xsi:type="dcterms:W3CDTF">2026-01-14T20:42:58Z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0x0101008DDF75DA385D9D49AEF1AFFA7B6C9CC6</vt:lpwstr>
  </property>
  <property fmtid="{D5CDD505-2E9C-101B-9397-08002B2CF9AE}" pid="3" name="MediaServiceImageTags">
    <vt:lpwstr/>
  </property>
</Properties>
</file>